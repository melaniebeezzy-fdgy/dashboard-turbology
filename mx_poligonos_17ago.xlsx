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P1">
      <text>
        <t xml:space="preserve">Total time taken to find and assign a courier, and for the courier to get to the store.
If there are releases, it'll count the tima it took for the last courier assigned to get to the store, counting from the creation of the order</t>
      </text>
    </comment>
    <comment authorId="0" ref="BR1">
      <text>
        <t xml:space="preserve">Total time taken to find and assign a courier, and for the courier to get to the store.
If there are releases, it'll count the tima it took for the last courier assigned to get to the store, counting from the creation of the order</t>
      </text>
    </comment>
  </commentList>
</comments>
</file>

<file path=xl/sharedStrings.xml><?xml version="1.0" encoding="utf-8"?>
<sst xmlns="http://schemas.openxmlformats.org/spreadsheetml/2006/main" count="11174" uniqueCount="1611">
  <si>
    <t>Country</t>
  </si>
  <si>
    <t>City ID</t>
  </si>
  <si>
    <t>City Name</t>
  </si>
  <si>
    <t>Brand ID</t>
  </si>
  <si>
    <t>Brand Name</t>
  </si>
  <si>
    <t>Store ID</t>
  </si>
  <si>
    <t>Store Name</t>
  </si>
  <si>
    <t>Queue ID</t>
  </si>
  <si>
    <t>Orders</t>
  </si>
  <si>
    <t>_100</t>
  </si>
  <si>
    <t>_200</t>
  </si>
  <si>
    <t>_300</t>
  </si>
  <si>
    <t>_400</t>
  </si>
  <si>
    <t>_500</t>
  </si>
  <si>
    <t>_600</t>
  </si>
  <si>
    <t>_700</t>
  </si>
  <si>
    <t>_800</t>
  </si>
  <si>
    <t>_900</t>
  </si>
  <si>
    <t>_1000</t>
  </si>
  <si>
    <t>_1100</t>
  </si>
  <si>
    <t>_1200</t>
  </si>
  <si>
    <t>_1300</t>
  </si>
  <si>
    <t>_1400</t>
  </si>
  <si>
    <t>_1500</t>
  </si>
  <si>
    <t>_1600</t>
  </si>
  <si>
    <t>_1700</t>
  </si>
  <si>
    <t>_1800</t>
  </si>
  <si>
    <t>_1900</t>
  </si>
  <si>
    <t>_2000</t>
  </si>
  <si>
    <t>_2100</t>
  </si>
  <si>
    <t>_2200</t>
  </si>
  <si>
    <t>_2300</t>
  </si>
  <si>
    <t>_2400</t>
  </si>
  <si>
    <t>_2500</t>
  </si>
  <si>
    <t>_2600</t>
  </si>
  <si>
    <t>_2700</t>
  </si>
  <si>
    <t>_2800</t>
  </si>
  <si>
    <t>_2900</t>
  </si>
  <si>
    <t>_3000</t>
  </si>
  <si>
    <t>_6000</t>
  </si>
  <si>
    <t>Avg. ATA</t>
  </si>
  <si>
    <t>A 0 99</t>
  </si>
  <si>
    <t>A 100 199</t>
  </si>
  <si>
    <t>A 200 299</t>
  </si>
  <si>
    <t>A 300 399</t>
  </si>
  <si>
    <t>A 400 499</t>
  </si>
  <si>
    <t>A 500 599</t>
  </si>
  <si>
    <t>A 600 699</t>
  </si>
  <si>
    <t>A 700 799</t>
  </si>
  <si>
    <t>A 800 899</t>
  </si>
  <si>
    <t>A 900 999</t>
  </si>
  <si>
    <t>A 1000 1099</t>
  </si>
  <si>
    <t>A 1100 1199</t>
  </si>
  <si>
    <t>A 1200 1299</t>
  </si>
  <si>
    <t>A 1300 1399</t>
  </si>
  <si>
    <t>A 1400 1499</t>
  </si>
  <si>
    <t>A 1500 1599</t>
  </si>
  <si>
    <t>A 1600 1699</t>
  </si>
  <si>
    <t>A 1700 1799</t>
  </si>
  <si>
    <t>A 1800 1899</t>
  </si>
  <si>
    <t>A 1900 1999</t>
  </si>
  <si>
    <t>A 2000 2099</t>
  </si>
  <si>
    <t>A 2100 2199</t>
  </si>
  <si>
    <t>A 2200 2299</t>
  </si>
  <si>
    <t>A 2300 2399</t>
  </si>
  <si>
    <t>A 2400 2499</t>
  </si>
  <si>
    <t>A 2500+</t>
  </si>
  <si>
    <t>Avg. Assigned</t>
  </si>
  <si>
    <t>Avg.Arrived</t>
  </si>
  <si>
    <t>Avg. To Store</t>
  </si>
  <si>
    <t>Avg. RTWT</t>
  </si>
  <si>
    <t>LW_ATA</t>
  </si>
  <si>
    <t>LW_RTWT</t>
  </si>
  <si>
    <t>LW_DELIVERY</t>
  </si>
  <si>
    <t>Delay Start</t>
  </si>
  <si>
    <t>Current Size</t>
  </si>
  <si>
    <t>UPDATED_AT_UTC</t>
  </si>
  <si>
    <t>Size Proposal</t>
  </si>
  <si>
    <t>Comment</t>
  </si>
  <si>
    <t>FINAL SIZE</t>
  </si>
  <si>
    <t>Reason</t>
  </si>
  <si>
    <t>Gain / loss</t>
  </si>
  <si>
    <t>Orders gain / loss</t>
  </si>
  <si>
    <t>Order loss (%)</t>
  </si>
  <si>
    <t>New total orders</t>
  </si>
  <si>
    <t>Total orders queue</t>
  </si>
  <si>
    <t>Order gain / loss queue</t>
  </si>
  <si>
    <t>New total orders queue</t>
  </si>
  <si>
    <t>Total ATA</t>
  </si>
  <si>
    <t>ATA gained</t>
  </si>
  <si>
    <t>New store ATA</t>
  </si>
  <si>
    <t>ATA Gain / Loss Store</t>
  </si>
  <si>
    <t>Total to store</t>
  </si>
  <si>
    <t>New total to store</t>
  </si>
  <si>
    <t>New total RTWT</t>
  </si>
  <si>
    <t>P before</t>
  </si>
  <si>
    <t>P after</t>
  </si>
  <si>
    <t>select 'TEST' as country, 1 as store_id, 1 as old_polygon, 1 as suggested_polygon</t>
  </si>
  <si>
    <t>Max polygon</t>
  </si>
  <si>
    <t>Polygons</t>
  </si>
  <si>
    <t>Distances</t>
  </si>
  <si>
    <t>EDU SUGERIDO</t>
  </si>
  <si>
    <t>Edu delivery</t>
  </si>
  <si>
    <t>en hack o  min?</t>
  </si>
  <si>
    <t>fehca hack</t>
  </si>
  <si>
    <t>CIUDAD TURBO ON?</t>
  </si>
  <si>
    <t>STORE STATUS</t>
  </si>
  <si>
    <t>STTUS STORE CONTROL</t>
  </si>
  <si>
    <t>catalogo</t>
  </si>
  <si>
    <t>READY 4 HACK?</t>
  </si>
  <si>
    <t>hub edu</t>
  </si>
  <si>
    <t>plan3000</t>
  </si>
  <si>
    <t>hub ata</t>
  </si>
  <si>
    <t>HUB ADOPTION</t>
  </si>
  <si>
    <t>manual</t>
  </si>
  <si>
    <t>MOTIVO 1 MTS</t>
  </si>
  <si>
    <t>RENCENDIDO</t>
  </si>
  <si>
    <t>EQUIPO COMERCIAL</t>
  </si>
  <si>
    <t>MX</t>
  </si>
  <si>
    <t>Ciudad de México</t>
  </si>
  <si>
    <t>Tastyfoods - Turbo</t>
  </si>
  <si>
    <t>MX1930343284</t>
  </si>
  <si>
    <t>Tastyfoods (Coapa) - Turbo</t>
  </si>
  <si>
    <t>2026-08-17 15:36:38.962 +0000</t>
  </si>
  <si>
    <t>▼</t>
  </si>
  <si>
    <t>1,2,3,4,5,6,7,8</t>
  </si>
  <si>
    <t>0.3,0.6,0.9,1.2,1.5,1.8,2.1,2.4</t>
  </si>
  <si>
    <t>HACK V2</t>
  </si>
  <si>
    <t>ON</t>
  </si>
  <si>
    <t>TO REACTIVATE</t>
  </si>
  <si>
    <t>1130</t>
  </si>
  <si>
    <t>OFF</t>
  </si>
  <si>
    <t>19.83</t>
  </si>
  <si>
    <t>SIN VENTA</t>
  </si>
  <si>
    <t>CORPO</t>
  </si>
  <si>
    <t>La Panquequeria - Turbo</t>
  </si>
  <si>
    <t>MX1930322227</t>
  </si>
  <si>
    <t>La Panquequería - Coapa - Turbo</t>
  </si>
  <si>
    <t>1,2,3,4,5,6,7,8,9,10</t>
  </si>
  <si>
    <t>0.3,0.6,0.9,1.2,1.5,1.8,2.1,2.4,2.8,3</t>
  </si>
  <si>
    <t>Avocalia Desayunos - Turbo</t>
  </si>
  <si>
    <t>MX1930343046</t>
  </si>
  <si>
    <t>Avocalia Desayunos - Coapa - Turbo</t>
  </si>
  <si>
    <t>1,2,3,4,5,6,7,8,9</t>
  </si>
  <si>
    <t>0.3,0.6,0.9,1.2,1.5,1.8,2.1,2.4,2.7</t>
  </si>
  <si>
    <t>Cocina Corrida Vip - Turbo</t>
  </si>
  <si>
    <t>MX1930343283</t>
  </si>
  <si>
    <t>Cocina Corrida (coapa) - Turbo</t>
  </si>
  <si>
    <t>Brunch &amp; Munch - Turbo</t>
  </si>
  <si>
    <t>MX1930212481</t>
  </si>
  <si>
    <t>Brunch &amp; Munch - Coapa - Turbo</t>
  </si>
  <si>
    <t>▲</t>
  </si>
  <si>
    <t>Green House F - Turbo</t>
  </si>
  <si>
    <t>MX1930234343</t>
  </si>
  <si>
    <t>Green House - Coapa - Turbo</t>
  </si>
  <si>
    <t>Honest Food - Turbo</t>
  </si>
  <si>
    <t>MX1930321912</t>
  </si>
  <si>
    <t>Honest Food (coapa) - Turbo</t>
  </si>
  <si>
    <t>Mrbeast Burger Turbo</t>
  </si>
  <si>
    <t>MX1930214505</t>
  </si>
  <si>
    <t>Mr Beast Burger Coapa - Turbo</t>
  </si>
  <si>
    <t>House Of Salads - Turbo</t>
  </si>
  <si>
    <t>MX1930390384</t>
  </si>
  <si>
    <t>House Of Salads (Coapa) - Turbo.</t>
  </si>
  <si>
    <t>Avocalia - Turbo</t>
  </si>
  <si>
    <t>MX1930214657</t>
  </si>
  <si>
    <t>Avocalia - Coapa - Turbo</t>
  </si>
  <si>
    <t>Orale Chilaquiles - Turbo</t>
  </si>
  <si>
    <t>MX1930321484</t>
  </si>
  <si>
    <t>Órale Chilaquiles Coapa - Turbo</t>
  </si>
  <si>
    <t>Foodhub - Turbo</t>
  </si>
  <si>
    <t>MX1930343212</t>
  </si>
  <si>
    <t>Foodhub (Coapa) - Turbo</t>
  </si>
  <si>
    <t>Órale Desayunos. - Turbo</t>
  </si>
  <si>
    <t>MX1930322415</t>
  </si>
  <si>
    <t>Órale Desayunos - Coapa - Turbo</t>
  </si>
  <si>
    <t>Chemaquiles By el Chema Gomfie - Turbo</t>
  </si>
  <si>
    <t>MX1930260022</t>
  </si>
  <si>
    <t>Chemaquiles by El Chema Gomfie - Coapa - Turbo</t>
  </si>
  <si>
    <t>The Breakfast Club Mx - Turbo</t>
  </si>
  <si>
    <t>MX1930343215</t>
  </si>
  <si>
    <t>The Breakfast Club (Coapa) - Turbo</t>
  </si>
  <si>
    <t>la Neta Burgers - Turbo</t>
  </si>
  <si>
    <t>MX1930288869</t>
  </si>
  <si>
    <t>La Neta Burgers Coapa - Turbo</t>
  </si>
  <si>
    <t>No orders last week</t>
  </si>
  <si>
    <t>MX1930290237</t>
  </si>
  <si>
    <t>Subs &amp; Soups (Coapa) - Turbo</t>
  </si>
  <si>
    <t>PENDING COMMERCIAL APPROVAL</t>
  </si>
  <si>
    <t>Mega Greens-Turbo</t>
  </si>
  <si>
    <t>MX1930372846</t>
  </si>
  <si>
    <t>Super Ensaladas (coapa) - Turbo</t>
  </si>
  <si>
    <t>MX1930372817</t>
  </si>
  <si>
    <t>Man Vs Fries (coapa) - Turbo Calz. Del Hueso 465</t>
  </si>
  <si>
    <t>MX1930372867</t>
  </si>
  <si>
    <t>House Of Salads (coapa) - Turbo</t>
  </si>
  <si>
    <t>Ready to Activate</t>
  </si>
  <si>
    <t>SIN STATUS COMERCIAL</t>
  </si>
  <si>
    <t>Desayunos de la Abuela - Turbo</t>
  </si>
  <si>
    <t>MX1930324340</t>
  </si>
  <si>
    <t>Desayunos de la Abuela (San Ángel) - Turbo</t>
  </si>
  <si>
    <t>1,2,3,4,5,6,7</t>
  </si>
  <si>
    <t>0.3,0.6,0.9,1.2,1.5,1.8,2.1</t>
  </si>
  <si>
    <t>33020</t>
  </si>
  <si>
    <t>18.15</t>
  </si>
  <si>
    <t>Fonda Local - Turbo</t>
  </si>
  <si>
    <t>MX1930335168</t>
  </si>
  <si>
    <t>Fonda Local (San Ángel) - Turbo</t>
  </si>
  <si>
    <t>MX1930290420</t>
  </si>
  <si>
    <t>Brunch &amp; Munch - San Angel - Turbo</t>
  </si>
  <si>
    <t>MX1930324954</t>
  </si>
  <si>
    <t>Cocina Corrida (san Ángel) - Turbo</t>
  </si>
  <si>
    <t>MX1930290389</t>
  </si>
  <si>
    <t>Green House - San Angel - Turbo</t>
  </si>
  <si>
    <t>The Egg Spot - Turbo</t>
  </si>
  <si>
    <t>MX1930410914</t>
  </si>
  <si>
    <t>The Egg Spot (San Ángel) - Turbo</t>
  </si>
  <si>
    <t>MX1930289215</t>
  </si>
  <si>
    <t>La Panquequería - San Ángel - Turbo</t>
  </si>
  <si>
    <t>MX1930335100</t>
  </si>
  <si>
    <t>Foodhub (san Ángel) - Turbo</t>
  </si>
  <si>
    <t>MX1930290754</t>
  </si>
  <si>
    <t>Mr Beast Burger - San Ángel - Turbo</t>
  </si>
  <si>
    <t>MX1930321507</t>
  </si>
  <si>
    <t>Órale Chilaquiles - San Ángel - Turbo</t>
  </si>
  <si>
    <t>MX1930319253</t>
  </si>
  <si>
    <t>House Of Salads (San Ángel) - Turbo</t>
  </si>
  <si>
    <t>MX1930321907</t>
  </si>
  <si>
    <t>Honest Food (san Ángel) - Turbo</t>
  </si>
  <si>
    <t>MX1930321674</t>
  </si>
  <si>
    <t>Chemaquiles By el Chema Gomfie - San Angel - Turbo</t>
  </si>
  <si>
    <t>MX1930290744</t>
  </si>
  <si>
    <t>Órale Desayunos - San Ángel - Turbo</t>
  </si>
  <si>
    <t>MX1930290414</t>
  </si>
  <si>
    <t>Avocalia - San Angel - Turbo</t>
  </si>
  <si>
    <t>MX1930329025</t>
  </si>
  <si>
    <t>Mega Green (San Ángel) - Turbo</t>
  </si>
  <si>
    <t>MX1930304539</t>
  </si>
  <si>
    <t>Avocalia Desayunos - San Ángel - Turbo</t>
  </si>
  <si>
    <t>MX1930329031</t>
  </si>
  <si>
    <t>The Breakfast Club (San Ángel) - Turbo</t>
  </si>
  <si>
    <t>MX1930328930</t>
  </si>
  <si>
    <t>Tastyfoods (San Ángel) - Turbo</t>
  </si>
  <si>
    <t>MX1930372854</t>
  </si>
  <si>
    <t>Man Vs Fries (san Ángel) - Turbo Av. Revolución 1639</t>
  </si>
  <si>
    <t>ENCENDIDO AGENDADO</t>
  </si>
  <si>
    <t>The Wrap Company - Turbo</t>
  </si>
  <si>
    <t>MX1930428187</t>
  </si>
  <si>
    <t>The Wrap Company - Roma - Turbo</t>
  </si>
  <si>
    <t>33034</t>
  </si>
  <si>
    <t>20.1</t>
  </si>
  <si>
    <t>Freshlab - Turbo</t>
  </si>
  <si>
    <t>MX1930428151</t>
  </si>
  <si>
    <t>FreshLab - Roma - Turbo</t>
  </si>
  <si>
    <t>MX1930321638</t>
  </si>
  <si>
    <t>Mega Green (doctores) - Turbo</t>
  </si>
  <si>
    <t>MX1930411102</t>
  </si>
  <si>
    <t>Cocina Corrida (doctores) - Turbo</t>
  </si>
  <si>
    <t>MX1930406076</t>
  </si>
  <si>
    <t>Fonda Local (doctores) - Turbo</t>
  </si>
  <si>
    <t>MX1930111503</t>
  </si>
  <si>
    <t>Mr Beast Burger Turbo - Roma</t>
  </si>
  <si>
    <t>MX1930294782</t>
  </si>
  <si>
    <t>Órale Desayunos - Roma - Turbo</t>
  </si>
  <si>
    <t>MX1930411976</t>
  </si>
  <si>
    <t>The Egg Spot (Doctores) - Turbo</t>
  </si>
  <si>
    <t>MX1930294777</t>
  </si>
  <si>
    <t>Avocalia - Roma - Turbo</t>
  </si>
  <si>
    <t>MX1930411103</t>
  </si>
  <si>
    <t>Tastyfoods (doctores) - Turbo</t>
  </si>
  <si>
    <t>MX1930318393</t>
  </si>
  <si>
    <t>Honest Food (doctores) - Turbo</t>
  </si>
  <si>
    <t>MX1930321496</t>
  </si>
  <si>
    <t>Órale Chilaquiles - Roma - Turbo</t>
  </si>
  <si>
    <t>MX1930411166</t>
  </si>
  <si>
    <t>Avocalia Desayunos - Roma - Turbo</t>
  </si>
  <si>
    <t>MX1930295318</t>
  </si>
  <si>
    <t>Green House - Doctores - Turbo</t>
  </si>
  <si>
    <t>MX1930294803</t>
  </si>
  <si>
    <t>La Panquequería - Doctores - Turbo</t>
  </si>
  <si>
    <t>MX1930411169</t>
  </si>
  <si>
    <t>Desayunos de la Abuela (Doctores) - Turbo</t>
  </si>
  <si>
    <t>MX1930175110</t>
  </si>
  <si>
    <t>Brunch &amp; Munch - Doctores - Turbo</t>
  </si>
  <si>
    <t>MX1930321590</t>
  </si>
  <si>
    <t>Chemaquiles By el Chema Gomfie - Doctores - Turbo</t>
  </si>
  <si>
    <t>MX1930411416</t>
  </si>
  <si>
    <t>The Breakfast Club (Doctores) - Turbo</t>
  </si>
  <si>
    <t>Pozorale Antojitos Mexicanos - Turbo</t>
  </si>
  <si>
    <t>MX1930432880</t>
  </si>
  <si>
    <t>Pozórale Antojitos Mexicanos - Doctores - Turbo</t>
  </si>
  <si>
    <t>MX1930321676</t>
  </si>
  <si>
    <t>House Of Salads (Doctores) - Turbo</t>
  </si>
  <si>
    <t>MX1930321629</t>
  </si>
  <si>
    <t>Mr Beast Burger - Roma - Turbo DUPLICADA</t>
  </si>
  <si>
    <t>MX1930321621</t>
  </si>
  <si>
    <t>Man Vs Fries (doctores) - Turbo Dr. Andrade 85</t>
  </si>
  <si>
    <t>MX1930322425</t>
  </si>
  <si>
    <t>Órale Desayunos - Condesa - Turbo</t>
  </si>
  <si>
    <t>33132</t>
  </si>
  <si>
    <t>18.06</t>
  </si>
  <si>
    <t>MX1930413569</t>
  </si>
  <si>
    <t>Avocalia - Condesa - Turbo</t>
  </si>
  <si>
    <t>MX1930408263</t>
  </si>
  <si>
    <t>Órale Desayunos (manacar) - Turbo</t>
  </si>
  <si>
    <t>37057</t>
  </si>
  <si>
    <t>18.49</t>
  </si>
  <si>
    <t>MX1930342682</t>
  </si>
  <si>
    <t>Super Ensaladas (manacar) - Turbo</t>
  </si>
  <si>
    <t>MX1930408154</t>
  </si>
  <si>
    <t>Brunch &amp; Munch (manacar) - Turbo</t>
  </si>
  <si>
    <t>MX1930408120</t>
  </si>
  <si>
    <t>Avocalia Desayunos - Manacar - Turbo</t>
  </si>
  <si>
    <t>MX1930413800</t>
  </si>
  <si>
    <t>Avocalia - Manacar - Turbo</t>
  </si>
  <si>
    <t>MX1930408224</t>
  </si>
  <si>
    <t>Desayunos de la Abuela (manacar) - Turbo</t>
  </si>
  <si>
    <t>MX1930411425</t>
  </si>
  <si>
    <t>Green House - Manacar - Turbo</t>
  </si>
  <si>
    <t>MX1930322867</t>
  </si>
  <si>
    <t>House Of Salads (manacar) - Turbo</t>
  </si>
  <si>
    <t>MX1930408149</t>
  </si>
  <si>
    <t>The Breakfast Club (manacar) - Turbo</t>
  </si>
  <si>
    <t>MX1930372809</t>
  </si>
  <si>
    <t>Man Vs Fries (ciudad Judicial) - Turbo Foodology</t>
  </si>
  <si>
    <t>39928</t>
  </si>
  <si>
    <t>16.85</t>
  </si>
  <si>
    <t>MX1930372864</t>
  </si>
  <si>
    <t>Man Vs Fries (san Jerónimo) - Turbo Dr. Juan de Dios Treviño 10</t>
  </si>
  <si>
    <t>45072</t>
  </si>
  <si>
    <t>17.45</t>
  </si>
  <si>
    <t>MX1930322434</t>
  </si>
  <si>
    <t>Órale Desayunos - Interlomas - Turbo</t>
  </si>
  <si>
    <t>77084</t>
  </si>
  <si>
    <t>27.97</t>
  </si>
  <si>
    <t>MX1930328424</t>
  </si>
  <si>
    <t>Avocalia - Interlomas - Turbo</t>
  </si>
  <si>
    <t>MX1930322241</t>
  </si>
  <si>
    <t>La Panquequería - Interlomas - Turbo</t>
  </si>
  <si>
    <t>MX1930321584</t>
  </si>
  <si>
    <t>Mr Beast Burger - Interlomas - Turbo</t>
  </si>
  <si>
    <t>MX1930322417</t>
  </si>
  <si>
    <t>Órale Desayunos - Interlomas-Turbo</t>
  </si>
  <si>
    <t>PIN TURBO A + 50 mts</t>
  </si>
  <si>
    <t>MX1930321504</t>
  </si>
  <si>
    <t>Órale Chilaquiles- Interlomas - Turbo</t>
  </si>
  <si>
    <t>MX1930433738</t>
  </si>
  <si>
    <t>Pozórale Antojitos Mexicanos - San Ángel - Turbo</t>
  </si>
  <si>
    <t>77093</t>
  </si>
  <si>
    <t>20.43</t>
  </si>
  <si>
    <t>MX1930428141</t>
  </si>
  <si>
    <t>FreshLab - San angel - Turbo</t>
  </si>
  <si>
    <t>MX1930433819</t>
  </si>
  <si>
    <t>The Wrap Company - San Angel - Turbo</t>
  </si>
  <si>
    <t>Eggy By Chef Quintanilla - Turbo</t>
  </si>
  <si>
    <t>MX1930433894</t>
  </si>
  <si>
    <t>Eggy By Chef Quintanilla - San Ángel - Turbo</t>
  </si>
  <si>
    <t>MX1930390385</t>
  </si>
  <si>
    <t>House of Salads (Lindavista) - Turbo</t>
  </si>
  <si>
    <t>OFF CANCELACIONES</t>
  </si>
  <si>
    <t>81861</t>
  </si>
  <si>
    <t>23.99</t>
  </si>
  <si>
    <t>MX1930376617</t>
  </si>
  <si>
    <t>Tastyfoods (lindavista) - Turbo</t>
  </si>
  <si>
    <t>MX1930322224</t>
  </si>
  <si>
    <t>La Panquequería - Lindavista - Turbo</t>
  </si>
  <si>
    <t>MX1930335098</t>
  </si>
  <si>
    <t>Foodhub (lindavista) - Turbo</t>
  </si>
  <si>
    <t>MX1930324953</t>
  </si>
  <si>
    <t>Cocina Corrida (lindavista) - Turbo</t>
  </si>
  <si>
    <t>MX1930372970</t>
  </si>
  <si>
    <t>Desayunos de la Abuela (Lindavista) - Turbo</t>
  </si>
  <si>
    <t>MX1930321658</t>
  </si>
  <si>
    <t>Mr Beast Burger - Lindavista - Turbo</t>
  </si>
  <si>
    <t>MX1930325449</t>
  </si>
  <si>
    <t>Green House - Lindavista - Turbo</t>
  </si>
  <si>
    <t>MX1930323552</t>
  </si>
  <si>
    <t>Avocalia - Lindavista - Turbo</t>
  </si>
  <si>
    <t>MX1930321914</t>
  </si>
  <si>
    <t>Honest Food (lindavista) - Turbo</t>
  </si>
  <si>
    <t>MX1930321503</t>
  </si>
  <si>
    <t>Órale Chilaquiles- Lindavista - Turbo</t>
  </si>
  <si>
    <t>MX1930335166</t>
  </si>
  <si>
    <t>Fonda Local (Lindavista) - Turbo</t>
  </si>
  <si>
    <t>MX1930321655</t>
  </si>
  <si>
    <t>Chemaquiles By el Chema Gomfie - Lindavista - Turbo</t>
  </si>
  <si>
    <t>MX1930379502</t>
  </si>
  <si>
    <t>The Breakfast Club (Lindavista) - Turbo</t>
  </si>
  <si>
    <t>MX1930433610</t>
  </si>
  <si>
    <t>Pozórale Antojitos Mexicanos - Lindavista - Turbo</t>
  </si>
  <si>
    <t>MX1930322210</t>
  </si>
  <si>
    <t>Brunch &amp; Munch - Lindavista - Turbo</t>
  </si>
  <si>
    <t>Prender</t>
  </si>
  <si>
    <t>MX1930372874</t>
  </si>
  <si>
    <t>House Of Salads (lindavista) - Turbo San Andres de Las Salinas</t>
  </si>
  <si>
    <t>MX1930323406</t>
  </si>
  <si>
    <t>Avocalia Desayunos - Lindavista - Turbo</t>
  </si>
  <si>
    <t>MX1930412508</t>
  </si>
  <si>
    <t>The Egg Spot (Lindavista) - Turbo</t>
  </si>
  <si>
    <t>MX1930435106</t>
  </si>
  <si>
    <t>Freshlab - Lindavista - Turbo</t>
  </si>
  <si>
    <t>1,2,3,4,5,6</t>
  </si>
  <si>
    <t>0.3,0.6,0.9,1.2,1.5,1.8</t>
  </si>
  <si>
    <t>MX1930428183</t>
  </si>
  <si>
    <t>The Wrap Company - Lindavista - Turbo</t>
  </si>
  <si>
    <t>MX1930322422</t>
  </si>
  <si>
    <t>Órale Desayunos - Lindavista - Turbo</t>
  </si>
  <si>
    <t>MX1930433892</t>
  </si>
  <si>
    <t>Eggy By Chef Quintanilla - Lindavista - Turbo</t>
  </si>
  <si>
    <t>MX1930372815</t>
  </si>
  <si>
    <t>Man Vs Fries (lindavista) - Turbo Calz. Vallejo 904</t>
  </si>
  <si>
    <t>MX1930372858</t>
  </si>
  <si>
    <t>Super Ensaladas (lindavista) - Turbo</t>
  </si>
  <si>
    <t>MX1930428443</t>
  </si>
  <si>
    <t>Órale Burgers Churubusco - Turbo</t>
  </si>
  <si>
    <t>81879</t>
  </si>
  <si>
    <t>21.05</t>
  </si>
  <si>
    <t>RTWT &gt;9</t>
  </si>
  <si>
    <t>MX1930408496</t>
  </si>
  <si>
    <t>Cocina Corrida (churubusco) - Turbo</t>
  </si>
  <si>
    <t>MX1930410918</t>
  </si>
  <si>
    <t>Foodhub (Churubusco) - Turbo</t>
  </si>
  <si>
    <t>MX1930411252</t>
  </si>
  <si>
    <t>Tastyfoods (churubusco) - Turbo</t>
  </si>
  <si>
    <t>MX1930321915</t>
  </si>
  <si>
    <t>Honest Food (churubusco) - Turbo</t>
  </si>
  <si>
    <t>MX1930411257</t>
  </si>
  <si>
    <t>Fonda Local (churubusco) - Turbo</t>
  </si>
  <si>
    <t>MX1930321683</t>
  </si>
  <si>
    <t>Mr Beast Burger - el Prado - Turbo</t>
  </si>
  <si>
    <t>MX1930372816</t>
  </si>
  <si>
    <t>House Of Salads (churubusco) - Turbo</t>
  </si>
  <si>
    <t>MX1930411351</t>
  </si>
  <si>
    <t>The Egg Spot (Churubusco) - Turbo</t>
  </si>
  <si>
    <t>MX1930321639</t>
  </si>
  <si>
    <t>Chemaquiles By el Chema Gomfie - Churubusco - Turbo</t>
  </si>
  <si>
    <t>MX1930322215</t>
  </si>
  <si>
    <t>Brunch &amp; Munch - El Prado - Turbo</t>
  </si>
  <si>
    <t>MX1930411680</t>
  </si>
  <si>
    <t>The Breakfast Club (churubusco) - Turbo</t>
  </si>
  <si>
    <t>MX1930408225</t>
  </si>
  <si>
    <t>Green House - Churubusco - Turbo</t>
  </si>
  <si>
    <t>MX1930322159</t>
  </si>
  <si>
    <t>Avocalia - El Prado - Turbo</t>
  </si>
  <si>
    <t>MX1930428189</t>
  </si>
  <si>
    <t>The Wrap Company - El Prado - Turbo</t>
  </si>
  <si>
    <t>MX1930322410</t>
  </si>
  <si>
    <t>Órale Desayunos - El Prado - Turbo</t>
  </si>
  <si>
    <t>MX1930372884</t>
  </si>
  <si>
    <t>Super Ensaladas (churubusco) - Turbo</t>
  </si>
  <si>
    <t>1,2,3,4,5</t>
  </si>
  <si>
    <t>0.3,0.6,0.9,1.2,1.5</t>
  </si>
  <si>
    <t>MX1930322216</t>
  </si>
  <si>
    <t>La Panquequería - Churubusco - Turbo</t>
  </si>
  <si>
    <t>MX1930372872</t>
  </si>
  <si>
    <t>Man Vs Fries (churubusco) - Turbo Sur 69-B 101</t>
  </si>
  <si>
    <t>MX1930428143</t>
  </si>
  <si>
    <t>Freshlab - El Prado - Turbo</t>
  </si>
  <si>
    <t>MX1930321511</t>
  </si>
  <si>
    <t>Órale Chilaquiles- El Prado - Turbo</t>
  </si>
  <si>
    <t>MX1930408256</t>
  </si>
  <si>
    <t>Avocalia Desayunos - el Prado - Turbo</t>
  </si>
  <si>
    <t>MX1930433634</t>
  </si>
  <si>
    <t>Pozórale Antojitos Mexicanos -Churubusco - Turbo</t>
  </si>
  <si>
    <t>MX1930260023</t>
  </si>
  <si>
    <t>Chemaquiles by El Chema Gomfie - Polanco - Turbo</t>
  </si>
  <si>
    <t>85339</t>
  </si>
  <si>
    <t>18.12</t>
  </si>
  <si>
    <t>MX1930234344</t>
  </si>
  <si>
    <t>Green House - Polanco - Turbo</t>
  </si>
  <si>
    <t>MX1930329022</t>
  </si>
  <si>
    <t>Mega Green (Polanco) - Turbo</t>
  </si>
  <si>
    <t>MX1930335102</t>
  </si>
  <si>
    <t>Foodhub (Polanco) - Turbo</t>
  </si>
  <si>
    <t>MX1930372837</t>
  </si>
  <si>
    <t>House Of Salads (Polanco)-Turbo</t>
  </si>
  <si>
    <t>MX1930368584</t>
  </si>
  <si>
    <t>Fonda Local (Polanco) - Turbo</t>
  </si>
  <si>
    <t>MX1930324955</t>
  </si>
  <si>
    <t>Cocina Corrida (polanco) - Turbo</t>
  </si>
  <si>
    <t>MX1930321916</t>
  </si>
  <si>
    <t>Honest Food (Polanco) - Turbo</t>
  </si>
  <si>
    <t>MX1930214659</t>
  </si>
  <si>
    <t>Avocalia - Polanco - Turbo</t>
  </si>
  <si>
    <t>MX1930294784</t>
  </si>
  <si>
    <t>Órale Desayunos - Polanco - Turbo</t>
  </si>
  <si>
    <t>MX1930294804</t>
  </si>
  <si>
    <t>La Panquequería - Polanco - Turbo</t>
  </si>
  <si>
    <t>MX1930324342</t>
  </si>
  <si>
    <t>Desayunos de la Abuela (Polanco) - Turbo</t>
  </si>
  <si>
    <t>MX1930174981</t>
  </si>
  <si>
    <t>Brunch &amp; Munch - Polanco - Turbo</t>
  </si>
  <si>
    <t>MX1930101785</t>
  </si>
  <si>
    <t>Mr Beast Burger Turbo - Polanco</t>
  </si>
  <si>
    <t>MX1930329030</t>
  </si>
  <si>
    <t>The Breakfast Club (Polanco) - Turbo</t>
  </si>
  <si>
    <t>MX1930411997</t>
  </si>
  <si>
    <t>The Egg Spot (Polanco) - Turbo</t>
  </si>
  <si>
    <t>MX1930298381</t>
  </si>
  <si>
    <t>Avocalia Desayunos - Polanco - Turbo</t>
  </si>
  <si>
    <t>MX1930433815</t>
  </si>
  <si>
    <t>The Wrap Company - Polanco - Turbo</t>
  </si>
  <si>
    <t>MX1930328928</t>
  </si>
  <si>
    <t>Tastyfoods (Polanco) - Turbo</t>
  </si>
  <si>
    <t>MX1930321498</t>
  </si>
  <si>
    <t>Órale Chilaquiles - Polanco - Turbo</t>
  </si>
  <si>
    <t>MX1930428144</t>
  </si>
  <si>
    <t>Freshlab - Polanco - Turbo</t>
  </si>
  <si>
    <t>MX1930288870</t>
  </si>
  <si>
    <t>La Neta Burgers Polanco - Turbo</t>
  </si>
  <si>
    <t>MX1930390386</t>
  </si>
  <si>
    <t>House Of Salads (Polanco) - Turbo DUPLICADA</t>
  </si>
  <si>
    <t>MX1930433693</t>
  </si>
  <si>
    <t>Pozórale Antojitos Mexicanos - Polanco - Turbo</t>
  </si>
  <si>
    <t>MX1930290236</t>
  </si>
  <si>
    <t>Subs &amp; Soups (Polanco) - Turbo</t>
  </si>
  <si>
    <t>MX1930433891</t>
  </si>
  <si>
    <t>Eggy By Chef Quintanilla - Polanco - Turbo</t>
  </si>
  <si>
    <t>MX1930372863</t>
  </si>
  <si>
    <t>Man Vs Fries (polanco) - Turbo Interior Río San Joaquín 206b</t>
  </si>
  <si>
    <t>MX1930433056</t>
  </si>
  <si>
    <t>Pozórale Antojitos Mexicanos - Del Valle - Turbo</t>
  </si>
  <si>
    <t>96729</t>
  </si>
  <si>
    <t>19.09</t>
  </si>
  <si>
    <t>MX1930381680</t>
  </si>
  <si>
    <t>Avocalia Desayunos - Del Valle - Turbo</t>
  </si>
  <si>
    <t>Apagado</t>
  </si>
  <si>
    <t>MX1930321513</t>
  </si>
  <si>
    <t>Órale Chilaquiles Del Valle - Turbo Miguel Angel 27 3607</t>
  </si>
  <si>
    <t>0.3,0.6,0.9,1.2,1.5,1.8,2.1,2.2</t>
  </si>
  <si>
    <t>MX1930322418</t>
  </si>
  <si>
    <t>Órale Desayunos - Del Valle - Turbo</t>
  </si>
  <si>
    <t>MX1930322230</t>
  </si>
  <si>
    <t>La Panquequería - Del Valle - Turbo</t>
  </si>
  <si>
    <t>MX1930376301</t>
  </si>
  <si>
    <t>Foodhub (Del Valle) - Turbo</t>
  </si>
  <si>
    <t>MX1930403637</t>
  </si>
  <si>
    <t>Fonda Local (del Valle) - Turbo</t>
  </si>
  <si>
    <t>MX1930411998</t>
  </si>
  <si>
    <t>The Egg Spot (Del Valle) - Tur</t>
  </si>
  <si>
    <t>MX1930378722</t>
  </si>
  <si>
    <t>Cocina Corrida (del Valle) - Turbo</t>
  </si>
  <si>
    <t>MX1930321610</t>
  </si>
  <si>
    <t>Chemaquiles By el Chema Gomfie - Del Valle - Turbo</t>
  </si>
  <si>
    <t>MX1930340118</t>
  </si>
  <si>
    <t>Mr Beast Burger - Del Valle - Turbo</t>
  </si>
  <si>
    <t>MX1930278037</t>
  </si>
  <si>
    <t>Green House - Del Valle - Turbo</t>
  </si>
  <si>
    <t>MX1930278036</t>
  </si>
  <si>
    <t>Avocalia - Del Valle - Turbo</t>
  </si>
  <si>
    <t>MX1930383901</t>
  </si>
  <si>
    <t>The Breakfast Club (Del Valle) - Turbo</t>
  </si>
  <si>
    <t>MX1930373054</t>
  </si>
  <si>
    <t>Tastyfoods (Del Valle) - Turbo</t>
  </si>
  <si>
    <t>MX1930428184</t>
  </si>
  <si>
    <t>The Wrap Company - Del Valle - Turbo</t>
  </si>
  <si>
    <t>MX1930278035</t>
  </si>
  <si>
    <t>Brunch &amp; Munch - Del Valle - Turbo</t>
  </si>
  <si>
    <t>MX1930372845</t>
  </si>
  <si>
    <t>House Of Salads (del Valle) - Turbo</t>
  </si>
  <si>
    <t>MX1930321919</t>
  </si>
  <si>
    <t>Honest Food (del Valle) - Turbo</t>
  </si>
  <si>
    <t>MX1930372971</t>
  </si>
  <si>
    <t>Desayunos de la Abuela (Del Valle) - Turbo</t>
  </si>
  <si>
    <t>MX1930428178</t>
  </si>
  <si>
    <t>Órale Burgers Del Valle - Turbo</t>
  </si>
  <si>
    <t>MX1930372853</t>
  </si>
  <si>
    <t>Man Vs Fries (del Valle) - Turbo Miguel Angel 27</t>
  </si>
  <si>
    <t>MX1930372868</t>
  </si>
  <si>
    <t>Mega Green (Del Valle) - Turbo</t>
  </si>
  <si>
    <t>MX1930428149</t>
  </si>
  <si>
    <t>Freshlab - Del Valle - Turbo</t>
  </si>
  <si>
    <t>MX1930413409</t>
  </si>
  <si>
    <t>The Egg Spot (Pedregal) - Turbo</t>
  </si>
  <si>
    <t>Sin HUB</t>
  </si>
  <si>
    <t>cluster_F3_207</t>
  </si>
  <si>
    <t>SIN HUB</t>
  </si>
  <si>
    <t>MX1930372834</t>
  </si>
  <si>
    <t>Super Ensaladas (metepec) - Turbo Blvd. Av. Adolfo López Mateos 1514</t>
  </si>
  <si>
    <t>MX1930321579</t>
  </si>
  <si>
    <t>Chemaquiles By el Chema Gomfie - Satelite - Turbo Avenida Lomas Verdes 640 3655</t>
  </si>
  <si>
    <t>cluster_F4_277</t>
  </si>
  <si>
    <t>MX1930321635</t>
  </si>
  <si>
    <t>Chemaquiles By el Chema Gomfie - Santa Fe - Turbo Gómez Farias 207 3602</t>
  </si>
  <si>
    <t>cluster_F4_310</t>
  </si>
  <si>
    <t>MX1930372819</t>
  </si>
  <si>
    <t>Man Vs Fries (metepec) - Turbo Blvd. Av. Adolfo López Mateos 1514</t>
  </si>
  <si>
    <t>MX1930321623</t>
  </si>
  <si>
    <t>Mr Beast Burger - Polanco - Turbo CHURN</t>
  </si>
  <si>
    <t>CHURN</t>
  </si>
  <si>
    <t>point_id_85339</t>
  </si>
  <si>
    <t>MX1930322407</t>
  </si>
  <si>
    <t>Órale Desayunos - Satélite - Turbo</t>
  </si>
  <si>
    <t>MX1930372848</t>
  </si>
  <si>
    <t>Man Vs Fries (iztapalapa) - Turbo Av. Del Rosal</t>
  </si>
  <si>
    <t>cluster_F4_536</t>
  </si>
  <si>
    <t>MX1930321615</t>
  </si>
  <si>
    <t>Mr Beast Burger - Azcapotzalco - Turbo</t>
  </si>
  <si>
    <t>MX1930321921</t>
  </si>
  <si>
    <t>Honest Food (satelite) - Turbo</t>
  </si>
  <si>
    <t>MX1930372879</t>
  </si>
  <si>
    <t>Super Ensaladas (azcapotzalco) - Turbo Calz. de Las Armas</t>
  </si>
  <si>
    <t>MX1930372880</t>
  </si>
  <si>
    <t>Man Vs Fries (santa Fe) - Turbo Gómez Farias 207</t>
  </si>
  <si>
    <t>MX1930404687</t>
  </si>
  <si>
    <t>Avocalia Desayunos - Pedregal - Turbo</t>
  </si>
  <si>
    <t>MX1930321490</t>
  </si>
  <si>
    <t>Órale Chilaquiles- Azcapotzalco - Turbo</t>
  </si>
  <si>
    <t>MX1930322160</t>
  </si>
  <si>
    <t>Avocalia - Santa Fe - Turbo</t>
  </si>
  <si>
    <t>MX1930321660</t>
  </si>
  <si>
    <t>Mr Beast Burger - Iztapalapa - Turbo</t>
  </si>
  <si>
    <t>MX1930412471</t>
  </si>
  <si>
    <t>Green House - Pedregal - Turbo</t>
  </si>
  <si>
    <t>MX1930321664</t>
  </si>
  <si>
    <t>Mr Beast Burger - Santa Fe - Turbo</t>
  </si>
  <si>
    <t>MX1930413104</t>
  </si>
  <si>
    <t>Desayunos de la Abuela (Pedregal) - Turbo</t>
  </si>
  <si>
    <t>MX1930322222</t>
  </si>
  <si>
    <t>La Panquequería - Pedregal - Turbo</t>
  </si>
  <si>
    <t>MX1930372814</t>
  </si>
  <si>
    <t>House Of Salads (metepec) - Turbo Blvd. Av. Adolfo López Mateos 1514-Mz 005</t>
  </si>
  <si>
    <t>MX1930411097</t>
  </si>
  <si>
    <t>Foodhub (Doctores) - Turbo</t>
  </si>
  <si>
    <t>MX1930385437</t>
  </si>
  <si>
    <t>Desayunos de la Abuela (samara Shops) - Turbo</t>
  </si>
  <si>
    <t>MX1930322419</t>
  </si>
  <si>
    <t>Órale Desayunos - Pedregal - Turbo</t>
  </si>
  <si>
    <t>MX1930321682</t>
  </si>
  <si>
    <t>Chemaquiles By el Chema Gomfie - Azcapotzalco - Turbo Calzada de Las Armas 315 3574</t>
  </si>
  <si>
    <t>MX1930322414</t>
  </si>
  <si>
    <t>Órale Desayunos - Zona Esmeralda - Turbo</t>
  </si>
  <si>
    <t>MX1930411126</t>
  </si>
  <si>
    <t>Avocalia - Iztapalapa - Turbo</t>
  </si>
  <si>
    <t>MX1930322163</t>
  </si>
  <si>
    <t>Avocalia - Satélite - Turbo</t>
  </si>
  <si>
    <t>MX1930322435</t>
  </si>
  <si>
    <t>Órale Desayunos - Santa Fe - Turbo</t>
  </si>
  <si>
    <t>MX1930372824</t>
  </si>
  <si>
    <t>Super Ensaladas (iztapalapa) - Turbo Av. Del Rosal</t>
  </si>
  <si>
    <t>MX1930322231</t>
  </si>
  <si>
    <t>La Panquequería - Satelite - Turbo</t>
  </si>
  <si>
    <t>MX1930322431</t>
  </si>
  <si>
    <t>Órale Desayunos - Iztapalapa - Turbo</t>
  </si>
  <si>
    <t>MX1930322428</t>
  </si>
  <si>
    <t>Órale Desayunos - Águilas - Turbo</t>
  </si>
  <si>
    <t>MX1930372883</t>
  </si>
  <si>
    <t>Super Ensaladas (zona Esmeralda) - Turbo Foodology Esmeralda</t>
  </si>
  <si>
    <t>MX1930372836</t>
  </si>
  <si>
    <t>Super Ensaladas (satelite) - Turbo Avenida Lomas Verdes 640</t>
  </si>
  <si>
    <t>MX1930372830</t>
  </si>
  <si>
    <t>Man Vs Fries (zona Esmeralda) - Turbo Rtno. Del Condor</t>
  </si>
  <si>
    <t>MX1930321514</t>
  </si>
  <si>
    <t>Órale Chilaquiles Zona Esmeralda - Turbo Rtno. Del Condor 7 3623</t>
  </si>
  <si>
    <t>MX1930321614</t>
  </si>
  <si>
    <t>Mr Beast Burger - Satélite - Turbo</t>
  </si>
  <si>
    <t>MX1930321657</t>
  </si>
  <si>
    <t>Green House - Iztapalapa - Turbo</t>
  </si>
  <si>
    <t>MX1930372851</t>
  </si>
  <si>
    <t>House Of Salads (pedregal) - Turbo Av. Insurgentes Sur 3655</t>
  </si>
  <si>
    <t>MX1930322217</t>
  </si>
  <si>
    <t>La Panquequería - Zona Esmeralda - Turbo</t>
  </si>
  <si>
    <t>MX1930372821</t>
  </si>
  <si>
    <t>Super Ensaladas (pedregal) - Turbo Av. Insurgentes Sur 3655</t>
  </si>
  <si>
    <t>MX1930412505</t>
  </si>
  <si>
    <t>Fonda Local (pedregal) - Turbo</t>
  </si>
  <si>
    <t>MX1930372822</t>
  </si>
  <si>
    <t>House Of Salads (satelite) - Turbo Avenida Lomas Verdes 640</t>
  </si>
  <si>
    <t>MX1930322208</t>
  </si>
  <si>
    <t>Brunch &amp; Munch - Satélite - Turbo</t>
  </si>
  <si>
    <t>MX1930372823</t>
  </si>
  <si>
    <t>Man Vs Fries (pedregal) - Turbo Av. Insurgentes Sur 3655</t>
  </si>
  <si>
    <t>MX1930295132</t>
  </si>
  <si>
    <t>Brunch &amp; Munch - Zona Esmeralda - Turbo</t>
  </si>
  <si>
    <t>MX1930321909</t>
  </si>
  <si>
    <t>Honest Food (azcapotzalco) - Turbo</t>
  </si>
  <si>
    <t>MX1930322223</t>
  </si>
  <si>
    <t>La Panquequería - Iztapalapa - Turbo</t>
  </si>
  <si>
    <t>MX1930322207</t>
  </si>
  <si>
    <t>Brunch &amp; Munch Pedregal - Turbo</t>
  </si>
  <si>
    <t>MX1930322424</t>
  </si>
  <si>
    <t>Órale Desayunos - Buenavista - Turbo</t>
  </si>
  <si>
    <t>cluster_F1_83</t>
  </si>
  <si>
    <t>MX1930372820</t>
  </si>
  <si>
    <t>Man Vs Fries (satelite) - Turbo Avenida Lomas Verdes 640</t>
  </si>
  <si>
    <t>MX1930321922</t>
  </si>
  <si>
    <t>Honest Food (Pedregal) - Turbo</t>
  </si>
  <si>
    <t>MX1930406811</t>
  </si>
  <si>
    <t>Cocina Corrida (pedregal) - Turbo</t>
  </si>
  <si>
    <t>MX1930321588</t>
  </si>
  <si>
    <t>Chemaquiles By el Chema Gomfie - Pedregal - Turbo Av. Insurgentes Sur 3655 3613</t>
  </si>
  <si>
    <t>MX1930321918</t>
  </si>
  <si>
    <t>Honest Food (iztapalapa) - Turbo</t>
  </si>
  <si>
    <t>MX1930321609</t>
  </si>
  <si>
    <t>Chemaquiles By el Chema Gomfie - Zona Esmeralda - Turbo Rtno. Del Condor 7 3623</t>
  </si>
  <si>
    <t>MX1930294792</t>
  </si>
  <si>
    <t>Mr Beast Burger - Zona Esmeralda - Turbo</t>
  </si>
  <si>
    <t>MX1930321487</t>
  </si>
  <si>
    <t>Órale Chilaquiles- Iztapalapa - Turbo</t>
  </si>
  <si>
    <t>MX1930324952</t>
  </si>
  <si>
    <t>House Of Salads (Samara Shops) - Turbo</t>
  </si>
  <si>
    <t>MX1930321486</t>
  </si>
  <si>
    <t>Órale Chilaquiles Santa Fe - Turbo Gómez Farias 207 3602</t>
  </si>
  <si>
    <t>MX1930406099</t>
  </si>
  <si>
    <t>Foodhub (Pedregal) - Turbo</t>
  </si>
  <si>
    <t>MX1930372869</t>
  </si>
  <si>
    <t>House Of Salads (iztapalapa) - Turbo Av. Del Rosal</t>
  </si>
  <si>
    <t>MX1930321489</t>
  </si>
  <si>
    <t>Órale Chilaquiles-Pedregal - Turbo</t>
  </si>
  <si>
    <t>MX1930321634</t>
  </si>
  <si>
    <t>Chemaquiles By el Chema Gomfie - Iztapalapa - Turbo Brunch And Munch 3581</t>
  </si>
  <si>
    <t>MX1930321627</t>
  </si>
  <si>
    <t>Mr Beast Burger - Buenavista - Turbo</t>
  </si>
  <si>
    <t>MX1930322212</t>
  </si>
  <si>
    <t>Brunch &amp; Munch - Santa Fe - Turbo</t>
  </si>
  <si>
    <t>MX1930322244</t>
  </si>
  <si>
    <t>La Panquequería - Santa Fe - Turbo</t>
  </si>
  <si>
    <t>MX1930372870</t>
  </si>
  <si>
    <t>House Of Salads (azcapotzalco) - Turbo Calz. de Las Armas 315</t>
  </si>
  <si>
    <t>MX1930322433</t>
  </si>
  <si>
    <t>Órale Desayunos- Azcapotzalco - Turbo</t>
  </si>
  <si>
    <t>MX1930406810</t>
  </si>
  <si>
    <t>Tastyfoods (pedregal) - Turbo</t>
  </si>
  <si>
    <t>MX1930321910</t>
  </si>
  <si>
    <t>Honest Food (zona Esmeralda) - Turbo</t>
  </si>
  <si>
    <t>MX1930322161</t>
  </si>
  <si>
    <t>Avocalia - Pedregal - Turbo</t>
  </si>
  <si>
    <t>MX1930321510</t>
  </si>
  <si>
    <t>Órale Chilaquiles- Buenavista - Turbo</t>
  </si>
  <si>
    <t>MX1930372859</t>
  </si>
  <si>
    <t>House Of Salads (zona Esmeralda) - Turbo Rtno. Del Condor 7</t>
  </si>
  <si>
    <t>MX1930372838</t>
  </si>
  <si>
    <t>Super Ensaladas (santa Fe) - Turbo Gómez Farias 207</t>
  </si>
  <si>
    <t>MX1930321637</t>
  </si>
  <si>
    <t>Mr Beast Burger Pedregal - Turbo</t>
  </si>
  <si>
    <t>MX1930321908</t>
  </si>
  <si>
    <t>Honest Food (santa Fe) - Turbo</t>
  </si>
  <si>
    <t>MX1930406814</t>
  </si>
  <si>
    <t>The Breakfast Club (Pedregal) - Turbo</t>
  </si>
  <si>
    <t>MX1930322218</t>
  </si>
  <si>
    <t>La Panquequería - Azcapotzalco - Turbo</t>
  </si>
  <si>
    <t>MX1930321509</t>
  </si>
  <si>
    <t>Órale Chilaquiles- Satélite - Turbo</t>
  </si>
  <si>
    <t>MX1930342756</t>
  </si>
  <si>
    <t>The Breakfast Club (samara Shops) - Turbo</t>
  </si>
  <si>
    <t>MX1930322239</t>
  </si>
  <si>
    <t>La Panquequería - Buenavista - Turbo</t>
  </si>
  <si>
    <t>Guadalajara</t>
  </si>
  <si>
    <t>MX1930326944</t>
  </si>
  <si>
    <t>The Breakfast Club (Santa Teresita) - Turbo</t>
  </si>
  <si>
    <t>1134</t>
  </si>
  <si>
    <t>14.26</t>
  </si>
  <si>
    <t>MX1930335103</t>
  </si>
  <si>
    <t>Foodhub (santa Teresita) - Turbo</t>
  </si>
  <si>
    <t>MX1930214504</t>
  </si>
  <si>
    <t>Mr Beast Burger - Santa Teresita - Turbo</t>
  </si>
  <si>
    <t>MX1930212482</t>
  </si>
  <si>
    <t>Brunch &amp; Munch - Santa Teresita - Turbo</t>
  </si>
  <si>
    <t>MX1930294802</t>
  </si>
  <si>
    <t>La Panquequería - Santa Teresita - Turbo</t>
  </si>
  <si>
    <t>MX1930234342</t>
  </si>
  <si>
    <t>Green House - Santa Teresita - Turbo</t>
  </si>
  <si>
    <t>MX1930214661</t>
  </si>
  <si>
    <t>Avocalia - Santa Teresita - Turbo</t>
  </si>
  <si>
    <t>MX1930294783</t>
  </si>
  <si>
    <t>Órale Desayunos - Santa Teresita - Turbo</t>
  </si>
  <si>
    <t>MX1930321500</t>
  </si>
  <si>
    <t>Órale Chilaquiles- Santa Teresita - Turbo</t>
  </si>
  <si>
    <t>MX1930260021</t>
  </si>
  <si>
    <t>Chemaquiles by El Chema Gomfie - Santa Teresita - Turbo</t>
  </si>
  <si>
    <t>MX1930324836</t>
  </si>
  <si>
    <t>Avocalia Desayunos - Santa Teresita - Turbo</t>
  </si>
  <si>
    <t>MX1930288868</t>
  </si>
  <si>
    <t>La Neta Burgers Santa Teresita - Turbo</t>
  </si>
  <si>
    <t>MX1930290534</t>
  </si>
  <si>
    <t>Subs &amp; Soups (Santa Teresita) - Turbo</t>
  </si>
  <si>
    <t>MX1930321834</t>
  </si>
  <si>
    <t>Honest Food (Santa Teresita) - Turbo</t>
  </si>
  <si>
    <t>MX1930335097</t>
  </si>
  <si>
    <t>Foodhub (tabachines) - Turbo</t>
  </si>
  <si>
    <t>33071</t>
  </si>
  <si>
    <t>15.4</t>
  </si>
  <si>
    <t>MX1930413101</t>
  </si>
  <si>
    <t>The Egg Spot (Tabachines) - Turbo</t>
  </si>
  <si>
    <t>MX1930321667</t>
  </si>
  <si>
    <t>Chemaquiles By el Chema Gomfie - Tabachines - Turbo</t>
  </si>
  <si>
    <t>MX1930428182</t>
  </si>
  <si>
    <t>The Wrap Company - Tabachines - Turbo</t>
  </si>
  <si>
    <t>MX1930411063</t>
  </si>
  <si>
    <t>The Breakfast Club (Tabachines) - Turbo</t>
  </si>
  <si>
    <t>MX1930330557</t>
  </si>
  <si>
    <t>Cocina Corrida (tabachines) - Turbo</t>
  </si>
  <si>
    <t>MX1930321917</t>
  </si>
  <si>
    <t>Honest Food (tabachines) - Turbo</t>
  </si>
  <si>
    <t>MX1930290412</t>
  </si>
  <si>
    <t>Avocalia - Tabachines - Turbo</t>
  </si>
  <si>
    <t>MX1930304540</t>
  </si>
  <si>
    <t>Avocalia Desayunos - Tabachines - Turbo</t>
  </si>
  <si>
    <t>MX1930304536</t>
  </si>
  <si>
    <t>Green House - Tabachines - Turbo</t>
  </si>
  <si>
    <t>MX1930428438</t>
  </si>
  <si>
    <t>Órale Burgers Tabachines - Turbo</t>
  </si>
  <si>
    <t>MX1930290756</t>
  </si>
  <si>
    <t>Mr Beast Burger Tabachines - Turbo</t>
  </si>
  <si>
    <t>MX1930321183</t>
  </si>
  <si>
    <t>House Of Salads (Tabachines) - Turbo</t>
  </si>
  <si>
    <t>MX1930428142</t>
  </si>
  <si>
    <t>Freshlab - Tabachines - Turbo</t>
  </si>
  <si>
    <t>MX1930370256</t>
  </si>
  <si>
    <t>Fonda Local (Tabachines) - Turbo</t>
  </si>
  <si>
    <t>MX1930328929</t>
  </si>
  <si>
    <t>Tastyfoods (Tabachines) - Turbo</t>
  </si>
  <si>
    <t>MX1930322542</t>
  </si>
  <si>
    <t>Mega Green (Tabachines) - Turbo</t>
  </si>
  <si>
    <t>MX1930433666</t>
  </si>
  <si>
    <t>Pozórale Antojitos Mexicanos - Tabachines - Turbo</t>
  </si>
  <si>
    <t>MX1930290742</t>
  </si>
  <si>
    <t>Órale Desayunos - Tabachines - Turbo</t>
  </si>
  <si>
    <t>MX1930372847</t>
  </si>
  <si>
    <t>Man Vs Fries (tabachines) - Turbo Av. Juan Pablo Ii 314</t>
  </si>
  <si>
    <t>MX1930324341</t>
  </si>
  <si>
    <t>Desayunos de la Abuela (Tabachines) - Turbo</t>
  </si>
  <si>
    <t>MX1930322226</t>
  </si>
  <si>
    <t>La Panquequería - Tabachines - Turbo</t>
  </si>
  <si>
    <t>MX1930433890</t>
  </si>
  <si>
    <t>Eggy By Chef Quintanilla - Tabachines - Turbo</t>
  </si>
  <si>
    <t>MX1930321492</t>
  </si>
  <si>
    <t>Órale Chilaquiles - Tabachines - Turbo</t>
  </si>
  <si>
    <t>MX1930290423</t>
  </si>
  <si>
    <t>Brunch &amp; Munch Tabachines - Turbo</t>
  </si>
  <si>
    <t>MX1930428153</t>
  </si>
  <si>
    <t>Freshlab - Jardines Guadalajara - Turbo</t>
  </si>
  <si>
    <t>45060</t>
  </si>
  <si>
    <t>15.18</t>
  </si>
  <si>
    <t>MX1930411059</t>
  </si>
  <si>
    <t>The Breakfast Club (Jardines) - Turbo</t>
  </si>
  <si>
    <t>MX1930433893</t>
  </si>
  <si>
    <t>Eggy By Chef Quintanilla - Jardines - Turbo</t>
  </si>
  <si>
    <t>MX1930292029</t>
  </si>
  <si>
    <t>La Panquequería - Jardines - Turbo</t>
  </si>
  <si>
    <t>MX1930335099</t>
  </si>
  <si>
    <t>Foodhub (jardines) - Turbo</t>
  </si>
  <si>
    <t>MX1930337283</t>
  </si>
  <si>
    <t>Super Ensaladas (jardines) - Turbo</t>
  </si>
  <si>
    <t>MX1930291997</t>
  </si>
  <si>
    <t>Brunch &amp; Munch - Jardines Guadalajara - Turbo</t>
  </si>
  <si>
    <t>MX1930292026</t>
  </si>
  <si>
    <t>Mr Beast Burger - Jardines Guadalajara - Turbo</t>
  </si>
  <si>
    <t>MX1930428186</t>
  </si>
  <si>
    <t>The Wrap Company - Jardines Guadalajara - Turbo</t>
  </si>
  <si>
    <t>MX1930412000</t>
  </si>
  <si>
    <t>The Egg Spot (Jardines) - Turbo</t>
  </si>
  <si>
    <t>MX1930292030</t>
  </si>
  <si>
    <t>Green House - Jardines - Turbo</t>
  </si>
  <si>
    <t>MX1930370807</t>
  </si>
  <si>
    <t>Fonda Local (Jardines) - Turbo</t>
  </si>
  <si>
    <t>MX1930433762</t>
  </si>
  <si>
    <t>Pozórale Antojitos Mexicanos- Jardínes - Turbo</t>
  </si>
  <si>
    <t>MX1930292025</t>
  </si>
  <si>
    <t>Órale Desayunos - Jardines - Turbo</t>
  </si>
  <si>
    <t>MX1930411426</t>
  </si>
  <si>
    <t>Desayunos de la Abuela (Jardines) - Turbo</t>
  </si>
  <si>
    <t>MX1930292023</t>
  </si>
  <si>
    <t>Avocalia - Jardines Guadalajara - Turbo</t>
  </si>
  <si>
    <t>MX1930330556</t>
  </si>
  <si>
    <t>Cocina Corrida (jardines) - Turbo</t>
  </si>
  <si>
    <t>MX1930337326</t>
  </si>
  <si>
    <t>House Of Salads (Jardines) - Turbo</t>
  </si>
  <si>
    <t>MX1930321920</t>
  </si>
  <si>
    <t>Honest Food (jardines) - Turbo</t>
  </si>
  <si>
    <t>MX1930321617</t>
  </si>
  <si>
    <t>Chemaquiles By el Chema Gomfie - Jardines - Turbo</t>
  </si>
  <si>
    <t>MX1930321502</t>
  </si>
  <si>
    <t>Órale Chilaquiles- Jardines Guadalajara - Turbo</t>
  </si>
  <si>
    <t>MX1930428440</t>
  </si>
  <si>
    <t>Órale Burgers Jardines - Turbo.</t>
  </si>
  <si>
    <t>MX1930372850</t>
  </si>
  <si>
    <t>Man Vs Fries (jardines) - Turbo Av Naciones Unidas 5279</t>
  </si>
  <si>
    <t>MX1930328933</t>
  </si>
  <si>
    <t>Tastyfoods (jardines) - Turbo</t>
  </si>
  <si>
    <t>MX1930297737</t>
  </si>
  <si>
    <t>Avocalia Desayunos - Jardines Guadalajara - Turbo</t>
  </si>
  <si>
    <t>Sandwiches And Soups Co - Turbo</t>
  </si>
  <si>
    <t>MX1930437414</t>
  </si>
  <si>
    <t>Sandwiches &amp; Soupsco. (Jardines) - Turbo</t>
  </si>
  <si>
    <t>MX1930413964</t>
  </si>
  <si>
    <t>Desayunos de la Abuela (La Calma) - Turbo</t>
  </si>
  <si>
    <t>48398</t>
  </si>
  <si>
    <t>13.1</t>
  </si>
  <si>
    <t>MX1930413783</t>
  </si>
  <si>
    <t>Avocalia Desayunos - la Calma - Turbo</t>
  </si>
  <si>
    <t>MX1930321665</t>
  </si>
  <si>
    <t>Mr Beast Burger - la Calma - Turbo</t>
  </si>
  <si>
    <t>MX1930322219</t>
  </si>
  <si>
    <t>La Panquequería - La Calma - Turbo</t>
  </si>
  <si>
    <t>MX1930372861</t>
  </si>
  <si>
    <t>House Of Salads (la Calma) - Turbo</t>
  </si>
  <si>
    <t>MX1930413937</t>
  </si>
  <si>
    <t>Foodhub (La Calma) - Turbo</t>
  </si>
  <si>
    <t>MX1930407537</t>
  </si>
  <si>
    <t>Fonda Local (la Calma) - Turbo</t>
  </si>
  <si>
    <t>MX1930322209</t>
  </si>
  <si>
    <t>Brunch &amp; Munch - la Calma - Turbo</t>
  </si>
  <si>
    <t>MX1930413407</t>
  </si>
  <si>
    <t>The Egg Spot (La Calma) - Turbo</t>
  </si>
  <si>
    <t>MX1930322165</t>
  </si>
  <si>
    <t>Avocalia - La Calma - Turbo</t>
  </si>
  <si>
    <t>MX1930321659</t>
  </si>
  <si>
    <t>Chemaquiles By el Chema Gomfie - la Calma - Turbo</t>
  </si>
  <si>
    <t>MX1930411256</t>
  </si>
  <si>
    <t>Cocina Corrida (la Calma) - Turbo</t>
  </si>
  <si>
    <t>MX1930321485</t>
  </si>
  <si>
    <t>Órale Chilaquiles - la Calma - Turbo</t>
  </si>
  <si>
    <t>MX1930321649</t>
  </si>
  <si>
    <t>Green House - la Calma - Turbo</t>
  </si>
  <si>
    <t>MX1930321913</t>
  </si>
  <si>
    <t>Honest Food (la Calma) - Turbo</t>
  </si>
  <si>
    <t>MX1930416318</t>
  </si>
  <si>
    <t>The Breakfast Club (La Calma) - Turbo</t>
  </si>
  <si>
    <t>MX1930411064</t>
  </si>
  <si>
    <t>Tastyfoods (la Calma) - Turbo</t>
  </si>
  <si>
    <t>MX1930372842</t>
  </si>
  <si>
    <t>Super Ensaladas (la Calma) - Turbo</t>
  </si>
  <si>
    <t>MX1930372810</t>
  </si>
  <si>
    <t>Man Vs Fries (la Calma) - Turbo C. Volcán Vesubio 4944 a</t>
  </si>
  <si>
    <t>MX1930322426</t>
  </si>
  <si>
    <t>Órale Desayunos - La Calma - Turbo</t>
  </si>
  <si>
    <t>MX1930372887</t>
  </si>
  <si>
    <t>Mega Greens (Tlaquepaque) - Turbo</t>
  </si>
  <si>
    <t>77103</t>
  </si>
  <si>
    <t>20.47</t>
  </si>
  <si>
    <t>MX1930322211</t>
  </si>
  <si>
    <t>Brunch &amp; Munch - Tlaquepaque - Turbo</t>
  </si>
  <si>
    <t>MX1930321677</t>
  </si>
  <si>
    <t>Chemaquiles By el Chema Gomfie - Tlaquepaque - Turbo</t>
  </si>
  <si>
    <t>MX1930321495</t>
  </si>
  <si>
    <t>Órale Chilaquiles - Tlaquepaque - Turbo</t>
  </si>
  <si>
    <t>MX1930321600</t>
  </si>
  <si>
    <t>Mr Beast Burger - Tlaquepaque - Turbo</t>
  </si>
  <si>
    <t>MX1930321911</t>
  </si>
  <si>
    <t>Honest Food (tlaquepaque) - Turbo</t>
  </si>
  <si>
    <t>MX1930372881</t>
  </si>
  <si>
    <t>House Of Salads (Tlaquepaque) - Turbo</t>
  </si>
  <si>
    <t>MX1930322436</t>
  </si>
  <si>
    <t>Órale Desayunos. - Tlaquepaque. - Turbo</t>
  </si>
  <si>
    <t>MX1930321602</t>
  </si>
  <si>
    <t>Green House - Tlaquepaque - Turbo</t>
  </si>
  <si>
    <t>MX1930372862</t>
  </si>
  <si>
    <t>Man Vs Fries (tlaquepaque) - Turbo C. Federico Medrano 3434</t>
  </si>
  <si>
    <t>MX1930428148</t>
  </si>
  <si>
    <t>Freshlab - Santa Teresita - Turbo</t>
  </si>
  <si>
    <t>77692</t>
  </si>
  <si>
    <t>16.49</t>
  </si>
  <si>
    <t>MX1930411356</t>
  </si>
  <si>
    <t>House Of Salads (Santa Teresita) - Turbo</t>
  </si>
  <si>
    <t>MX1930411352</t>
  </si>
  <si>
    <t>Cocina Corrida (santa Teresita) - Turbo</t>
  </si>
  <si>
    <t>MX1930404382</t>
  </si>
  <si>
    <t>Fonda Local (santa Teresita) - Turbo</t>
  </si>
  <si>
    <t>MX1930433818</t>
  </si>
  <si>
    <t>The Wrap Company - Santa Teresita - Turbo</t>
  </si>
  <si>
    <t>MX1930408483</t>
  </si>
  <si>
    <t>Tastyfoods (santa Teresita) - Turbo</t>
  </si>
  <si>
    <t>MX1930372882</t>
  </si>
  <si>
    <t>Super Ensaladas (santa Teresita) - Turbo</t>
  </si>
  <si>
    <t>MX1930412410</t>
  </si>
  <si>
    <t>The Egg Spot (Santa Teresita) - Turbo</t>
  </si>
  <si>
    <t>MX1930433471</t>
  </si>
  <si>
    <t>Pozórale Antojitos Mexicanos - Santa Teresita - Turbo</t>
  </si>
  <si>
    <t>MX1930372860</t>
  </si>
  <si>
    <t>Man Vs Fries (santa Teresita) - Turbo C. Aurelio Luis Gallardo 64</t>
  </si>
  <si>
    <t>MX1930433889</t>
  </si>
  <si>
    <t>Eggy By Chef Quintanilla - Santa Teresita - Turbo</t>
  </si>
  <si>
    <t>MX1930372878</t>
  </si>
  <si>
    <t>Man Vs Fries (jardines Del Valle) - Turbo Av. Juan Gil Preciado 4014</t>
  </si>
  <si>
    <t>MX1930372825</t>
  </si>
  <si>
    <t>Man Vs Fries (estadio) - Turbo Calz. Independencia Norte 4852</t>
  </si>
  <si>
    <t>cluster_F4_880</t>
  </si>
  <si>
    <t>MX1930321669</t>
  </si>
  <si>
    <t>Chemaquiles By el Chema Gomfie - Jardines Del Valle - Turbo Av. Juan Gil Preciado 4014 3674</t>
  </si>
  <si>
    <t>MX1930416430</t>
  </si>
  <si>
    <t>Foodhub (Estadio) - Turbo</t>
  </si>
  <si>
    <t>MX1930372827</t>
  </si>
  <si>
    <t>Super Ensaladas (estadio) - Turbo Calz. Independencia Norte 4852</t>
  </si>
  <si>
    <t>MX1930413200</t>
  </si>
  <si>
    <t>Cocina Corrida (estadio) - Turbo</t>
  </si>
  <si>
    <t>MX1930413143</t>
  </si>
  <si>
    <t>Tastyfoods (estadio) - Tur</t>
  </si>
  <si>
    <t>MX1930413199</t>
  </si>
  <si>
    <t>Desayunos de la Abuela (Estadio) - Turbo</t>
  </si>
  <si>
    <t>MX1930321680</t>
  </si>
  <si>
    <t>Green House - Jardines Del Valle - Turbo Av. Juan Gil Preciado 4014 3674</t>
  </si>
  <si>
    <t>MX1930321505</t>
  </si>
  <si>
    <t>Órale Chilaquiles- Jardines Del Valle - Turbo</t>
  </si>
  <si>
    <t>MX1930322234</t>
  </si>
  <si>
    <t>La Panquequería - Jardines del Valle - Turbo</t>
  </si>
  <si>
    <t>MX1930415935</t>
  </si>
  <si>
    <t>Brunch &amp; Munch - Estadio - Turbo</t>
  </si>
  <si>
    <t>MX1930414018</t>
  </si>
  <si>
    <t>Avocalia - Estadio - Turbo</t>
  </si>
  <si>
    <t>MX1930322242</t>
  </si>
  <si>
    <t>La Panquequería - Tlaquepaque - Turbo</t>
  </si>
  <si>
    <t>cluster_F4_1072</t>
  </si>
  <si>
    <t>MX1930322437</t>
  </si>
  <si>
    <t>Órale Desayunos - Estadio - Turbo</t>
  </si>
  <si>
    <t>MX1930413179</t>
  </si>
  <si>
    <t>Avocalia Desayunos - Estadio - Turbo</t>
  </si>
  <si>
    <t>MX1930321895</t>
  </si>
  <si>
    <t>Honest Food (Estadio) - Turbo</t>
  </si>
  <si>
    <t>MX1930321643</t>
  </si>
  <si>
    <t>Chemaquiles By el Chema Gomfie - Estadio - Turbo Calz. Independencia Norte 2731-2807 Local 3 3658</t>
  </si>
  <si>
    <t>MX1930321619</t>
  </si>
  <si>
    <t>Green House - Estadio - Turbo</t>
  </si>
  <si>
    <t>MX1930372873</t>
  </si>
  <si>
    <t>Super Ensaladas (jardines Del Valle) - Turbo Av. Juan Gil Preciado 4014</t>
  </si>
  <si>
    <t>MX1930413198</t>
  </si>
  <si>
    <t>The Breakfast Club (Estadio) - Turbo</t>
  </si>
  <si>
    <t>MX1930413085</t>
  </si>
  <si>
    <t>La Panquequería - Estadio - Turbo</t>
  </si>
  <si>
    <t>MX1930321488</t>
  </si>
  <si>
    <t>Orale Chilaquiles - Estadio - Turbo</t>
  </si>
  <si>
    <t>MX1930321832</t>
  </si>
  <si>
    <t>Honest Food (Jardines Del Valle) - Turbo</t>
  </si>
  <si>
    <t>MX1930322243</t>
  </si>
  <si>
    <t>MX1930321603</t>
  </si>
  <si>
    <t>Mr Beast Burger - Estadio - Turbo</t>
  </si>
  <si>
    <t>MX1930322427</t>
  </si>
  <si>
    <t>Órale Desayunos - Jardines Del Valle - Turbo</t>
  </si>
  <si>
    <t>MX1930321595</t>
  </si>
  <si>
    <t>Mr Beast Burger - Jardines Del Valle - Turbo</t>
  </si>
  <si>
    <t>MX1930372799</t>
  </si>
  <si>
    <t>House Of Salads (jardines Del Valle) - Turbo Av. Juan Gil Preciado 4014</t>
  </si>
  <si>
    <t>Mérida</t>
  </si>
  <si>
    <t>MX1930328965</t>
  </si>
  <si>
    <t>Foodhub (Montejo) - Turbo</t>
  </si>
  <si>
    <t>33027</t>
  </si>
  <si>
    <t>20.15</t>
  </si>
  <si>
    <t>MX1930310139</t>
  </si>
  <si>
    <t>La Panquequería - Montejo - Turbo</t>
  </si>
  <si>
    <t>MX1930330560</t>
  </si>
  <si>
    <t>Cocina Corrida (montejo) - Turbo</t>
  </si>
  <si>
    <t>MX1930381124</t>
  </si>
  <si>
    <t>Fonda Local (Montejo) - Turbo</t>
  </si>
  <si>
    <t>MX1930329028</t>
  </si>
  <si>
    <t>House Of Salads (Montejo) - Turbo</t>
  </si>
  <si>
    <t>MX1930328971</t>
  </si>
  <si>
    <t>The Breakfast Club (Montejo) - Turbo</t>
  </si>
  <si>
    <t>MX1930310134</t>
  </si>
  <si>
    <t>Mr Beast Burger - Montejo - Turbo</t>
  </si>
  <si>
    <t>MX1930321896</t>
  </si>
  <si>
    <t>Honest Food (Montejo) - Turbo</t>
  </si>
  <si>
    <t>MX1930290757</t>
  </si>
  <si>
    <t>Órale Desayunos - Montejo - Turbo</t>
  </si>
  <si>
    <t>MX1930249230</t>
  </si>
  <si>
    <t>Avocalia - Montejo - Turbo</t>
  </si>
  <si>
    <t>MX1930329010</t>
  </si>
  <si>
    <t>Desayunos de la Abuela (Montejo) - Turbo</t>
  </si>
  <si>
    <t>MX1930416320</t>
  </si>
  <si>
    <t>The Egg Spot (Montejo) - Turbo</t>
  </si>
  <si>
    <t>MX1930321578</t>
  </si>
  <si>
    <t>Chemaquiles By el Chema Gomfie - Montejo - Turbo</t>
  </si>
  <si>
    <t>MX1930328931</t>
  </si>
  <si>
    <t>Tastyfoods (Montejo) - Turbo</t>
  </si>
  <si>
    <t>MX1930249228</t>
  </si>
  <si>
    <t>Green House - Montejo - Turbo</t>
  </si>
  <si>
    <t>MX1930249226</t>
  </si>
  <si>
    <t>Brunch &amp; Munch - Montejo - Turbo</t>
  </si>
  <si>
    <t>MX1930329027</t>
  </si>
  <si>
    <t>Mega Green (Montejo) - Turbo</t>
  </si>
  <si>
    <t>MX1930328711</t>
  </si>
  <si>
    <t>Avocalia Desayunos - Montejo - Turbo</t>
  </si>
  <si>
    <t>MX1930269583</t>
  </si>
  <si>
    <t>Orale Chilaquiles - Montejo - Turbo</t>
  </si>
  <si>
    <t>MX1930372805</t>
  </si>
  <si>
    <t>Man Vs Fries (montejo) - Turbo C. 21 a 198</t>
  </si>
  <si>
    <t>MX1930390388</t>
  </si>
  <si>
    <t>House Of Salads (Montejo) - Turbo DUPLICADA</t>
  </si>
  <si>
    <t>MX1930322235</t>
  </si>
  <si>
    <t>La Panquequería - Caucel - Turbo</t>
  </si>
  <si>
    <t>45066</t>
  </si>
  <si>
    <t>15.59</t>
  </si>
  <si>
    <t>MX1930321648</t>
  </si>
  <si>
    <t>Mr Beast Burger - Caucel - Turbo</t>
  </si>
  <si>
    <t>MX1930321483</t>
  </si>
  <si>
    <t>Órale Chilaquiles Caucel - Turbo Calle 31 682 3410</t>
  </si>
  <si>
    <t>MX1930411350</t>
  </si>
  <si>
    <t>House Of Salads (Canek) - Turbo</t>
  </si>
  <si>
    <t>48388</t>
  </si>
  <si>
    <t>18.88</t>
  </si>
  <si>
    <t>MX1930320789</t>
  </si>
  <si>
    <t>Órale Desayunos - Canek - Turbo</t>
  </si>
  <si>
    <t>MX1930406122</t>
  </si>
  <si>
    <t>Green House - Canek - Turbo</t>
  </si>
  <si>
    <t>MX1930414066</t>
  </si>
  <si>
    <t>The Breakfast Club (Canek) - Turbo</t>
  </si>
  <si>
    <t>MX1930414150</t>
  </si>
  <si>
    <t>Foodhub (canek) - Turbo</t>
  </si>
  <si>
    <t>MX1930321681</t>
  </si>
  <si>
    <t>Mr Beast Burger - Canek - Turbo</t>
  </si>
  <si>
    <t>MX1930414070</t>
  </si>
  <si>
    <t>Tastyfoods (canek) - Turbo</t>
  </si>
  <si>
    <t>MX1930322162</t>
  </si>
  <si>
    <t>Avocalia - Canek - Turbo</t>
  </si>
  <si>
    <t>MX1930414061</t>
  </si>
  <si>
    <t>Avocalia Desayunos - Canek - Turbo</t>
  </si>
  <si>
    <t>MX1930321887</t>
  </si>
  <si>
    <t>Honest Food (Canek) - Turbo</t>
  </si>
  <si>
    <t>MX1930414064</t>
  </si>
  <si>
    <t>Cocina Corrida (canek) - Turbo</t>
  </si>
  <si>
    <t>MX1930321501</t>
  </si>
  <si>
    <t>Órale Chilaquiles- Canek - Turbo</t>
  </si>
  <si>
    <t>MX1930415400</t>
  </si>
  <si>
    <t>Desayunos de la Abuela (Canek) - Turbo</t>
  </si>
  <si>
    <t>MX1930407328</t>
  </si>
  <si>
    <t>Super Ensaladas (Canek) - Turbo</t>
  </si>
  <si>
    <t>MX1930322206</t>
  </si>
  <si>
    <t>Brunch &amp; Munch - Canek - Turbo</t>
  </si>
  <si>
    <t>MX1930372813</t>
  </si>
  <si>
    <t>Man Vs Fries (canek) - Turbo (local 13) Plaza Paseo Canek</t>
  </si>
  <si>
    <t>MX1930415269</t>
  </si>
  <si>
    <t>La Panquequería - Canek - Turbo DUPLICADA</t>
  </si>
  <si>
    <t>MX1930322232</t>
  </si>
  <si>
    <t>La Panquequería - Canek - Turbo</t>
  </si>
  <si>
    <t>Monterrey</t>
  </si>
  <si>
    <t>MX1930322225</t>
  </si>
  <si>
    <t>La Panquequería - San Pedro - Turbo</t>
  </si>
  <si>
    <t>1149</t>
  </si>
  <si>
    <t>16.67</t>
  </si>
  <si>
    <t>MX1930408373</t>
  </si>
  <si>
    <t>La Panquequería - San Pedro - Turboo</t>
  </si>
  <si>
    <t>MX1930321591</t>
  </si>
  <si>
    <t>Mr Beast Burger - Monterrey - Turbo</t>
  </si>
  <si>
    <t>MX1930322421</t>
  </si>
  <si>
    <t>Órale Desayunos - Monterrey - Turbo</t>
  </si>
  <si>
    <t>MX1930321499</t>
  </si>
  <si>
    <t>Órale Chilaquiles- Monterrey - Turbo</t>
  </si>
  <si>
    <t>MX1930328714</t>
  </si>
  <si>
    <t>Avocalia - Monterrey - Turbo</t>
  </si>
  <si>
    <t>MX1930323506</t>
  </si>
  <si>
    <t>Avocalia Desayunos - Lincoln - Turbo</t>
  </si>
  <si>
    <t>45058</t>
  </si>
  <si>
    <t>15.75</t>
  </si>
  <si>
    <t>MX1930335095</t>
  </si>
  <si>
    <t>Foodhub (lincoln) - Turbo</t>
  </si>
  <si>
    <t>MX1930290413</t>
  </si>
  <si>
    <t>Avocalia - Lincoln - Turbo</t>
  </si>
  <si>
    <t>MX1930411353</t>
  </si>
  <si>
    <t>Cocina Corrida (lincoln) - Turbo</t>
  </si>
  <si>
    <t>MX1930290755</t>
  </si>
  <si>
    <t>Mr Beast Burger - Lincoln - Turbo</t>
  </si>
  <si>
    <t>MX1930433816</t>
  </si>
  <si>
    <t>The Wrap Company - Lincoln - Turbo</t>
  </si>
  <si>
    <t>MX1930290421</t>
  </si>
  <si>
    <t>Brunch &amp; Munch - Lincoln - Turbo</t>
  </si>
  <si>
    <t>MX1930372843</t>
  </si>
  <si>
    <t>House Of Salads (lincoln) - Turbo</t>
  </si>
  <si>
    <t>MX1930289216</t>
  </si>
  <si>
    <t>La Panquequería - Lincoln - Turbo</t>
  </si>
  <si>
    <t>MX1930370808</t>
  </si>
  <si>
    <t>Fonda Local (Lincoln) - Turbo</t>
  </si>
  <si>
    <t>MX1930321889</t>
  </si>
  <si>
    <t>Honest Food (Lincoln) - Turbo</t>
  </si>
  <si>
    <t>MX1930411335</t>
  </si>
  <si>
    <t>Green House - Lincoln - Turbo</t>
  </si>
  <si>
    <t>MX1930411251</t>
  </si>
  <si>
    <t>Tastyfoods (lincoln) - Turbo</t>
  </si>
  <si>
    <t>MX1930411254</t>
  </si>
  <si>
    <t>Desayunos de la Abuela (Lincoln) - Turbo</t>
  </si>
  <si>
    <t>MX1930416319</t>
  </si>
  <si>
    <t>The Egg Spot (Lincoln) - Turbo</t>
  </si>
  <si>
    <t>MX1930306931</t>
  </si>
  <si>
    <t>Órale Chilaquiles- Lincoln - Turbo</t>
  </si>
  <si>
    <t>MX1930290743</t>
  </si>
  <si>
    <t>Órale Desayunos - Lincoln - Turbo</t>
  </si>
  <si>
    <t>MX1930321652</t>
  </si>
  <si>
    <t>Chemaquiles By el Chema Gomfie - Lincoln - Turbo</t>
  </si>
  <si>
    <t>MX1930411427</t>
  </si>
  <si>
    <t>The Breakfast Club (Lincoln) - Turbo</t>
  </si>
  <si>
    <t>MX1930337310</t>
  </si>
  <si>
    <t>Mega Green (Lincoln) - Turbo</t>
  </si>
  <si>
    <t>MX1930433836</t>
  </si>
  <si>
    <t>Pozórale Antojitos Mexicanos - Lincoln - Turbo</t>
  </si>
  <si>
    <t>MX1930428445</t>
  </si>
  <si>
    <t>Órale Burgers Lincoln - Turbo</t>
  </si>
  <si>
    <t>MX1930428150</t>
  </si>
  <si>
    <t>Freshlab - Lincoln - Turbo</t>
  </si>
  <si>
    <t>MX1930437347</t>
  </si>
  <si>
    <t>Subs &amp; Soups (Lincoln) - Turbo</t>
  </si>
  <si>
    <t>MX1930372886</t>
  </si>
  <si>
    <t>Man Vs Fries (lincoln) - Turbo Av Abraham Lincoln 2503</t>
  </si>
  <si>
    <t>MX1930428204</t>
  </si>
  <si>
    <t>Sandwiches &amp; Soupsco. (Lincoln) - Turbo</t>
  </si>
  <si>
    <t>MX1930368551</t>
  </si>
  <si>
    <t>Fonda Local (San Jerónimo) - Turbo</t>
  </si>
  <si>
    <t>MX1930411061</t>
  </si>
  <si>
    <t>Desayunos de la Abuela (San Jerónimo) - Turbo</t>
  </si>
  <si>
    <t>MX1930411164</t>
  </si>
  <si>
    <t>Avocalia Desayunos - San Jerónimo Monterrey - Turbo</t>
  </si>
  <si>
    <t>MX1930242990</t>
  </si>
  <si>
    <t>Brunch &amp; Munch - San Jerónimo Monterrey - Turbo</t>
  </si>
  <si>
    <t>MX1930289214</t>
  </si>
  <si>
    <t>La Panquequería - San Jerónimo - Turbo</t>
  </si>
  <si>
    <t>MX1930290328</t>
  </si>
  <si>
    <t>Mr Beast Burger - San Jerónimo Monterrey - Turbo</t>
  </si>
  <si>
    <t>MX1930372818</t>
  </si>
  <si>
    <t>House Of Salads (san Jerónimo) - Turbo</t>
  </si>
  <si>
    <t>MX1930321835</t>
  </si>
  <si>
    <t>Honest Food (san Jerónimo) - Turbo</t>
  </si>
  <si>
    <t>MX1930242986</t>
  </si>
  <si>
    <t>Avocalia - San Jerónimo Monterrey - Turbo</t>
  </si>
  <si>
    <t>MX1930411105</t>
  </si>
  <si>
    <t>Foodhub (San Jerónimo) - Turbo</t>
  </si>
  <si>
    <t>MX1930411999</t>
  </si>
  <si>
    <t>The Egg Spot (San Jerónimo) - Turbo</t>
  </si>
  <si>
    <t>MX1930322544</t>
  </si>
  <si>
    <t>Mega Green (San Jerónimo) - Turbo</t>
  </si>
  <si>
    <t>MX1930330558</t>
  </si>
  <si>
    <t>Cocina Corrida (san Jerónimo) - Turbo</t>
  </si>
  <si>
    <t>MX1930328932</t>
  </si>
  <si>
    <t>Tastyfoods (San Jerónimo) - Turbo</t>
  </si>
  <si>
    <t>MX1930290741</t>
  </si>
  <si>
    <t>Órale Desayunos - San Jerónimo Monterrey - Turbo</t>
  </si>
  <si>
    <t>MX1930321631</t>
  </si>
  <si>
    <t>Chemaquiles By el Chema Gomfie - San Jeronimo - Turbo</t>
  </si>
  <si>
    <t>MX1930433047</t>
  </si>
  <si>
    <t>Pozórale Antojitos Mexicanos - San Jerónimo Monterrey - Turbo</t>
  </si>
  <si>
    <t>MX1930412394</t>
  </si>
  <si>
    <t>The Breakfast Club (San Jerónimo) - Turbo</t>
  </si>
  <si>
    <t>MX1930242985</t>
  </si>
  <si>
    <t>Green House - San Jeronimo - Turbo</t>
  </si>
  <si>
    <t>MX1930322543</t>
  </si>
  <si>
    <t>Mega Green (San Jerónimo) -Turbo</t>
  </si>
  <si>
    <t>MX1930433888</t>
  </si>
  <si>
    <t>Eggy By Chef Quintanilla - San Jerónimo - Turbo</t>
  </si>
  <si>
    <t>MX1930305543</t>
  </si>
  <si>
    <t>Órale Chilaquiles- San Jerónimo Monterrey - Turbo</t>
  </si>
  <si>
    <t>MX1930428441</t>
  </si>
  <si>
    <t>La Neta Burgers San Jerónimo - Turbo</t>
  </si>
  <si>
    <t>MX1930428146</t>
  </si>
  <si>
    <t>Freshlab - San Jerónimo Monterrey - Turbo</t>
  </si>
  <si>
    <t>MX1930428188</t>
  </si>
  <si>
    <t>The Wrap Company - San Jerónimo Monterrey - Turbo</t>
  </si>
  <si>
    <t>MX1930411125</t>
  </si>
  <si>
    <t>Avocalia - Santa Catarina - Turbo</t>
  </si>
  <si>
    <t>77109</t>
  </si>
  <si>
    <t>21.39</t>
  </si>
  <si>
    <t>MX1930321663</t>
  </si>
  <si>
    <t>Mr Beast Burger Santa Catarina - Turbo</t>
  </si>
  <si>
    <t>MX1930411106</t>
  </si>
  <si>
    <t>Foodhub (Santa Catarina) - Turbo</t>
  </si>
  <si>
    <t>MX1930372811</t>
  </si>
  <si>
    <t>House Of Salads (santa Catarina) - Turbo</t>
  </si>
  <si>
    <t>MX1930321833</t>
  </si>
  <si>
    <t>Honest Food (Santa Catarina) - Turbo</t>
  </si>
  <si>
    <t>MX1930330559</t>
  </si>
  <si>
    <t>Cocina Corrida (santa Catarina) - Turbo</t>
  </si>
  <si>
    <t>MX1930322409</t>
  </si>
  <si>
    <t>Órale Desayunos - Santa Catarina - Turbo</t>
  </si>
  <si>
    <t>MX1930411170</t>
  </si>
  <si>
    <t>Brunch &amp; Munch Santa Catarina - Turbo</t>
  </si>
  <si>
    <t>MX1930321613</t>
  </si>
  <si>
    <t>Green House - Santa Catarina - Turbo</t>
  </si>
  <si>
    <t>MX1930411255</t>
  </si>
  <si>
    <t>Desayunos de la Abuela (Santa Catarina) - Turbo</t>
  </si>
  <si>
    <t>MX1930428444</t>
  </si>
  <si>
    <t>Órale Burgers Santa Catarina - Turbo</t>
  </si>
  <si>
    <t>MX1930403858</t>
  </si>
  <si>
    <t>Fonda Local (santa Catarina) - Turbo</t>
  </si>
  <si>
    <t>MX1930321633</t>
  </si>
  <si>
    <t>Chemaquiles By el Chema Gomfie - Santa Catarina - Turbo</t>
  </si>
  <si>
    <t>MX1930321493</t>
  </si>
  <si>
    <t>Órale Chilaquiles-Santa Catarina - Turbo Blvd Gustavo Díaz Ordaz 104 3532</t>
  </si>
  <si>
    <t>MX1930410912</t>
  </si>
  <si>
    <t>The Egg Spot (Santa Catarina) - Turbo</t>
  </si>
  <si>
    <t>MX1930433777</t>
  </si>
  <si>
    <t>Pozórale Antojitos Mexicanos - Santa Catarina - Turbo</t>
  </si>
  <si>
    <t>MX1930428152</t>
  </si>
  <si>
    <t>Freshlab - Santa Catarina - Turbo</t>
  </si>
  <si>
    <t>MX1930411062</t>
  </si>
  <si>
    <t>The Breakfast Club (Santa Catarina) - Turbo</t>
  </si>
  <si>
    <t>MX1930411165</t>
  </si>
  <si>
    <t>Avocalia Desayunos - Santa Catarina - Turbo</t>
  </si>
  <si>
    <t>MX1930433887</t>
  </si>
  <si>
    <t>Eggy By Chef Quintanilla - Santa Catarina - Turbo</t>
  </si>
  <si>
    <t>MX1930433817</t>
  </si>
  <si>
    <t>The Wrap Company - Santa Catarina - Turbo</t>
  </si>
  <si>
    <t>MX1930328921</t>
  </si>
  <si>
    <t>Tastyfoods (Santa Catarina) - Turbo</t>
  </si>
  <si>
    <t>MX1930372808</t>
  </si>
  <si>
    <t>Super Ensaladas (santa Catarina) - Turbo</t>
  </si>
  <si>
    <t>MX1930322236</t>
  </si>
  <si>
    <t>La Panquequería - Santa Catarina - Turbo</t>
  </si>
  <si>
    <t>MX1930372833</t>
  </si>
  <si>
    <t>Man Vs Fries (santa Catarina) - Turbo Blvd Gustavo Díaz Ordaz 104</t>
  </si>
  <si>
    <t>MX1930411250</t>
  </si>
  <si>
    <t>Tastyfoods (tec) - Turbo</t>
  </si>
  <si>
    <t>77699</t>
  </si>
  <si>
    <t>MX1930433649</t>
  </si>
  <si>
    <t>Pozórale Antojitos Mexicanos - Tec de Monterrey - Turbo</t>
  </si>
  <si>
    <t>MX1930295310</t>
  </si>
  <si>
    <t>Chemaquiles By el Chemagomfie - Tec - Turbo</t>
  </si>
  <si>
    <t>MX1930295129</t>
  </si>
  <si>
    <t>Brunch &amp; Munch - Tec de Monterrey - Turbo</t>
  </si>
  <si>
    <t>MX1930412001</t>
  </si>
  <si>
    <t>The Breakfast Club (Tec) - Turbo</t>
  </si>
  <si>
    <t>MX1930410916</t>
  </si>
  <si>
    <t>Desayunos de la Abuela (Tec) - Turbo</t>
  </si>
  <si>
    <t>MX1930295320</t>
  </si>
  <si>
    <t>Green House - Tec - Turbo</t>
  </si>
  <si>
    <t>MX1930370701</t>
  </si>
  <si>
    <t>Fonda Local (Tec) - Turbo</t>
  </si>
  <si>
    <t>MX1930294793</t>
  </si>
  <si>
    <t>Mr Beast Burger - Tec de Monterrey - Turbo</t>
  </si>
  <si>
    <t>MX1930411348</t>
  </si>
  <si>
    <t>Foodhub (Tec) - Turbo</t>
  </si>
  <si>
    <t>MX1930294801</t>
  </si>
  <si>
    <t>La Panquequería - Tec - Turbo</t>
  </si>
  <si>
    <t>MX1930412002</t>
  </si>
  <si>
    <t>The Egg Spot (Tec) - Tur</t>
  </si>
  <si>
    <t>MX1930372812</t>
  </si>
  <si>
    <t>House Of Salads (tec) - Turbo</t>
  </si>
  <si>
    <t>MX1930321823</t>
  </si>
  <si>
    <t>Honest Food (Tec) - Turbo</t>
  </si>
  <si>
    <t>MX1930294781</t>
  </si>
  <si>
    <t>Órale Desayunos - Tec de Monterrey - Turbo</t>
  </si>
  <si>
    <t>MX1930294778</t>
  </si>
  <si>
    <t>Avocalia - Tec de Monterrey - Turbo</t>
  </si>
  <si>
    <t>MX1930411060</t>
  </si>
  <si>
    <t>Cocina Corrida (tec) - Turbo</t>
  </si>
  <si>
    <t>MX1930306932</t>
  </si>
  <si>
    <t>Órale Chilaquiles - Tec de Monterrey - Turbo</t>
  </si>
  <si>
    <t>MX1930428185</t>
  </si>
  <si>
    <t>The Wrap Company - Tec de Monterrey - Turbo</t>
  </si>
  <si>
    <t>MX1930437413</t>
  </si>
  <si>
    <t>Sandwiches &amp; Soupsco. (Tec) - Turbo</t>
  </si>
  <si>
    <t>MX1930437346</t>
  </si>
  <si>
    <t>Subs &amp; Soups (Tec) - Turbo</t>
  </si>
  <si>
    <t>MX1930411344</t>
  </si>
  <si>
    <t>Avocalia Desayunos - Tec de Monterrey - Turbo</t>
  </si>
  <si>
    <t>MX1930372865</t>
  </si>
  <si>
    <t>Super Ensaladas (tec) - Turbo</t>
  </si>
  <si>
    <t>MX1930372871</t>
  </si>
  <si>
    <t>Man Vs Fries (tec) - Turbo Rosales 1950</t>
  </si>
  <si>
    <t>MX1930428442</t>
  </si>
  <si>
    <t>Órale Burgers Tec - Turbo</t>
  </si>
  <si>
    <t>MX1930428145</t>
  </si>
  <si>
    <t>Freshlab - Tec de Monterrey - Turbo</t>
  </si>
  <si>
    <t>MX1930322430</t>
  </si>
  <si>
    <t>Órale Desayunos - Juan Pablo - Turbo</t>
  </si>
  <si>
    <t>77718</t>
  </si>
  <si>
    <t>19.78</t>
  </si>
  <si>
    <t>MX1930321650</t>
  </si>
  <si>
    <t>Green House - Monterrey Centro - Turbo</t>
  </si>
  <si>
    <t>77733</t>
  </si>
  <si>
    <t>22.68</t>
  </si>
  <si>
    <t>MX1930321891</t>
  </si>
  <si>
    <t>Honest Food (Monterrey Centro) - Turbo</t>
  </si>
  <si>
    <t>MX1930322408</t>
  </si>
  <si>
    <t>Órale Desayunos - Monterrey Centro - Turbo</t>
  </si>
  <si>
    <t>MX1930321620</t>
  </si>
  <si>
    <t>Mr Beast Burger - Monterrey Centro - Turbo</t>
  </si>
  <si>
    <t>MX1930321515</t>
  </si>
  <si>
    <t>Órale Chilaquiles- Monterrey Centro - Turbo</t>
  </si>
  <si>
    <t>MX1930322158</t>
  </si>
  <si>
    <t>Avocalia - Monterrey Centro - Turbo</t>
  </si>
  <si>
    <t>MX1930372844</t>
  </si>
  <si>
    <t>Super Ensaladas (Monterrey Centro) - Turbo</t>
  </si>
  <si>
    <t>MX1930372807</t>
  </si>
  <si>
    <t>House Of Salads (Monterrey Centro) - Turbo</t>
  </si>
  <si>
    <t>MX1930321666</t>
  </si>
  <si>
    <t>Chemaquiles By el Chema Gomfie - Monterrey Centro - Turbo</t>
  </si>
  <si>
    <t>MX1930372876</t>
  </si>
  <si>
    <t>Man Vs Fries (monterrey Centro) - Turbo Foodology Centro Monterrey</t>
  </si>
  <si>
    <t>MX1930322240</t>
  </si>
  <si>
    <t>La Panquequería - Carretera Nacional - Turbo</t>
  </si>
  <si>
    <t>cluster_F4_327</t>
  </si>
  <si>
    <t>MX1930407349</t>
  </si>
  <si>
    <t>Avocalia Desayunos - Carretera Nacional - Turbo</t>
  </si>
  <si>
    <t>MX1930407325</t>
  </si>
  <si>
    <t>Foodhub (Carretera Nacional ) - Turbo</t>
  </si>
  <si>
    <t>MX1930372832</t>
  </si>
  <si>
    <t>Super Ensaladas (san Nicolas) - Turbo Foodology San Nicolas</t>
  </si>
  <si>
    <t>cluster_F4_316</t>
  </si>
  <si>
    <t>MX1930321651</t>
  </si>
  <si>
    <t>Green House - San Nicolas - Turbo Plaza la Juventud 3545</t>
  </si>
  <si>
    <t>MX1930321632</t>
  </si>
  <si>
    <t>Mr Beast Burger - San Nicolás - Turbo</t>
  </si>
  <si>
    <t>MX1930372866</t>
  </si>
  <si>
    <t>Man Vs Fries (azcapotzalco) - Turbo Calz. de Las Armas</t>
  </si>
  <si>
    <t>MX1930372806</t>
  </si>
  <si>
    <t>Super Ensaladas (carretera Nacional) - Turbo Antiguo Camino a Villa de Santiago 8429</t>
  </si>
  <si>
    <t>MX1930322229</t>
  </si>
  <si>
    <t>La Panquequería - Cumbres - Turbo</t>
  </si>
  <si>
    <t>MX1930372831</t>
  </si>
  <si>
    <t>House Of Salads (cumbres) - Turbo Av. Alejandro de Rodas 1006</t>
  </si>
  <si>
    <t>MX1930372877</t>
  </si>
  <si>
    <t>Man Vs Fries (cumbres) - Turbo Av. Alejandro de Rodas 1006</t>
  </si>
  <si>
    <t>MX1930372849</t>
  </si>
  <si>
    <t>House Of Salads (san Nicolas) - Turbo Plaza la Juventud</t>
  </si>
  <si>
    <t>MX1930322228</t>
  </si>
  <si>
    <t>La Panquequería - Monterrey Centro - Turbo</t>
  </si>
  <si>
    <t>cluster_F4_660</t>
  </si>
  <si>
    <t>MX1930372857</t>
  </si>
  <si>
    <t>Man Vs Fries (san Nicolas) - Turbo Foodology San Nicolas</t>
  </si>
  <si>
    <t>MX1930407326</t>
  </si>
  <si>
    <t>Cocina Corrida (carretera Nacional) - Turbo</t>
  </si>
  <si>
    <t>MX1930322416</t>
  </si>
  <si>
    <t>Órale Desayunos - Cumbres - Turbo</t>
  </si>
  <si>
    <t>MX1930406197</t>
  </si>
  <si>
    <t>Tastyfoods (carretera Nacional) - Turbo</t>
  </si>
  <si>
    <t>MX1930321662</t>
  </si>
  <si>
    <t>Green House - Carretera Nacional - Turbo</t>
  </si>
  <si>
    <t>MX1930321616</t>
  </si>
  <si>
    <t>Chemaquiles By el Chema Gomfie - San Nicolas - Turbo Plaza la Juventud 3545</t>
  </si>
  <si>
    <t>MX1930322412</t>
  </si>
  <si>
    <t>Órale Desayunos - Carretera Nacional - Turbo</t>
  </si>
  <si>
    <t>MX1930295130</t>
  </si>
  <si>
    <t>Brunch &amp; Munch - Cumbres - Turbo</t>
  </si>
  <si>
    <t>MX1930372826</t>
  </si>
  <si>
    <t>House Of Salads (estadio) - Turbo Calz. Independencia Norte 4852</t>
  </si>
  <si>
    <t>MX1930321478</t>
  </si>
  <si>
    <t>Órale Chilaquiles- Carretera Nacional - Turbo</t>
  </si>
  <si>
    <t>MX1930321482</t>
  </si>
  <si>
    <t>Órale Chilaquiles- Cumbres - Turbo</t>
  </si>
  <si>
    <t>MX1930372840</t>
  </si>
  <si>
    <t>House Of Salads (santa Fe) - Turbo Gómez Farias 207</t>
  </si>
  <si>
    <t>MX1930403569</t>
  </si>
  <si>
    <t>Avocalia - Carretera Nacional - Turbo</t>
  </si>
  <si>
    <t>MX1930404328</t>
  </si>
  <si>
    <t>la Panquequería - Carretera Nacional - Turbo Antiguo Camino a Villa de Santiago 100</t>
  </si>
  <si>
    <t>MX1930413411</t>
  </si>
  <si>
    <t>The Egg Spot (Carretera Nacional) - Turbo</t>
  </si>
  <si>
    <t>MX1930294794</t>
  </si>
  <si>
    <t>Mr Beast Burger - Carretera Nacional - Turbo</t>
  </si>
  <si>
    <t>MX1930372841</t>
  </si>
  <si>
    <t>Man Vs Fries (carretera Nacional) - Turbo Antiguo Camino a Villa de Santiago 8429</t>
  </si>
  <si>
    <t>MX1930321607</t>
  </si>
  <si>
    <t>Green House - Cumbres - Turbo Avenida Alejandro de Rodas 1006 3526</t>
  </si>
  <si>
    <t>MX1930407592</t>
  </si>
  <si>
    <t>The Breakfast Club (Carretera Nacional) - Turbo</t>
  </si>
  <si>
    <t>MX1930321837</t>
  </si>
  <si>
    <t>Honest Food (San Nicolas) - Turbo</t>
  </si>
  <si>
    <t>MX1930321596</t>
  </si>
  <si>
    <t>Chemaquiles By el Chema Gomfie - Cumbres - Turbo Avenida Alejandro de Rodas 1006 3526</t>
  </si>
  <si>
    <t>MX1930322429</t>
  </si>
  <si>
    <t>Órale Desayunos - San Nicolás - Turbo</t>
  </si>
  <si>
    <t>MX1930295532</t>
  </si>
  <si>
    <t>Brunch &amp; Munch - Carretera Nacional - Turbo</t>
  </si>
  <si>
    <t>MX1930321597</t>
  </si>
  <si>
    <t>Chemaquiles By el Chema Gomfie - Carretera Nacional - Turbo Mr Beast Burgers 3554</t>
  </si>
  <si>
    <t>MX1930372856</t>
  </si>
  <si>
    <t>Super Ensaladas (cumbres) - Turbo Av. Alejandro de Rodas 1006</t>
  </si>
  <si>
    <t>MX1930322238</t>
  </si>
  <si>
    <t>La Panquequería - San Nicolas - Turbo</t>
  </si>
  <si>
    <t>MX1930372855</t>
  </si>
  <si>
    <t>House Of Salads (carretera Nacional) - Turbo Mr Beast Burgers</t>
  </si>
  <si>
    <t>MX1930321836</t>
  </si>
  <si>
    <t>Honest Food (Carretera Nacional) - Turbo</t>
  </si>
  <si>
    <t>MX1930321894</t>
  </si>
  <si>
    <t>Honest Food (Cumbres) - Turbo</t>
  </si>
  <si>
    <t>MX1930321512</t>
  </si>
  <si>
    <t>Órale Chilaquiles San Nicolás - Turbo Plaza la Juventud 3545</t>
  </si>
  <si>
    <t>MX1930407476</t>
  </si>
  <si>
    <t>Desayunos de la Abuela (Carretera Nacional - Turbo</t>
  </si>
  <si>
    <t>MX1930404561</t>
  </si>
  <si>
    <t>Fonda Local (carretera Nacional) - Turbo</t>
  </si>
  <si>
    <t>MX1930321592</t>
  </si>
  <si>
    <t>Mr Beast Burger - Cumbres - Turbo</t>
  </si>
  <si>
    <t>Puebla</t>
  </si>
  <si>
    <t>MX1930322245</t>
  </si>
  <si>
    <t>La Panquequería - Ciudad Judicial - Turbo</t>
  </si>
  <si>
    <t>MX1930321654</t>
  </si>
  <si>
    <t>Chemaquiles By el Chema Gomfie - Ciudad Judicial - Turbo</t>
  </si>
  <si>
    <t>MX1930321622</t>
  </si>
  <si>
    <t>Mr Beast Burger - Ciudad Judicial - Turbo</t>
  </si>
  <si>
    <t>MX1930321508</t>
  </si>
  <si>
    <t>Órale Chilaquiles - Ciudad Judicial - Turbo</t>
  </si>
  <si>
    <t>MX1930322157</t>
  </si>
  <si>
    <t>Avocalia - Ciudad Judicial - Turbo</t>
  </si>
  <si>
    <t>MX1930321892</t>
  </si>
  <si>
    <t>Honest Food (Ciudad Judicial) - Turbo</t>
  </si>
  <si>
    <t>MX1930322214</t>
  </si>
  <si>
    <t>Brunch &amp; Munch - Ciudad Judicial - Turbo</t>
  </si>
  <si>
    <t>MX1930322423</t>
  </si>
  <si>
    <t>Órale Desayunos- Ciudad Judicial - Turbo Rest</t>
  </si>
  <si>
    <t>MX1930372835</t>
  </si>
  <si>
    <t>House Of Salads (ciudad Judicial) - Turbo Plaza Atrium</t>
  </si>
  <si>
    <t>77697</t>
  </si>
  <si>
    <t>19.27</t>
  </si>
  <si>
    <t>MX1930321582</t>
  </si>
  <si>
    <t>Green House - Ciudad Judicial - Turbo 4to Rtno. Osa Menor 3359</t>
  </si>
  <si>
    <t>MX1930372790</t>
  </si>
  <si>
    <t>Super Ensaladas (ciudad Judicial) - Turbo 4to Rtno. Osa Menor</t>
  </si>
  <si>
    <t>MX1930404381</t>
  </si>
  <si>
    <t>Fonda Local (volcanes) - Turbo</t>
  </si>
  <si>
    <t>cluster_F1_124</t>
  </si>
  <si>
    <t>MX1930372828</t>
  </si>
  <si>
    <t>House Of Salads (volcanes) - Turbo</t>
  </si>
  <si>
    <t>MX1930321673</t>
  </si>
  <si>
    <t>Green House - Volcanes - Turbo</t>
  </si>
  <si>
    <t>MX1930403709</t>
  </si>
  <si>
    <t>Cocina Corrida (volcanes) - Tur</t>
  </si>
  <si>
    <t>MX1930322213</t>
  </si>
  <si>
    <t>Brunch &amp; Munch - Volcanes - Turbo</t>
  </si>
  <si>
    <t>MX1930322233</t>
  </si>
  <si>
    <t>La Panquequería - Volcanes - Turbo</t>
  </si>
  <si>
    <t>MX1930372839</t>
  </si>
  <si>
    <t>Man Vs Fries (volcanes) - Turbo Av. 35 Pte. 1106</t>
  </si>
  <si>
    <t>MX1930404926</t>
  </si>
  <si>
    <t>La Panquequería - Volcanes - Turbo.</t>
  </si>
  <si>
    <t>MX1930413408</t>
  </si>
  <si>
    <t>The Egg Spot (Volcanes) - Turbo</t>
  </si>
  <si>
    <t>MX1930413475</t>
  </si>
  <si>
    <t>The Breakfast Club (Volcanes) - Turbo</t>
  </si>
  <si>
    <t>MX1930407315</t>
  </si>
  <si>
    <t>Avocalia Desayunos - Volcanes - Turbo</t>
  </si>
  <si>
    <t>MX1930322164</t>
  </si>
  <si>
    <t>Avocalia - Volcanes - Turbo</t>
  </si>
  <si>
    <t>MX1930321653</t>
  </si>
  <si>
    <t>Chemaquiles By el Chema Gomfie - Volcanes - Turbo Av. 35 Pte. 1106 3358</t>
  </si>
  <si>
    <t>MX1930406096</t>
  </si>
  <si>
    <t>Super Ensaladas (Volcanes) - Turbo</t>
  </si>
  <si>
    <t>MX1930408136</t>
  </si>
  <si>
    <t>Desayunos de la Abuela (Volcanes) - Turbo</t>
  </si>
  <si>
    <t>MX1930404550</t>
  </si>
  <si>
    <t>Foodhub (Volcanes) - Tur</t>
  </si>
  <si>
    <t>MX1930321506</t>
  </si>
  <si>
    <t>Órale Chilaquiles- Volcanes - Turbo</t>
  </si>
  <si>
    <t>MX1930321893</t>
  </si>
  <si>
    <t>Honest Food (Volcanes) - Turbo</t>
  </si>
  <si>
    <t>MX1930407339</t>
  </si>
  <si>
    <t>Tastyfoods (volcanes) - Turbo</t>
  </si>
  <si>
    <t>MX1930321684</t>
  </si>
  <si>
    <t>Mr Beast Burger - Volcanes - Turbo</t>
  </si>
  <si>
    <t>MX1930322432</t>
  </si>
  <si>
    <t>Órale Desayunos - Volcanes - Turbo</t>
  </si>
  <si>
    <t>Saltillo</t>
  </si>
  <si>
    <t>MX1930372829</t>
  </si>
  <si>
    <t>Mega Green (Saltillo Centro) - Turbo</t>
  </si>
  <si>
    <t>81827</t>
  </si>
  <si>
    <t>21.38</t>
  </si>
  <si>
    <t>MX1930322413</t>
  </si>
  <si>
    <t>Órale Desayunos - Saltillo Centro - Turbo</t>
  </si>
  <si>
    <t>MX1930386891</t>
  </si>
  <si>
    <t>Brunch &amp; Munch - Saltillo Centro - Turbo</t>
  </si>
  <si>
    <t>MX1930322237</t>
  </si>
  <si>
    <t>La Panquequería - Saltillo Centro - Turbo</t>
  </si>
  <si>
    <t>MX1930433820</t>
  </si>
  <si>
    <t>The Wrap Company - Saltillo Centro - Turbo</t>
  </si>
  <si>
    <t>MX1930410923</t>
  </si>
  <si>
    <t>The Egg Spot (Saltillo Centro) - Turbo</t>
  </si>
  <si>
    <t>MX1930404383</t>
  </si>
  <si>
    <t>Fonda Local (saltillo Centro) - Turbo</t>
  </si>
  <si>
    <t>MX1930372875</t>
  </si>
  <si>
    <t>House Of Salads (Saltillo Centro) - Turbo</t>
  </si>
  <si>
    <t>MX1930321594</t>
  </si>
  <si>
    <t>Green House - Saltillo Centro - Turbo</t>
  </si>
  <si>
    <t>MX1930321675</t>
  </si>
  <si>
    <t>Mr Beast Burger - Saltillo Centro - Turbo</t>
  </si>
  <si>
    <t>MX1930321885</t>
  </si>
  <si>
    <t>Honest Food (Saltillo Centro) - Turbo</t>
  </si>
  <si>
    <t>MX1930386778</t>
  </si>
  <si>
    <t>Cocina Corrida (saltillo Centro) - Turbo</t>
  </si>
  <si>
    <t>MX1930321494</t>
  </si>
  <si>
    <t>Órale Chilaquiles- Saltillo Centro - Turbo</t>
  </si>
  <si>
    <t>MX1930428439</t>
  </si>
  <si>
    <t>Órale Burgers Saltillo Centro - Turbo</t>
  </si>
  <si>
    <t>MX1930385549</t>
  </si>
  <si>
    <t>Avocalia - Saltillo Centro - Turbo</t>
  </si>
  <si>
    <t>MX1930386748</t>
  </si>
  <si>
    <t>Foodhub (Saltillo Centro) - Turbo</t>
  </si>
  <si>
    <t>MX1930321612</t>
  </si>
  <si>
    <t>Chemaquiles By el Chema Gomfie - Saltillo Centro - Turbo</t>
  </si>
  <si>
    <t>MX1930321604</t>
  </si>
  <si>
    <t>Mr Beast Burger - Saltillo Norte - Turbo</t>
  </si>
  <si>
    <t>MX1930433048</t>
  </si>
  <si>
    <t>Pozórale Antojitos Mexicanos - Saltillo Centro - Turbo</t>
  </si>
  <si>
    <t>MX1930386751</t>
  </si>
  <si>
    <t>Tastyfoods (Saltillo Centro) - Turbo</t>
  </si>
  <si>
    <t>MX1930386696</t>
  </si>
  <si>
    <t>The Breakfast Club (Saltillo Centro) - Turbo</t>
  </si>
  <si>
    <t>MX1930321497</t>
  </si>
  <si>
    <t>Órale Chilaquiles- Saltillo Norte - Turbo</t>
  </si>
  <si>
    <t>MX1930322420</t>
  </si>
  <si>
    <t>Órale Desayunos - Saltillo Norte - Turbo</t>
  </si>
  <si>
    <t>MX1930428147</t>
  </si>
  <si>
    <t>Freshlab - Saltillo Centro - Turbo</t>
  </si>
  <si>
    <t>MX1930386703</t>
  </si>
  <si>
    <t>Avocalia Desayunos - Saltillo Centro</t>
  </si>
  <si>
    <t>MX1930433886</t>
  </si>
  <si>
    <t>Eggy By Chef Quintanilla - Saltillo Centro - Turbo</t>
  </si>
  <si>
    <t>MX1930372852</t>
  </si>
  <si>
    <t>Man Vs Fries (saltillo Centro) - Turbo C. Alvaro Obregón 603</t>
  </si>
  <si>
    <t>MX1930415271</t>
  </si>
  <si>
    <t>Avocalia - Saltillo Norte - Turbo</t>
  </si>
  <si>
    <t>MX1930322220</t>
  </si>
  <si>
    <t>La Panquequería - Saltillo Norte - Turbo</t>
  </si>
  <si>
    <t>cluster_F1_158</t>
  </si>
  <si>
    <t>Toluca</t>
  </si>
  <si>
    <t>MX1930324951</t>
  </si>
  <si>
    <t>Honest Food (Metepec) - Turbo</t>
  </si>
  <si>
    <t>MX1930322221</t>
  </si>
  <si>
    <t>La Panquequería - Metepec - Turbo</t>
  </si>
  <si>
    <t>MX1930322411</t>
  </si>
  <si>
    <t>Órale Desayunos - Metepec - Turbo</t>
  </si>
  <si>
    <t>MX1930321628</t>
  </si>
  <si>
    <t>Mr Beast Burger Metepec - Turbo</t>
  </si>
  <si>
    <t>MX1930321608</t>
  </si>
  <si>
    <t>Chemaquiles By el Chema Gomfie - Metepec - Turbo Blvd. Av. Adolfo López Mateos 1514 3464</t>
  </si>
  <si>
    <t>MX1930321491</t>
  </si>
  <si>
    <t>Órale Chilaquiles-Metepec - Turbo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</si>
</sst>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lt;1]#,###0;[&gt;0]&quot;+&quot;#,###0"/>
    <numFmt numFmtId="166" formatCode="#,##0.0"/>
    <numFmt numFmtId="167" formatCode="[&lt;1]#,###0.0;[&gt;0]&quot;+&quot;#,###0.0"/>
    <numFmt numFmtId="168" formatCode="[Green]&quot;▲&quot;;[Red]&quot;▼&quot;;&quot;&quot;"/>
    <numFmt numFmtId="169" formatCode="dd/MM/yyyy"/>
  </numFmts>
  <fonts count="8">
    <font>
      <sz val="10.0"/>
      <color rgb="FF000000"/>
      <name val="Arial"/>
      <scheme val="minor"/>
    </font>
    <font>
      <b/>
      <color rgb="FFFFFFFF"/>
      <name val="Arial"/>
    </font>
    <font>
      <color theme="1"/>
      <name val="Arial"/>
    </font>
    <font>
      <sz val="11.0"/>
      <color rgb="FFFF0000"/>
      <name val="Inconsolata"/>
    </font>
    <font>
      <color rgb="FF00FF00"/>
      <name val="Arial"/>
    </font>
    <font>
      <color rgb="FFFFFFFF"/>
      <name val="Arial"/>
    </font>
    <font>
      <sz val="11.0"/>
      <color rgb="FF00FF00"/>
      <name val="Inconsolata"/>
    </font>
    <font>
      <color rgb="FFFF0000"/>
      <name val="Arial"/>
    </font>
  </fonts>
  <fills count="14">
    <fill>
      <patternFill patternType="none"/>
    </fill>
    <fill>
      <patternFill patternType="lightGray"/>
    </fill>
    <fill>
      <patternFill patternType="solid">
        <fgColor rgb="FF1C4587"/>
        <bgColor rgb="FF1C4587"/>
      </patternFill>
    </fill>
    <fill>
      <patternFill patternType="solid">
        <fgColor rgb="FF980000"/>
        <bgColor rgb="FF980000"/>
      </patternFill>
    </fill>
    <fill>
      <patternFill patternType="solid">
        <fgColor rgb="FF38761D"/>
        <bgColor rgb="FF38761D"/>
      </patternFill>
    </fill>
    <fill>
      <patternFill patternType="solid">
        <fgColor rgb="FFFFFFFF"/>
        <bgColor rgb="FFFFFFFF"/>
      </patternFill>
    </fill>
    <fill>
      <patternFill patternType="solid">
        <fgColor rgb="FFE06666"/>
        <bgColor rgb="FFE06666"/>
      </patternFill>
    </fill>
    <fill>
      <patternFill patternType="solid">
        <fgColor rgb="FFE6B8AF"/>
        <bgColor rgb="FFE6B8AF"/>
      </patternFill>
    </fill>
    <fill>
      <patternFill patternType="solid">
        <fgColor rgb="FFE8F0FE"/>
        <bgColor rgb="FFE8F0FE"/>
      </patternFill>
    </fill>
    <fill>
      <patternFill patternType="solid">
        <fgColor rgb="FFFFF2CC"/>
        <bgColor rgb="FFFFF2CC"/>
      </patternFill>
    </fill>
    <fill>
      <patternFill patternType="solid">
        <fgColor rgb="FFD9EAD3"/>
        <bgColor rgb="FFD9EAD3"/>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s>
  <borders count="3">
    <border/>
    <border>
      <left style="thin">
        <color rgb="FF000000"/>
      </left>
    </border>
    <border>
      <right style="thin">
        <color rgb="FF000000"/>
      </right>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ill="1" applyFont="1">
      <alignment horizontal="right" readingOrder="0" shrinkToFit="0" vertical="top" wrapText="1"/>
    </xf>
    <xf borderId="0" fillId="2" fontId="1" numFmtId="164" xfId="0" applyAlignment="1" applyFill="1" applyFont="1" applyNumberFormat="1">
      <alignment horizontal="right" readingOrder="0" shrinkToFit="0" vertical="top" wrapText="1"/>
    </xf>
    <xf borderId="0" fillId="2" fontId="1" numFmtId="165" xfId="0" applyAlignment="1" applyFill="1" applyFont="1" applyNumberFormat="1">
      <alignment horizontal="right" readingOrder="0" shrinkToFit="0" vertical="top" wrapText="1"/>
    </xf>
    <xf borderId="0" fillId="3" fontId="2" numFmtId="165" xfId="0" applyAlignment="1" applyFill="1" applyFont="1" applyNumberFormat="1">
      <alignment vertical="top"/>
    </xf>
    <xf borderId="0" fillId="3" fontId="1" numFmtId="165" xfId="0" applyAlignment="1" applyFill="1" applyFont="1" applyNumberFormat="1">
      <alignment readingOrder="0" shrinkToFit="0" vertical="top" wrapText="1"/>
    </xf>
    <xf borderId="0" fillId="3" fontId="1" numFmtId="165" xfId="0" applyAlignment="1" applyFill="1" applyFont="1" applyNumberFormat="1">
      <alignment horizontal="right" readingOrder="0" shrinkToFit="0" vertical="top" wrapText="1"/>
    </xf>
    <xf borderId="1" fillId="2" fontId="1" numFmtId="165" xfId="0" applyAlignment="1" applyBorder="1" applyFill="1" applyFont="1" applyNumberFormat="1">
      <alignment horizontal="right" readingOrder="0" shrinkToFit="0" vertical="top" wrapText="1"/>
    </xf>
    <xf borderId="0" fillId="2" fontId="1" numFmtId="3" xfId="0" applyAlignment="1" applyFill="1" applyFont="1" applyNumberFormat="1">
      <alignment horizontal="right" readingOrder="0" shrinkToFit="0" vertical="top" wrapText="1"/>
    </xf>
    <xf borderId="0" fillId="2" fontId="1" numFmtId="165" xfId="0" applyAlignment="1" applyFill="1" applyFont="1" applyNumberFormat="1">
      <alignment horizontal="right" readingOrder="0" shrinkToFit="0" vertical="top" wrapText="1"/>
    </xf>
    <xf borderId="1" fillId="2" fontId="1" numFmtId="3" xfId="0" applyAlignment="1" applyBorder="1" applyFill="1" applyFont="1" applyNumberFormat="1">
      <alignment horizontal="right" readingOrder="0" shrinkToFit="0" vertical="top" wrapText="1"/>
    </xf>
    <xf borderId="0" fillId="2" fontId="1" numFmtId="166" xfId="0" applyAlignment="1" applyFill="1" applyFont="1" applyNumberFormat="1">
      <alignment horizontal="right" readingOrder="0" shrinkToFit="0" vertical="top" wrapText="1"/>
    </xf>
    <xf borderId="2" fillId="2" fontId="1" numFmtId="167" xfId="0" applyAlignment="1" applyBorder="1" applyFill="1" applyFont="1" applyNumberFormat="1">
      <alignment horizontal="right" readingOrder="0" shrinkToFit="0" vertical="top" wrapText="1"/>
    </xf>
    <xf borderId="2" fillId="2" fontId="1" numFmtId="3" xfId="0" applyAlignment="1" applyBorder="1" applyFill="1" applyFont="1" applyNumberFormat="1">
      <alignment horizontal="right" readingOrder="0" shrinkToFit="0" vertical="top" wrapText="1"/>
    </xf>
    <xf borderId="0" fillId="2" fontId="1" numFmtId="0" xfId="0" applyAlignment="1" applyFill="1" applyFont="1">
      <alignment readingOrder="0" vertical="top"/>
    </xf>
    <xf borderId="0" fillId="2" fontId="1" numFmtId="3" xfId="0" applyAlignment="1" applyFill="1" applyFont="1" applyNumberFormat="1">
      <alignment readingOrder="0" shrinkToFit="0" vertical="top" wrapText="1"/>
    </xf>
    <xf borderId="0" fillId="4" fontId="2" numFmtId="3" xfId="0" applyAlignment="1" applyFill="1" applyFont="1" applyNumberFormat="1">
      <alignment vertical="top"/>
    </xf>
    <xf borderId="0" fillId="4" fontId="1" numFmtId="3" xfId="0" applyAlignment="1" applyFill="1" applyFont="1" applyNumberFormat="1">
      <alignment readingOrder="0" shrinkToFit="0" vertical="top" wrapText="1"/>
    </xf>
    <xf borderId="0" fillId="4" fontId="1" numFmtId="0" xfId="0" applyAlignment="1" applyFill="1" applyFont="1">
      <alignment readingOrder="0" shrinkToFit="0" vertical="top" wrapText="1"/>
    </xf>
    <xf borderId="0" fillId="4" fontId="1" numFmtId="3" xfId="0" applyAlignment="1" applyFill="1" applyFont="1" applyNumberFormat="1">
      <alignment horizontal="center" readingOrder="0" shrinkToFit="0" vertical="top" wrapText="1"/>
    </xf>
    <xf borderId="0" fillId="4" fontId="1" numFmtId="0" xfId="0" applyAlignment="1" applyFill="1" applyFont="1">
      <alignment horizontal="center" readingOrder="0" shrinkToFit="0" vertical="top" wrapText="1"/>
    </xf>
    <xf borderId="0" fillId="4" fontId="1" numFmtId="49" xfId="0" applyAlignment="1" applyFill="1" applyFont="1" applyNumberFormat="1">
      <alignment horizontal="center" readingOrder="0" shrinkToFit="0" vertical="top" wrapText="1"/>
    </xf>
    <xf borderId="0" fillId="5" fontId="2" numFmtId="0" xfId="0" applyAlignment="1" applyFill="1" applyFont="1">
      <alignment readingOrder="0" vertical="bottom"/>
    </xf>
    <xf borderId="0" fillId="5" fontId="2" numFmtId="0" xfId="0" applyAlignment="1" applyFill="1" applyFont="1">
      <alignment horizontal="right" readingOrder="0" vertical="bottom"/>
    </xf>
    <xf borderId="0" fillId="6" fontId="2" numFmtId="0" xfId="0" applyAlignment="1" applyFill="1" applyFont="1">
      <alignment horizontal="right" readingOrder="0" vertical="bottom"/>
    </xf>
    <xf borderId="0" fillId="5" fontId="2" numFmtId="0" xfId="0" applyAlignment="1" applyFill="1" applyFont="1">
      <alignment vertical="bottom"/>
    </xf>
    <xf borderId="0" fillId="5" fontId="2" numFmtId="164" xfId="0" applyAlignment="1" applyFill="1" applyFont="1" applyNumberFormat="1">
      <alignment vertical="bottom"/>
    </xf>
    <xf borderId="0" fillId="5" fontId="2" numFmtId="3" xfId="0" applyAlignment="1" applyFill="1" applyFont="1" applyNumberFormat="1">
      <alignment horizontal="right" readingOrder="0" vertical="bottom"/>
    </xf>
    <xf borderId="0" fillId="5" fontId="3" numFmtId="168" xfId="0" applyAlignment="1" applyFill="1" applyFont="1" applyNumberFormat="1">
      <alignment horizontal="right" readingOrder="0" vertical="bottom"/>
    </xf>
    <xf borderId="0" fillId="7" fontId="2" numFmtId="0" xfId="0" applyAlignment="1" applyFill="1" applyFont="1">
      <alignment horizontal="right" readingOrder="0" vertical="bottom"/>
    </xf>
    <xf borderId="0" fillId="7" fontId="2" numFmtId="3" xfId="0" applyAlignment="1" applyFill="1" applyFont="1" applyNumberFormat="1">
      <alignment vertical="bottom"/>
    </xf>
    <xf borderId="0" fillId="5" fontId="2" numFmtId="3" xfId="0" applyAlignment="1" applyFill="1" applyFont="1" applyNumberFormat="1">
      <alignment horizontal="center" readingOrder="0" vertical="bottom"/>
    </xf>
    <xf borderId="0" fillId="5" fontId="2" numFmtId="165" xfId="0" applyAlignment="1" applyFill="1" applyFont="1" applyNumberFormat="1">
      <alignment vertical="bottom"/>
    </xf>
    <xf borderId="1" fillId="5" fontId="2" numFmtId="165" xfId="0" applyAlignment="1" applyBorder="1" applyFill="1" applyFont="1" applyNumberFormat="1">
      <alignment horizontal="right" readingOrder="0" vertical="top"/>
    </xf>
    <xf borderId="0" fillId="5" fontId="2" numFmtId="9" xfId="0" applyAlignment="1" applyFill="1" applyFont="1" applyNumberFormat="1">
      <alignment horizontal="right" readingOrder="0" vertical="top"/>
    </xf>
    <xf borderId="0" fillId="5" fontId="2" numFmtId="3" xfId="0" applyAlignment="1" applyFill="1" applyFont="1" applyNumberFormat="1">
      <alignment horizontal="right" readingOrder="0" vertical="top"/>
    </xf>
    <xf borderId="0" fillId="5" fontId="2" numFmtId="165" xfId="0" applyAlignment="1" applyFill="1" applyFont="1" applyNumberFormat="1">
      <alignment horizontal="right" readingOrder="0" vertical="top"/>
    </xf>
    <xf borderId="1" fillId="5" fontId="2" numFmtId="3" xfId="0" applyAlignment="1" applyBorder="1" applyFill="1" applyFont="1" applyNumberFormat="1">
      <alignment horizontal="right" readingOrder="0" vertical="top"/>
    </xf>
    <xf borderId="0" fillId="5" fontId="2" numFmtId="166" xfId="0" applyAlignment="1" applyFill="1" applyFont="1" applyNumberFormat="1">
      <alignment horizontal="right" readingOrder="0" vertical="top"/>
    </xf>
    <xf borderId="2" fillId="5" fontId="2" numFmtId="167" xfId="0" applyAlignment="1" applyBorder="1" applyFill="1" applyFont="1" applyNumberFormat="1">
      <alignment horizontal="right" readingOrder="0" vertical="top"/>
    </xf>
    <xf borderId="1" fillId="5" fontId="2" numFmtId="10" xfId="0" applyAlignment="1" applyBorder="1" applyFill="1" applyFont="1" applyNumberFormat="1">
      <alignment vertical="top"/>
    </xf>
    <xf borderId="2" fillId="5" fontId="2" numFmtId="10" xfId="0" applyAlignment="1" applyBorder="1" applyFill="1" applyFont="1" applyNumberFormat="1">
      <alignment vertical="top"/>
    </xf>
    <xf borderId="0" fillId="5" fontId="2" numFmtId="0" xfId="0" applyAlignment="1" applyFill="1" applyFont="1">
      <alignment vertical="top"/>
    </xf>
    <xf borderId="0" fillId="5" fontId="2" numFmtId="0" xfId="0" applyAlignment="1" applyFill="1" applyFont="1">
      <alignment horizontal="right" readingOrder="0" vertical="top"/>
    </xf>
    <xf borderId="0" fillId="7" fontId="2" numFmtId="168" xfId="0" applyAlignment="1" applyFill="1" applyFont="1" applyNumberFormat="1">
      <alignment vertical="bottom"/>
    </xf>
    <xf borderId="0" fillId="5" fontId="2" numFmtId="0" xfId="0" applyAlignment="1" applyFill="1" applyFont="1">
      <alignment readingOrder="0" vertical="top"/>
    </xf>
    <xf borderId="0" fillId="5" fontId="2" numFmtId="169" xfId="0" applyAlignment="1" applyFill="1" applyFont="1" applyNumberFormat="1">
      <alignment horizontal="right" readingOrder="0" vertical="top"/>
    </xf>
    <xf borderId="0" fillId="5" fontId="2" numFmtId="0" xfId="0" applyAlignment="1" applyFill="1" applyFont="1">
      <alignment horizontal="center" readingOrder="0" vertical="top"/>
    </xf>
    <xf borderId="0" fillId="5" fontId="2" numFmtId="10" xfId="0" applyAlignment="1" applyFill="1" applyFont="1" applyNumberFormat="1">
      <alignment horizontal="center" readingOrder="0" vertical="top"/>
    </xf>
    <xf borderId="0" fillId="5" fontId="2" numFmtId="49" xfId="0" applyAlignment="1" applyFill="1" applyFont="1" applyNumberFormat="1">
      <alignment horizontal="center" readingOrder="0" vertical="top"/>
    </xf>
    <xf borderId="0" fillId="5" fontId="2" numFmtId="10" xfId="0" applyAlignment="1" applyFill="1" applyFont="1" applyNumberFormat="1">
      <alignment vertical="top"/>
    </xf>
    <xf borderId="0" fillId="8" fontId="2" numFmtId="0" xfId="0" applyAlignment="1" applyFill="1" applyFont="1">
      <alignment readingOrder="0" vertical="bottom"/>
    </xf>
    <xf borderId="0" fillId="8" fontId="2" numFmtId="0" xfId="0" applyAlignment="1" applyFill="1" applyFont="1">
      <alignment horizontal="right" readingOrder="0" vertical="bottom"/>
    </xf>
    <xf borderId="0" fillId="8" fontId="2" numFmtId="0" xfId="0" applyAlignment="1" applyFill="1" applyFont="1">
      <alignment vertical="bottom"/>
    </xf>
    <xf borderId="0" fillId="9" fontId="2" numFmtId="0" xfId="0" applyAlignment="1" applyFill="1" applyFont="1">
      <alignment horizontal="right" readingOrder="0" vertical="bottom"/>
    </xf>
    <xf borderId="0" fillId="6" fontId="2" numFmtId="164" xfId="0" applyAlignment="1" applyFill="1" applyFont="1" applyNumberFormat="1">
      <alignment horizontal="right" readingOrder="0" vertical="bottom"/>
    </xf>
    <xf borderId="0" fillId="10" fontId="2" numFmtId="0" xfId="0" applyAlignment="1" applyFill="1" applyFont="1">
      <alignment horizontal="right" readingOrder="0" vertical="bottom"/>
    </xf>
    <xf borderId="0" fillId="8" fontId="2" numFmtId="3" xfId="0" applyAlignment="1" applyFill="1" applyFont="1" applyNumberFormat="1">
      <alignment horizontal="right" readingOrder="0" vertical="bottom"/>
    </xf>
    <xf borderId="0" fillId="8" fontId="2" numFmtId="3" xfId="0" applyAlignment="1" applyFill="1" applyFont="1" applyNumberFormat="1">
      <alignment horizontal="center" readingOrder="0" vertical="bottom"/>
    </xf>
    <xf borderId="0" fillId="8" fontId="2" numFmtId="165" xfId="0" applyAlignment="1" applyFill="1" applyFont="1" applyNumberFormat="1">
      <alignment vertical="bottom"/>
    </xf>
    <xf borderId="1" fillId="8" fontId="2" numFmtId="165" xfId="0" applyAlignment="1" applyBorder="1" applyFill="1" applyFont="1" applyNumberFormat="1">
      <alignment horizontal="right" readingOrder="0" vertical="top"/>
    </xf>
    <xf borderId="0" fillId="8" fontId="2" numFmtId="9" xfId="0" applyAlignment="1" applyFill="1" applyFont="1" applyNumberFormat="1">
      <alignment horizontal="right" readingOrder="0" vertical="top"/>
    </xf>
    <xf borderId="0" fillId="8" fontId="2" numFmtId="3" xfId="0" applyAlignment="1" applyFill="1" applyFont="1" applyNumberFormat="1">
      <alignment horizontal="right" readingOrder="0" vertical="top"/>
    </xf>
    <xf borderId="0" fillId="8" fontId="2" numFmtId="165" xfId="0" applyAlignment="1" applyFill="1" applyFont="1" applyNumberFormat="1">
      <alignment horizontal="right" readingOrder="0" vertical="top"/>
    </xf>
    <xf borderId="1" fillId="8" fontId="2" numFmtId="3" xfId="0" applyAlignment="1" applyBorder="1" applyFill="1" applyFont="1" applyNumberFormat="1">
      <alignment horizontal="right" readingOrder="0" vertical="top"/>
    </xf>
    <xf borderId="0" fillId="8" fontId="2" numFmtId="166" xfId="0" applyAlignment="1" applyFill="1" applyFont="1" applyNumberFormat="1">
      <alignment horizontal="right" readingOrder="0" vertical="top"/>
    </xf>
    <xf borderId="2" fillId="8" fontId="2" numFmtId="167" xfId="0" applyAlignment="1" applyBorder="1" applyFill="1" applyFont="1" applyNumberFormat="1">
      <alignment horizontal="right" readingOrder="0" vertical="top"/>
    </xf>
    <xf borderId="1" fillId="8" fontId="2" numFmtId="10" xfId="0" applyAlignment="1" applyBorder="1" applyFill="1" applyFont="1" applyNumberFormat="1">
      <alignment vertical="top"/>
    </xf>
    <xf borderId="2" fillId="8" fontId="2" numFmtId="10" xfId="0" applyAlignment="1" applyBorder="1" applyFill="1" applyFont="1" applyNumberFormat="1">
      <alignment vertical="top"/>
    </xf>
    <xf borderId="0" fillId="8" fontId="2" numFmtId="0" xfId="0" applyAlignment="1" applyFill="1" applyFont="1">
      <alignment vertical="top"/>
    </xf>
    <xf borderId="0" fillId="8" fontId="2" numFmtId="0" xfId="0" applyAlignment="1" applyFill="1" applyFont="1">
      <alignment horizontal="right" readingOrder="0" vertical="top"/>
    </xf>
    <xf borderId="0" fillId="5" fontId="2" numFmtId="168" xfId="0" applyAlignment="1" applyFill="1" applyFont="1" applyNumberFormat="1">
      <alignment vertical="bottom"/>
    </xf>
    <xf borderId="0" fillId="5" fontId="2" numFmtId="165" xfId="0" applyAlignment="1" applyFill="1" applyFont="1" applyNumberFormat="1">
      <alignment horizontal="right" vertical="bottom"/>
    </xf>
    <xf borderId="1" fillId="5" fontId="2" numFmtId="165" xfId="0" applyAlignment="1" applyBorder="1" applyFill="1" applyFont="1" applyNumberFormat="1">
      <alignment horizontal="right" vertical="top"/>
    </xf>
    <xf borderId="2" fillId="5" fontId="2" numFmtId="167" xfId="0" applyAlignment="1" applyBorder="1" applyFill="1" applyFont="1" applyNumberFormat="1">
      <alignment horizontal="right" vertical="top"/>
    </xf>
    <xf borderId="0" fillId="7" fontId="4" numFmtId="168" xfId="0" applyAlignment="1" applyFill="1" applyFont="1" applyNumberFormat="1">
      <alignment horizontal="right" readingOrder="0" vertical="bottom"/>
    </xf>
    <xf borderId="0" fillId="10" fontId="2" numFmtId="164" xfId="0" applyAlignment="1" applyFill="1" applyFont="1" applyNumberFormat="1">
      <alignment horizontal="right" readingOrder="0" vertical="bottom"/>
    </xf>
    <xf borderId="0" fillId="5" fontId="2" numFmtId="169" xfId="0" applyAlignment="1" applyFill="1" applyFont="1" applyNumberFormat="1">
      <alignment vertical="top"/>
    </xf>
    <xf borderId="0" fillId="8" fontId="2" numFmtId="165" xfId="0" applyAlignment="1" applyFill="1" applyFont="1" applyNumberFormat="1">
      <alignment horizontal="right" vertical="bottom"/>
    </xf>
    <xf borderId="1" fillId="8" fontId="2" numFmtId="165" xfId="0" applyAlignment="1" applyBorder="1" applyFill="1" applyFont="1" applyNumberFormat="1">
      <alignment horizontal="right" vertical="top"/>
    </xf>
    <xf borderId="0" fillId="8" fontId="2" numFmtId="164" xfId="0" applyAlignment="1" applyFill="1" applyFont="1" applyNumberFormat="1">
      <alignment vertical="bottom"/>
    </xf>
    <xf borderId="0" fillId="7" fontId="2" numFmtId="0" xfId="0" applyAlignment="1" applyFill="1" applyFont="1">
      <alignment vertical="bottom"/>
    </xf>
    <xf borderId="0" fillId="8" fontId="2" numFmtId="3" xfId="0" applyAlignment="1" applyFill="1" applyFont="1" applyNumberFormat="1">
      <alignment readingOrder="0" vertical="bottom"/>
    </xf>
    <xf borderId="0" fillId="8" fontId="2" numFmtId="9" xfId="0" applyAlignment="1" applyFill="1" applyFont="1" applyNumberFormat="1">
      <alignment vertical="top"/>
    </xf>
    <xf borderId="0" fillId="5" fontId="2" numFmtId="0" xfId="0" applyAlignment="1" applyFill="1" applyFont="1">
      <alignment horizontal="center" vertical="top"/>
    </xf>
    <xf borderId="0" fillId="5" fontId="2" numFmtId="10" xfId="0" applyAlignment="1" applyFill="1" applyFont="1" applyNumberFormat="1">
      <alignment horizontal="center" vertical="top"/>
    </xf>
    <xf borderId="0" fillId="11" fontId="5" numFmtId="3" xfId="0" applyAlignment="1" applyFill="1" applyFont="1" applyNumberFormat="1">
      <alignment horizontal="right" readingOrder="0" vertical="bottom"/>
    </xf>
    <xf borderId="0" fillId="5" fontId="2" numFmtId="3" xfId="0" applyAlignment="1" applyFill="1" applyFont="1" applyNumberFormat="1">
      <alignment readingOrder="0" vertical="bottom"/>
    </xf>
    <xf borderId="0" fillId="5" fontId="2" numFmtId="9" xfId="0" applyAlignment="1" applyFill="1" applyFont="1" applyNumberFormat="1">
      <alignment vertical="top"/>
    </xf>
    <xf borderId="2" fillId="8" fontId="2" numFmtId="167" xfId="0" applyAlignment="1" applyBorder="1" applyFill="1" applyFont="1" applyNumberFormat="1">
      <alignment horizontal="right" vertical="top"/>
    </xf>
    <xf borderId="0" fillId="9" fontId="2" numFmtId="164" xfId="0" applyAlignment="1" applyFill="1" applyFont="1" applyNumberFormat="1">
      <alignment horizontal="right" readingOrder="0" vertical="bottom"/>
    </xf>
    <xf borderId="0" fillId="5" fontId="6" numFmtId="168" xfId="0" applyAlignment="1" applyFill="1" applyFont="1" applyNumberFormat="1">
      <alignment horizontal="right" readingOrder="0" vertical="bottom"/>
    </xf>
    <xf borderId="0" fillId="5" fontId="2" numFmtId="165" xfId="0" applyAlignment="1" applyFill="1" applyFont="1" applyNumberFormat="1">
      <alignment horizontal="right" vertical="top"/>
    </xf>
    <xf borderId="0" fillId="8" fontId="2" numFmtId="165" xfId="0" applyAlignment="1" applyFill="1" applyFont="1" applyNumberFormat="1">
      <alignment horizontal="right" vertical="top"/>
    </xf>
    <xf borderId="0" fillId="12" fontId="2" numFmtId="0" xfId="0" applyAlignment="1" applyFill="1" applyFont="1">
      <alignment horizontal="right" readingOrder="0" vertical="top"/>
    </xf>
    <xf borderId="0" fillId="8" fontId="3" numFmtId="168" xfId="0" applyAlignment="1" applyFill="1" applyFont="1" applyNumberFormat="1">
      <alignment horizontal="right" readingOrder="0" vertical="bottom"/>
    </xf>
    <xf borderId="0" fillId="8" fontId="2" numFmtId="3" xfId="0" applyAlignment="1" applyFill="1" applyFont="1" applyNumberFormat="1">
      <alignment vertical="bottom"/>
    </xf>
    <xf borderId="0" fillId="8" fontId="2" numFmtId="168" xfId="0" applyAlignment="1" applyFill="1" applyFont="1" applyNumberFormat="1">
      <alignment vertical="bottom"/>
    </xf>
    <xf borderId="0" fillId="8" fontId="2" numFmtId="169" xfId="0" applyAlignment="1" applyFill="1" applyFont="1" applyNumberFormat="1">
      <alignment vertical="top"/>
    </xf>
    <xf borderId="0" fillId="8" fontId="2" numFmtId="0" xfId="0" applyAlignment="1" applyFill="1" applyFont="1">
      <alignment horizontal="center" readingOrder="0" vertical="top"/>
    </xf>
    <xf borderId="0" fillId="8" fontId="2" numFmtId="10" xfId="0" applyAlignment="1" applyFill="1" applyFont="1" applyNumberFormat="1">
      <alignment horizontal="center" readingOrder="0" vertical="top"/>
    </xf>
    <xf borderId="0" fillId="8" fontId="2" numFmtId="49" xfId="0" applyAlignment="1" applyFill="1" applyFont="1" applyNumberFormat="1">
      <alignment horizontal="center" readingOrder="0" vertical="top"/>
    </xf>
    <xf borderId="0" fillId="8" fontId="2" numFmtId="10" xfId="0" applyAlignment="1" applyFill="1" applyFont="1" applyNumberFormat="1">
      <alignment vertical="top"/>
    </xf>
    <xf borderId="0" fillId="4" fontId="5" numFmtId="3" xfId="0" applyAlignment="1" applyFill="1" applyFont="1" applyNumberFormat="1">
      <alignment horizontal="right" readingOrder="0" vertical="bottom"/>
    </xf>
    <xf borderId="0" fillId="8" fontId="2" numFmtId="165" xfId="0" applyAlignment="1" applyFill="1" applyFont="1" applyNumberFormat="1">
      <alignment horizontal="right" readingOrder="0" vertical="bottom"/>
    </xf>
    <xf borderId="0" fillId="8" fontId="2" numFmtId="3" xfId="0" applyAlignment="1" applyFill="1" applyFont="1" applyNumberFormat="1">
      <alignment vertical="top"/>
    </xf>
    <xf borderId="0" fillId="7" fontId="7" numFmtId="168" xfId="0" applyAlignment="1" applyFill="1" applyFont="1" applyNumberFormat="1">
      <alignment horizontal="right" readingOrder="0" vertical="bottom"/>
    </xf>
    <xf borderId="0" fillId="13" fontId="5" numFmtId="3" xfId="0" applyAlignment="1" applyFill="1" applyFont="1" applyNumberFormat="1">
      <alignment horizontal="right" readingOrder="0" vertical="bottom"/>
    </xf>
    <xf borderId="0" fillId="5" fontId="2" numFmtId="165" xfId="0" applyAlignment="1" applyFill="1" applyFont="1" applyNumberFormat="1">
      <alignment horizontal="right" readingOrder="0" vertical="bottom"/>
    </xf>
    <xf borderId="0" fillId="5" fontId="2" numFmtId="3" xfId="0" applyAlignment="1" applyFill="1" applyFont="1" applyNumberFormat="1">
      <alignment vertical="top"/>
    </xf>
    <xf borderId="0" fillId="5" fontId="2" numFmtId="49" xfId="0" applyAlignment="1" applyFill="1" applyFont="1" applyNumberFormat="1">
      <alignment vertical="top"/>
    </xf>
    <xf borderId="0" fillId="5" fontId="2" numFmtId="3" xfId="0" applyAlignment="1" applyFill="1" applyFont="1" applyNumberFormat="1">
      <alignmen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0" xfId="0" applyAlignment="1" applyFont="1">
      <alignment vertical="bottom"/>
    </xf>
    <xf borderId="0" fillId="0" fontId="2" numFmtId="164" xfId="0" applyAlignment="1" applyFont="1" applyNumberFormat="1">
      <alignment vertical="bottom"/>
    </xf>
    <xf borderId="0" fillId="11" fontId="5" numFmtId="3" xfId="0" applyAlignment="1" applyFill="1" applyFont="1" applyNumberFormat="1">
      <alignment horizontal="right" readingOrder="0" vertical="bottom"/>
    </xf>
    <xf borderId="0" fillId="5" fontId="2" numFmtId="168" xfId="0" applyAlignment="1" applyFill="1" applyFont="1" applyNumberFormat="1">
      <alignment vertical="bottom"/>
    </xf>
    <xf borderId="0" fillId="7" fontId="2" numFmtId="0" xfId="0" applyAlignment="1" applyFill="1" applyFont="1">
      <alignment vertical="bottom"/>
    </xf>
    <xf borderId="0" fillId="7" fontId="2" numFmtId="3" xfId="0" applyAlignment="1" applyFill="1" applyFont="1" applyNumberFormat="1">
      <alignment vertical="bottom"/>
    </xf>
    <xf borderId="0" fillId="5" fontId="2" numFmtId="3" xfId="0" applyAlignment="1" applyFill="1" applyFont="1" applyNumberFormat="1">
      <alignment horizontal="right" readingOrder="0" vertical="bottom"/>
    </xf>
    <xf borderId="0" fillId="5" fontId="2" numFmtId="3" xfId="0" applyAlignment="1" applyFill="1" applyFont="1" applyNumberFormat="1">
      <alignment readingOrder="0" vertical="bottom"/>
    </xf>
    <xf borderId="0" fillId="5" fontId="2" numFmtId="165" xfId="0" applyAlignment="1" applyFill="1" applyFont="1" applyNumberFormat="1">
      <alignment vertical="bottom"/>
    </xf>
    <xf borderId="1" fillId="5" fontId="2" numFmtId="165" xfId="0" applyAlignment="1" applyBorder="1" applyFill="1" applyFont="1" applyNumberFormat="1">
      <alignment horizontal="right" readingOrder="0" vertical="top"/>
    </xf>
    <xf borderId="0" fillId="5" fontId="2" numFmtId="9" xfId="0" applyAlignment="1" applyFill="1" applyFont="1" applyNumberFormat="1">
      <alignment vertical="top"/>
    </xf>
    <xf borderId="0" fillId="5" fontId="2" numFmtId="3" xfId="0" applyAlignment="1" applyFill="1" applyFont="1" applyNumberFormat="1">
      <alignment horizontal="right" readingOrder="0" vertical="top"/>
    </xf>
    <xf borderId="0" fillId="5" fontId="2" numFmtId="165" xfId="0" applyAlignment="1" applyFill="1" applyFont="1" applyNumberFormat="1">
      <alignment horizontal="right" readingOrder="0" vertical="top"/>
    </xf>
    <xf borderId="1" fillId="5" fontId="2" numFmtId="3" xfId="0" applyAlignment="1" applyBorder="1" applyFill="1" applyFont="1" applyNumberFormat="1">
      <alignment horizontal="right" readingOrder="0" vertical="top"/>
    </xf>
    <xf borderId="0" fillId="5" fontId="2" numFmtId="166" xfId="0" applyAlignment="1" applyFill="1" applyFont="1" applyNumberFormat="1">
      <alignment horizontal="right" readingOrder="0" vertical="top"/>
    </xf>
    <xf borderId="2" fillId="5" fontId="2" numFmtId="167" xfId="0" applyAlignment="1" applyBorder="1" applyFill="1" applyFont="1" applyNumberFormat="1">
      <alignment horizontal="right" readingOrder="0" vertical="top"/>
    </xf>
    <xf borderId="1" fillId="5" fontId="2" numFmtId="10" xfId="0" applyAlignment="1" applyBorder="1" applyFill="1" applyFont="1" applyNumberFormat="1">
      <alignment vertical="top"/>
    </xf>
    <xf borderId="2" fillId="5" fontId="2" numFmtId="10" xfId="0" applyAlignment="1" applyBorder="1" applyFill="1" applyFont="1" applyNumberFormat="1">
      <alignment vertical="top"/>
    </xf>
    <xf borderId="0" fillId="5" fontId="2" numFmtId="0" xfId="0" applyAlignment="1" applyFill="1" applyFont="1">
      <alignment vertical="top"/>
    </xf>
    <xf borderId="0" fillId="5" fontId="2" numFmtId="0" xfId="0" applyAlignment="1" applyFill="1" applyFont="1">
      <alignment horizontal="right" readingOrder="0" vertical="top"/>
    </xf>
    <xf borderId="0" fillId="7" fontId="2" numFmtId="168" xfId="0" applyAlignment="1" applyFill="1" applyFont="1" applyNumberFormat="1">
      <alignment vertical="bottom"/>
    </xf>
    <xf borderId="0" fillId="5" fontId="2" numFmtId="169" xfId="0" applyAlignment="1" applyFill="1" applyFont="1" applyNumberFormat="1">
      <alignment vertical="top"/>
    </xf>
    <xf borderId="0" fillId="5" fontId="2" numFmtId="0" xfId="0" applyAlignment="1" applyFill="1" applyFont="1">
      <alignment horizontal="center" readingOrder="0" vertical="top"/>
    </xf>
    <xf borderId="0" fillId="5" fontId="2" numFmtId="10" xfId="0" applyAlignment="1" applyFill="1" applyFont="1" applyNumberFormat="1">
      <alignment horizontal="center" readingOrder="0" vertical="top"/>
    </xf>
    <xf borderId="0" fillId="5" fontId="2" numFmtId="49" xfId="0" applyAlignment="1" applyFill="1" applyFont="1" applyNumberFormat="1">
      <alignment horizontal="center" readingOrder="0" vertical="top"/>
    </xf>
    <xf borderId="0" fillId="5" fontId="2" numFmtId="49" xfId="0" applyAlignment="1" applyFill="1" applyFont="1" applyNumberFormat="1">
      <alignment vertical="top"/>
    </xf>
    <xf borderId="0" fillId="5" fontId="2" numFmtId="10" xfId="0" applyAlignment="1" applyFill="1" applyFont="1" applyNumberFormat="1">
      <alignment vertical="top"/>
    </xf>
    <xf borderId="0" fillId="6" fontId="2" numFmtId="0" xfId="0" applyAlignment="1" applyFill="1" applyFont="1">
      <alignment horizontal="right" readingOrder="0" vertical="bottom"/>
    </xf>
    <xf borderId="0" fillId="0" fontId="2" numFmtId="3" xfId="0" applyAlignment="1" applyFont="1" applyNumberFormat="1">
      <alignment horizontal="right" readingOrder="0" vertical="bottom"/>
    </xf>
    <xf borderId="0" fillId="5" fontId="3" numFmtId="168" xfId="0" applyAlignment="1" applyFill="1" applyFont="1" applyNumberFormat="1">
      <alignment horizontal="right" readingOrder="0" vertical="bottom"/>
    </xf>
    <xf borderId="0" fillId="7" fontId="2" numFmtId="0" xfId="0" applyAlignment="1" applyFill="1" applyFont="1">
      <alignment horizontal="right" readingOrder="0" vertical="bottom"/>
    </xf>
    <xf borderId="0" fillId="5" fontId="2" numFmtId="3" xfId="0" applyAlignment="1" applyFill="1" applyFont="1" applyNumberFormat="1">
      <alignment vertical="bottom"/>
    </xf>
    <xf borderId="0" fillId="5" fontId="2" numFmtId="9" xfId="0" applyAlignment="1" applyFill="1" applyFont="1" applyNumberFormat="1">
      <alignment horizontal="right" readingOrder="0" vertical="top"/>
    </xf>
    <xf borderId="0" fillId="6" fontId="2" numFmtId="164" xfId="0" applyAlignment="1" applyFill="1" applyFont="1" applyNumberFormat="1">
      <alignment horizontal="right" readingOrder="0" vertical="bottom"/>
    </xf>
    <xf borderId="2" fillId="5" fontId="2" numFmtId="167" xfId="0" applyAlignment="1" applyBorder="1" applyFill="1" applyFont="1" applyNumberFormat="1">
      <alignment horizontal="right" vertical="top"/>
    </xf>
    <xf borderId="0" fillId="7" fontId="7" numFmtId="168" xfId="0" applyAlignment="1" applyFill="1" applyFont="1" applyNumberFormat="1">
      <alignment horizontal="right" readingOrder="0" vertical="bottom"/>
    </xf>
    <xf borderId="0" fillId="5" fontId="2" numFmtId="0" xfId="0" applyAlignment="1" applyFill="1" applyFont="1">
      <alignment readingOrder="0" vertical="top"/>
    </xf>
    <xf borderId="0" fillId="5" fontId="2" numFmtId="169" xfId="0" applyAlignment="1" applyFill="1" applyFont="1" applyNumberFormat="1">
      <alignment horizontal="right" readingOrder="0" vertical="top"/>
    </xf>
    <xf borderId="0" fillId="5" fontId="2" numFmtId="3" xfId="0" applyAlignment="1" applyFill="1" applyFont="1" applyNumberFormat="1">
      <alignment vertical="top"/>
    </xf>
    <xf borderId="0" fillId="9" fontId="2" numFmtId="0" xfId="0" applyAlignment="1" applyFill="1" applyFont="1">
      <alignment horizontal="right" readingOrder="0" vertical="bottom"/>
    </xf>
    <xf borderId="0" fillId="9" fontId="2" numFmtId="164" xfId="0" applyAlignment="1" applyFill="1" applyFont="1" applyNumberFormat="1">
      <alignment horizontal="right" readingOrder="0" vertical="bottom"/>
    </xf>
    <xf borderId="0" fillId="10" fontId="2" numFmtId="0" xfId="0" applyAlignment="1" applyFill="1" applyFont="1">
      <alignment horizontal="right" readingOrder="0" vertical="bottom"/>
    </xf>
    <xf borderId="0" fillId="5" fontId="2" numFmtId="0" xfId="0" applyAlignment="1" applyFill="1" applyFont="1">
      <alignment horizontal="center" vertical="top"/>
    </xf>
    <xf borderId="0" fillId="5" fontId="2" numFmtId="10" xfId="0" applyAlignment="1" applyFill="1" applyFont="1" applyNumberFormat="1">
      <alignment horizontal="center" vertical="top"/>
    </xf>
    <xf borderId="0" fillId="7" fontId="4" numFmtId="168" xfId="0" applyAlignment="1" applyFill="1" applyFont="1" applyNumberFormat="1">
      <alignment horizontal="right" readingOrder="0" vertical="bottom"/>
    </xf>
    <xf borderId="0" fillId="10" fontId="2" numFmtId="164" xfId="0" applyAlignment="1" applyFill="1" applyFont="1" applyNumberFormat="1">
      <alignment horizontal="right" readingOrder="0" vertical="bottom"/>
    </xf>
  </cellXfs>
  <cellStyles count="1">
    <cellStyle xfId="0" name="Normal" builtinId="0"/>
  </cellStyles>
  <dxfs count="4">
    <dxf>
      <font/>
      <fill>
        <patternFill patternType="none"/>
      </fill>
      <border/>
    </dxf>
    <dxf>
      <font/>
      <fill>
        <patternFill patternType="solid">
          <fgColor rgb="FF1C4587"/>
          <bgColor rgb="FF1C4587"/>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S622" displayName="Table_1" name="Table_1" id="1">
  <tableColumns count="1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s>
  <tableStyleInfo name="Hoja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38"/>
    <col customWidth="1" min="7" max="7" width="78.0"/>
    <col customWidth="1" min="77" max="77" width="24.88"/>
    <col customWidth="1" min="113" max="113" width="34.75"/>
  </cols>
  <sheetData>
    <row r="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3" t="s">
        <v>71</v>
      </c>
      <c r="BU1" s="2" t="s">
        <v>72</v>
      </c>
      <c r="BV1" s="2" t="s">
        <v>73</v>
      </c>
      <c r="BW1" s="2" t="s">
        <v>74</v>
      </c>
      <c r="BX1" s="2" t="s">
        <v>75</v>
      </c>
      <c r="BY1" s="2" t="s">
        <v>76</v>
      </c>
      <c r="BZ1" s="4" t="s">
        <v>77</v>
      </c>
      <c r="CA1" s="5"/>
      <c r="CB1" s="5"/>
      <c r="CC1" s="6" t="s">
        <v>78</v>
      </c>
      <c r="CD1" s="6" t="s">
        <v>79</v>
      </c>
      <c r="CE1" s="6" t="s">
        <v>80</v>
      </c>
      <c r="CF1" s="7" t="s">
        <v>81</v>
      </c>
      <c r="CG1" s="8" t="s">
        <v>82</v>
      </c>
      <c r="CH1" s="2" t="s">
        <v>83</v>
      </c>
      <c r="CI1" s="9" t="s">
        <v>84</v>
      </c>
      <c r="CJ1" s="9" t="s">
        <v>85</v>
      </c>
      <c r="CK1" s="10" t="s">
        <v>86</v>
      </c>
      <c r="CL1" s="9" t="s">
        <v>87</v>
      </c>
      <c r="CM1" s="11" t="s">
        <v>88</v>
      </c>
      <c r="CN1" s="9" t="s">
        <v>89</v>
      </c>
      <c r="CO1" s="12" t="s">
        <v>90</v>
      </c>
      <c r="CP1" s="13" t="s">
        <v>91</v>
      </c>
      <c r="CQ1" s="9" t="s">
        <v>92</v>
      </c>
      <c r="CR1" s="9" t="s">
        <v>93</v>
      </c>
      <c r="CS1" s="9" t="s">
        <v>94</v>
      </c>
      <c r="CT1" s="11" t="s">
        <v>95</v>
      </c>
      <c r="CU1" s="14" t="s">
        <v>96</v>
      </c>
      <c r="CV1" s="15" t="s">
        <v>97</v>
      </c>
      <c r="CW1" s="9" t="s">
        <v>98</v>
      </c>
      <c r="CX1" s="16" t="s">
        <v>99</v>
      </c>
      <c r="CY1" s="16" t="s">
        <v>100</v>
      </c>
      <c r="CZ1" s="17"/>
      <c r="DA1" s="18" t="s">
        <v>101</v>
      </c>
      <c r="DB1" s="18" t="s">
        <v>102</v>
      </c>
      <c r="DC1" s="18" t="s">
        <v>103</v>
      </c>
      <c r="DD1" s="19" t="s">
        <v>104</v>
      </c>
      <c r="DE1" s="17"/>
      <c r="DF1" s="17"/>
      <c r="DG1" s="20" t="s">
        <v>105</v>
      </c>
      <c r="DH1" s="20" t="s">
        <v>106</v>
      </c>
      <c r="DI1" s="20" t="s">
        <v>107</v>
      </c>
      <c r="DJ1" s="21" t="s">
        <v>108</v>
      </c>
      <c r="DK1" s="21" t="s">
        <v>109</v>
      </c>
      <c r="DL1" s="22" t="s">
        <v>110</v>
      </c>
      <c r="DM1" s="22" t="s">
        <v>111</v>
      </c>
      <c r="DN1" s="22" t="s">
        <v>112</v>
      </c>
      <c r="DO1" s="21" t="s">
        <v>113</v>
      </c>
      <c r="DP1" s="21" t="s">
        <v>114</v>
      </c>
      <c r="DQ1" s="21" t="s">
        <v>115</v>
      </c>
      <c r="DR1" s="21" t="s">
        <v>116</v>
      </c>
      <c r="DS1" s="21" t="s">
        <v>117</v>
      </c>
    </row>
    <row r="2">
      <c r="A2" s="23" t="s">
        <v>118</v>
      </c>
      <c r="B2" s="24">
        <v>3.0</v>
      </c>
      <c r="C2" s="23" t="s">
        <v>119</v>
      </c>
      <c r="D2" s="24">
        <v>643373.0</v>
      </c>
      <c r="E2" s="23" t="s">
        <v>120</v>
      </c>
      <c r="F2" s="23" t="s">
        <v>121</v>
      </c>
      <c r="G2" s="23" t="s">
        <v>122</v>
      </c>
      <c r="H2" s="24">
        <v>1130.0</v>
      </c>
      <c r="I2" s="24">
        <v>3.0</v>
      </c>
      <c r="J2" s="24">
        <v>0.0</v>
      </c>
      <c r="K2" s="24">
        <v>0.0</v>
      </c>
      <c r="L2" s="24">
        <v>0.0</v>
      </c>
      <c r="M2" s="24">
        <v>0.0</v>
      </c>
      <c r="N2" s="24">
        <v>0.0</v>
      </c>
      <c r="O2" s="24">
        <v>0.0</v>
      </c>
      <c r="P2" s="24">
        <v>0.0</v>
      </c>
      <c r="Q2" s="24">
        <v>0.0</v>
      </c>
      <c r="R2" s="24">
        <v>0.0</v>
      </c>
      <c r="S2" s="24">
        <v>1.0</v>
      </c>
      <c r="T2" s="24">
        <v>0.0</v>
      </c>
      <c r="U2" s="24">
        <v>0.0</v>
      </c>
      <c r="V2" s="24">
        <v>1.0</v>
      </c>
      <c r="W2" s="24">
        <v>0.0</v>
      </c>
      <c r="X2" s="24">
        <v>0.0</v>
      </c>
      <c r="Y2" s="24">
        <v>0.0</v>
      </c>
      <c r="Z2" s="24">
        <v>0.0</v>
      </c>
      <c r="AA2" s="24">
        <v>0.0</v>
      </c>
      <c r="AB2" s="24">
        <v>0.0</v>
      </c>
      <c r="AC2" s="24">
        <v>0.0</v>
      </c>
      <c r="AD2" s="24">
        <v>1.0</v>
      </c>
      <c r="AE2" s="24">
        <v>0.0</v>
      </c>
      <c r="AF2" s="24">
        <v>0.0</v>
      </c>
      <c r="AG2" s="24">
        <v>0.0</v>
      </c>
      <c r="AH2" s="24">
        <v>0.0</v>
      </c>
      <c r="AI2" s="24">
        <v>0.0</v>
      </c>
      <c r="AJ2" s="24">
        <v>0.0</v>
      </c>
      <c r="AK2" s="24">
        <v>0.0</v>
      </c>
      <c r="AL2" s="24">
        <v>0.0</v>
      </c>
      <c r="AM2" s="24">
        <v>0.0</v>
      </c>
      <c r="AN2" s="24">
        <v>0.0</v>
      </c>
      <c r="AO2" s="25">
        <v>18.9</v>
      </c>
      <c r="AP2" s="26"/>
      <c r="AQ2" s="26"/>
      <c r="AR2" s="26"/>
      <c r="AS2" s="26"/>
      <c r="AT2" s="26"/>
      <c r="AU2" s="26"/>
      <c r="AV2" s="26"/>
      <c r="AW2" s="26"/>
      <c r="AX2" s="26"/>
      <c r="AY2" s="24">
        <v>13.98</v>
      </c>
      <c r="AZ2" s="26"/>
      <c r="BA2" s="26"/>
      <c r="BB2" s="24">
        <v>12.58</v>
      </c>
      <c r="BC2" s="26"/>
      <c r="BD2" s="26"/>
      <c r="BE2" s="26"/>
      <c r="BF2" s="26"/>
      <c r="BG2" s="26"/>
      <c r="BH2" s="26"/>
      <c r="BI2" s="26"/>
      <c r="BJ2" s="24">
        <v>30.17</v>
      </c>
      <c r="BK2" s="26"/>
      <c r="BL2" s="26"/>
      <c r="BM2" s="26"/>
      <c r="BN2" s="26"/>
      <c r="BO2" s="26"/>
      <c r="BP2" s="24">
        <v>1.35</v>
      </c>
      <c r="BQ2" s="24">
        <v>3.47</v>
      </c>
      <c r="BR2" s="24">
        <v>4.59</v>
      </c>
      <c r="BS2" s="25">
        <v>6.02</v>
      </c>
      <c r="BT2" s="27"/>
      <c r="BU2" s="26"/>
      <c r="BV2" s="26"/>
      <c r="BW2" s="26"/>
      <c r="BX2" s="24">
        <v>2400.0</v>
      </c>
      <c r="BY2" s="24" t="s">
        <v>123</v>
      </c>
      <c r="BZ2" s="28">
        <v>2100.0</v>
      </c>
      <c r="CA2" s="29" t="s">
        <v>124</v>
      </c>
      <c r="CB2" s="30">
        <v>2400.0</v>
      </c>
      <c r="CC2" s="31"/>
      <c r="CD2" s="28">
        <v>2400.0</v>
      </c>
      <c r="CE2" s="32" t="e">
        <v>#REF!</v>
      </c>
      <c r="CF2" s="33"/>
      <c r="CG2" s="34">
        <v>0.0</v>
      </c>
      <c r="CH2" s="35">
        <v>0.0</v>
      </c>
      <c r="CI2" s="36">
        <v>3.0</v>
      </c>
      <c r="CJ2" s="36">
        <v>2663.0</v>
      </c>
      <c r="CK2" s="37">
        <v>-24.0</v>
      </c>
      <c r="CL2" s="36">
        <v>2639.0</v>
      </c>
      <c r="CM2" s="38">
        <v>57.0</v>
      </c>
      <c r="CN2" s="36">
        <v>0.0</v>
      </c>
      <c r="CO2" s="39">
        <v>18.9</v>
      </c>
      <c r="CP2" s="40">
        <v>0.0</v>
      </c>
      <c r="CQ2" s="36">
        <v>4.0</v>
      </c>
      <c r="CR2" s="36">
        <v>4.0</v>
      </c>
      <c r="CS2" s="36">
        <v>18.0</v>
      </c>
      <c r="CT2" s="41"/>
      <c r="CU2" s="42"/>
      <c r="CV2" s="43"/>
      <c r="CW2" s="44">
        <v>8.0</v>
      </c>
      <c r="CX2" s="44" t="s">
        <v>125</v>
      </c>
      <c r="CY2" s="44" t="s">
        <v>126</v>
      </c>
      <c r="CZ2" s="45"/>
      <c r="DA2" s="44">
        <v>2400.0</v>
      </c>
      <c r="DB2" s="44">
        <v>0.0</v>
      </c>
      <c r="DC2" s="46" t="s">
        <v>127</v>
      </c>
      <c r="DD2" s="47">
        <v>46240.0</v>
      </c>
      <c r="DE2" s="43"/>
      <c r="DF2" s="43"/>
      <c r="DG2" s="48" t="s">
        <v>128</v>
      </c>
      <c r="DH2" s="48" t="s">
        <v>128</v>
      </c>
      <c r="DI2" s="48" t="s">
        <v>129</v>
      </c>
      <c r="DJ2" s="49">
        <v>0.0</v>
      </c>
      <c r="DK2" s="48" t="b">
        <v>0</v>
      </c>
      <c r="DL2" s="50" t="s">
        <v>130</v>
      </c>
      <c r="DM2" s="50" t="s">
        <v>131</v>
      </c>
      <c r="DN2" s="50" t="s">
        <v>132</v>
      </c>
      <c r="DO2" s="49">
        <v>0.92</v>
      </c>
      <c r="DP2" s="48" t="s">
        <v>128</v>
      </c>
      <c r="DQ2" s="48" t="s">
        <v>133</v>
      </c>
      <c r="DR2" s="51"/>
      <c r="DS2" s="48" t="s">
        <v>134</v>
      </c>
    </row>
    <row r="3">
      <c r="A3" s="52" t="s">
        <v>118</v>
      </c>
      <c r="B3" s="53">
        <v>3.0</v>
      </c>
      <c r="C3" s="52" t="s">
        <v>119</v>
      </c>
      <c r="D3" s="53">
        <v>626041.0</v>
      </c>
      <c r="E3" s="52" t="s">
        <v>135</v>
      </c>
      <c r="F3" s="52" t="s">
        <v>136</v>
      </c>
      <c r="G3" s="52" t="s">
        <v>137</v>
      </c>
      <c r="H3" s="53">
        <v>1130.0</v>
      </c>
      <c r="I3" s="53">
        <v>24.0</v>
      </c>
      <c r="J3" s="53">
        <v>0.0</v>
      </c>
      <c r="K3" s="53">
        <v>0.0</v>
      </c>
      <c r="L3" s="53">
        <v>0.0</v>
      </c>
      <c r="M3" s="53">
        <v>0.0</v>
      </c>
      <c r="N3" s="53">
        <v>0.0</v>
      </c>
      <c r="O3" s="53">
        <v>1.0</v>
      </c>
      <c r="P3" s="53">
        <v>3.0</v>
      </c>
      <c r="Q3" s="53">
        <v>0.0</v>
      </c>
      <c r="R3" s="53">
        <v>1.0</v>
      </c>
      <c r="S3" s="53">
        <v>0.0</v>
      </c>
      <c r="T3" s="53">
        <v>2.0</v>
      </c>
      <c r="U3" s="53">
        <v>0.0</v>
      </c>
      <c r="V3" s="53">
        <v>2.0</v>
      </c>
      <c r="W3" s="53">
        <v>0.0</v>
      </c>
      <c r="X3" s="53">
        <v>0.0</v>
      </c>
      <c r="Y3" s="53">
        <v>3.0</v>
      </c>
      <c r="Z3" s="53">
        <v>1.0</v>
      </c>
      <c r="AA3" s="53">
        <v>0.0</v>
      </c>
      <c r="AB3" s="53">
        <v>3.0</v>
      </c>
      <c r="AC3" s="53">
        <v>0.0</v>
      </c>
      <c r="AD3" s="53">
        <v>0.0</v>
      </c>
      <c r="AE3" s="53">
        <v>0.0</v>
      </c>
      <c r="AF3" s="53">
        <v>1.0</v>
      </c>
      <c r="AG3" s="53">
        <v>2.0</v>
      </c>
      <c r="AH3" s="53">
        <v>0.0</v>
      </c>
      <c r="AI3" s="53">
        <v>1.0</v>
      </c>
      <c r="AJ3" s="53">
        <v>1.0</v>
      </c>
      <c r="AK3" s="53">
        <v>1.0</v>
      </c>
      <c r="AL3" s="53">
        <v>1.0</v>
      </c>
      <c r="AM3" s="53">
        <v>0.0</v>
      </c>
      <c r="AN3" s="53">
        <v>1.0</v>
      </c>
      <c r="AO3" s="25">
        <v>18.3</v>
      </c>
      <c r="AP3" s="54"/>
      <c r="AQ3" s="54"/>
      <c r="AR3" s="54"/>
      <c r="AS3" s="54"/>
      <c r="AT3" s="54"/>
      <c r="AU3" s="53">
        <v>15.62</v>
      </c>
      <c r="AV3" s="53">
        <v>15.98</v>
      </c>
      <c r="AW3" s="54"/>
      <c r="AX3" s="53">
        <v>12.87</v>
      </c>
      <c r="AY3" s="54"/>
      <c r="AZ3" s="53">
        <v>20.08</v>
      </c>
      <c r="BA3" s="54"/>
      <c r="BB3" s="53">
        <v>15.04</v>
      </c>
      <c r="BC3" s="54"/>
      <c r="BD3" s="54"/>
      <c r="BE3" s="53">
        <v>15.81</v>
      </c>
      <c r="BF3" s="53">
        <v>21.65</v>
      </c>
      <c r="BG3" s="54"/>
      <c r="BH3" s="53">
        <v>24.18</v>
      </c>
      <c r="BI3" s="54"/>
      <c r="BJ3" s="54"/>
      <c r="BK3" s="54"/>
      <c r="BL3" s="53">
        <v>15.57</v>
      </c>
      <c r="BM3" s="53">
        <v>16.27</v>
      </c>
      <c r="BN3" s="54"/>
      <c r="BO3" s="53">
        <v>0.34</v>
      </c>
      <c r="BP3" s="53">
        <v>1.71</v>
      </c>
      <c r="BQ3" s="53">
        <v>4.8</v>
      </c>
      <c r="BR3" s="53">
        <v>6.3</v>
      </c>
      <c r="BS3" s="55">
        <v>3.74</v>
      </c>
      <c r="BT3" s="56">
        <v>18.3</v>
      </c>
      <c r="BU3" s="57">
        <v>2.6</v>
      </c>
      <c r="BV3" s="25">
        <v>8.21</v>
      </c>
      <c r="BW3" s="54"/>
      <c r="BX3" s="53">
        <v>3000.0</v>
      </c>
      <c r="BY3" s="53" t="s">
        <v>123</v>
      </c>
      <c r="BZ3" s="58">
        <v>2700.0</v>
      </c>
      <c r="CA3" s="29" t="s">
        <v>124</v>
      </c>
      <c r="CB3" s="30">
        <v>3000.0</v>
      </c>
      <c r="CC3" s="31"/>
      <c r="CD3" s="58">
        <v>3000.0</v>
      </c>
      <c r="CE3" s="59" t="e">
        <v>#REF!</v>
      </c>
      <c r="CF3" s="60"/>
      <c r="CG3" s="61">
        <v>0.0</v>
      </c>
      <c r="CH3" s="62">
        <v>0.0</v>
      </c>
      <c r="CI3" s="63">
        <v>24.0</v>
      </c>
      <c r="CJ3" s="63">
        <v>2663.0</v>
      </c>
      <c r="CK3" s="64">
        <v>-24.0</v>
      </c>
      <c r="CL3" s="63">
        <v>2639.0</v>
      </c>
      <c r="CM3" s="65">
        <v>439.0</v>
      </c>
      <c r="CN3" s="63">
        <v>0.0</v>
      </c>
      <c r="CO3" s="66">
        <v>18.3</v>
      </c>
      <c r="CP3" s="67">
        <v>0.0</v>
      </c>
      <c r="CQ3" s="63">
        <v>41.0</v>
      </c>
      <c r="CR3" s="63">
        <v>41.0</v>
      </c>
      <c r="CS3" s="63">
        <v>90.0</v>
      </c>
      <c r="CT3" s="68"/>
      <c r="CU3" s="69"/>
      <c r="CV3" s="70"/>
      <c r="CW3" s="71">
        <v>10.0</v>
      </c>
      <c r="CX3" s="71" t="s">
        <v>138</v>
      </c>
      <c r="CY3" s="71" t="s">
        <v>139</v>
      </c>
      <c r="CZ3" s="45"/>
      <c r="DA3" s="44">
        <v>3000.0</v>
      </c>
      <c r="DB3" s="44">
        <v>0.0</v>
      </c>
      <c r="DC3" s="46" t="s">
        <v>127</v>
      </c>
      <c r="DD3" s="47">
        <v>46233.0</v>
      </c>
      <c r="DE3" s="43"/>
      <c r="DF3" s="43"/>
      <c r="DG3" s="48" t="s">
        <v>128</v>
      </c>
      <c r="DH3" s="48" t="s">
        <v>128</v>
      </c>
      <c r="DI3" s="48" t="s">
        <v>128</v>
      </c>
      <c r="DJ3" s="49">
        <v>1.0</v>
      </c>
      <c r="DK3" s="48" t="b">
        <v>0</v>
      </c>
      <c r="DL3" s="50" t="s">
        <v>130</v>
      </c>
      <c r="DM3" s="50" t="s">
        <v>131</v>
      </c>
      <c r="DN3" s="50" t="s">
        <v>132</v>
      </c>
      <c r="DO3" s="49">
        <v>0.92</v>
      </c>
      <c r="DP3" s="48" t="s">
        <v>128</v>
      </c>
      <c r="DQ3" s="48" t="s">
        <v>128</v>
      </c>
      <c r="DR3" s="51"/>
      <c r="DS3" s="48" t="s">
        <v>134</v>
      </c>
    </row>
    <row r="4">
      <c r="A4" s="23" t="s">
        <v>118</v>
      </c>
      <c r="B4" s="24">
        <v>3.0</v>
      </c>
      <c r="C4" s="23" t="s">
        <v>119</v>
      </c>
      <c r="D4" s="24">
        <v>631195.0</v>
      </c>
      <c r="E4" s="23" t="s">
        <v>140</v>
      </c>
      <c r="F4" s="23" t="s">
        <v>141</v>
      </c>
      <c r="G4" s="23" t="s">
        <v>142</v>
      </c>
      <c r="H4" s="24">
        <v>1130.0</v>
      </c>
      <c r="I4" s="24">
        <v>8.0</v>
      </c>
      <c r="J4" s="24">
        <v>0.0</v>
      </c>
      <c r="K4" s="24">
        <v>0.0</v>
      </c>
      <c r="L4" s="24">
        <v>0.0</v>
      </c>
      <c r="M4" s="24">
        <v>0.0</v>
      </c>
      <c r="N4" s="24">
        <v>0.0</v>
      </c>
      <c r="O4" s="24">
        <v>0.0</v>
      </c>
      <c r="P4" s="24">
        <v>0.0</v>
      </c>
      <c r="Q4" s="24">
        <v>0.0</v>
      </c>
      <c r="R4" s="24">
        <v>0.0</v>
      </c>
      <c r="S4" s="24">
        <v>0.0</v>
      </c>
      <c r="T4" s="24">
        <v>0.0</v>
      </c>
      <c r="U4" s="24">
        <v>0.0</v>
      </c>
      <c r="V4" s="24">
        <v>0.0</v>
      </c>
      <c r="W4" s="24">
        <v>0.0</v>
      </c>
      <c r="X4" s="24">
        <v>0.0</v>
      </c>
      <c r="Y4" s="24">
        <v>0.0</v>
      </c>
      <c r="Z4" s="24">
        <v>0.0</v>
      </c>
      <c r="AA4" s="24">
        <v>0.0</v>
      </c>
      <c r="AB4" s="24">
        <v>0.0</v>
      </c>
      <c r="AC4" s="24">
        <v>1.0</v>
      </c>
      <c r="AD4" s="24">
        <v>0.0</v>
      </c>
      <c r="AE4" s="24">
        <v>1.0</v>
      </c>
      <c r="AF4" s="24">
        <v>0.0</v>
      </c>
      <c r="AG4" s="24">
        <v>0.0</v>
      </c>
      <c r="AH4" s="24">
        <v>1.0</v>
      </c>
      <c r="AI4" s="24">
        <v>2.0</v>
      </c>
      <c r="AJ4" s="24">
        <v>0.0</v>
      </c>
      <c r="AK4" s="24">
        <v>0.0</v>
      </c>
      <c r="AL4" s="24">
        <v>0.0</v>
      </c>
      <c r="AM4" s="24">
        <v>2.0</v>
      </c>
      <c r="AN4" s="24">
        <v>1.0</v>
      </c>
      <c r="AO4" s="25">
        <v>22.6</v>
      </c>
      <c r="AP4" s="26"/>
      <c r="AQ4" s="26"/>
      <c r="AR4" s="26"/>
      <c r="AS4" s="26"/>
      <c r="AT4" s="26"/>
      <c r="AU4" s="26"/>
      <c r="AV4" s="26"/>
      <c r="AW4" s="26"/>
      <c r="AX4" s="26"/>
      <c r="AY4" s="26"/>
      <c r="AZ4" s="26"/>
      <c r="BA4" s="26"/>
      <c r="BB4" s="26"/>
      <c r="BC4" s="26"/>
      <c r="BD4" s="26"/>
      <c r="BE4" s="26"/>
      <c r="BF4" s="26"/>
      <c r="BG4" s="26"/>
      <c r="BH4" s="26"/>
      <c r="BI4" s="24">
        <v>22.38</v>
      </c>
      <c r="BJ4" s="26"/>
      <c r="BK4" s="24">
        <v>18.08</v>
      </c>
      <c r="BL4" s="26"/>
      <c r="BM4" s="26"/>
      <c r="BN4" s="24">
        <v>23.98</v>
      </c>
      <c r="BO4" s="24">
        <v>0.39</v>
      </c>
      <c r="BP4" s="24">
        <v>2.42</v>
      </c>
      <c r="BQ4" s="24">
        <v>6.31</v>
      </c>
      <c r="BR4" s="24">
        <v>8.53</v>
      </c>
      <c r="BS4" s="55">
        <v>3.46</v>
      </c>
      <c r="BT4" s="56">
        <v>20.6</v>
      </c>
      <c r="BU4" s="55">
        <v>3.1</v>
      </c>
      <c r="BV4" s="25">
        <v>9.48</v>
      </c>
      <c r="BW4" s="26"/>
      <c r="BX4" s="24">
        <v>2700.0</v>
      </c>
      <c r="BY4" s="24" t="s">
        <v>123</v>
      </c>
      <c r="BZ4" s="28">
        <v>2400.0</v>
      </c>
      <c r="CA4" s="29" t="s">
        <v>124</v>
      </c>
      <c r="CB4" s="30">
        <v>2700.0</v>
      </c>
      <c r="CC4" s="31"/>
      <c r="CD4" s="28">
        <v>2700.0</v>
      </c>
      <c r="CE4" s="32" t="e">
        <v>#REF!</v>
      </c>
      <c r="CF4" s="33"/>
      <c r="CG4" s="34">
        <v>0.0</v>
      </c>
      <c r="CH4" s="35">
        <v>0.0</v>
      </c>
      <c r="CI4" s="36">
        <v>8.0</v>
      </c>
      <c r="CJ4" s="36">
        <v>2663.0</v>
      </c>
      <c r="CK4" s="37">
        <v>-24.0</v>
      </c>
      <c r="CL4" s="36">
        <v>2639.0</v>
      </c>
      <c r="CM4" s="38">
        <v>181.0</v>
      </c>
      <c r="CN4" s="36">
        <v>0.0</v>
      </c>
      <c r="CO4" s="39">
        <v>22.6</v>
      </c>
      <c r="CP4" s="40">
        <v>0.0</v>
      </c>
      <c r="CQ4" s="36">
        <v>19.0</v>
      </c>
      <c r="CR4" s="36">
        <v>19.0</v>
      </c>
      <c r="CS4" s="36">
        <v>28.0</v>
      </c>
      <c r="CT4" s="41"/>
      <c r="CU4" s="42"/>
      <c r="CV4" s="43"/>
      <c r="CW4" s="44">
        <v>9.0</v>
      </c>
      <c r="CX4" s="44" t="s">
        <v>143</v>
      </c>
      <c r="CY4" s="44" t="s">
        <v>144</v>
      </c>
      <c r="CZ4" s="45"/>
      <c r="DA4" s="44">
        <v>2700.0</v>
      </c>
      <c r="DB4" s="44">
        <v>0.0</v>
      </c>
      <c r="DC4" s="46" t="s">
        <v>127</v>
      </c>
      <c r="DD4" s="47">
        <v>46231.0</v>
      </c>
      <c r="DE4" s="43"/>
      <c r="DF4" s="43"/>
      <c r="DG4" s="48" t="s">
        <v>128</v>
      </c>
      <c r="DH4" s="48" t="s">
        <v>128</v>
      </c>
      <c r="DI4" s="48" t="s">
        <v>128</v>
      </c>
      <c r="DJ4" s="49">
        <v>1.0</v>
      </c>
      <c r="DK4" s="48" t="b">
        <v>0</v>
      </c>
      <c r="DL4" s="50" t="s">
        <v>130</v>
      </c>
      <c r="DM4" s="50" t="s">
        <v>131</v>
      </c>
      <c r="DN4" s="50" t="s">
        <v>132</v>
      </c>
      <c r="DO4" s="49">
        <v>0.92</v>
      </c>
      <c r="DP4" s="48" t="s">
        <v>128</v>
      </c>
      <c r="DQ4" s="48" t="s">
        <v>128</v>
      </c>
      <c r="DR4" s="51"/>
      <c r="DS4" s="48" t="s">
        <v>134</v>
      </c>
    </row>
    <row r="5">
      <c r="A5" s="52" t="s">
        <v>118</v>
      </c>
      <c r="B5" s="53">
        <v>3.0</v>
      </c>
      <c r="C5" s="52" t="s">
        <v>119</v>
      </c>
      <c r="D5" s="53">
        <v>641645.0</v>
      </c>
      <c r="E5" s="52" t="s">
        <v>145</v>
      </c>
      <c r="F5" s="52" t="s">
        <v>146</v>
      </c>
      <c r="G5" s="52" t="s">
        <v>147</v>
      </c>
      <c r="H5" s="53">
        <v>1130.0</v>
      </c>
      <c r="I5" s="53">
        <v>19.0</v>
      </c>
      <c r="J5" s="53">
        <v>0.0</v>
      </c>
      <c r="K5" s="53">
        <v>0.0</v>
      </c>
      <c r="L5" s="53">
        <v>0.0</v>
      </c>
      <c r="M5" s="53">
        <v>0.0</v>
      </c>
      <c r="N5" s="53">
        <v>1.0</v>
      </c>
      <c r="O5" s="53">
        <v>0.0</v>
      </c>
      <c r="P5" s="53">
        <v>1.0</v>
      </c>
      <c r="Q5" s="53">
        <v>0.0</v>
      </c>
      <c r="R5" s="53">
        <v>1.0</v>
      </c>
      <c r="S5" s="53">
        <v>1.0</v>
      </c>
      <c r="T5" s="53">
        <v>2.0</v>
      </c>
      <c r="U5" s="53">
        <v>0.0</v>
      </c>
      <c r="V5" s="53">
        <v>0.0</v>
      </c>
      <c r="W5" s="53">
        <v>0.0</v>
      </c>
      <c r="X5" s="53">
        <v>0.0</v>
      </c>
      <c r="Y5" s="53">
        <v>0.0</v>
      </c>
      <c r="Z5" s="53">
        <v>0.0</v>
      </c>
      <c r="AA5" s="53">
        <v>0.0</v>
      </c>
      <c r="AB5" s="53">
        <v>0.0</v>
      </c>
      <c r="AC5" s="53">
        <v>0.0</v>
      </c>
      <c r="AD5" s="53">
        <v>0.0</v>
      </c>
      <c r="AE5" s="53">
        <v>3.0</v>
      </c>
      <c r="AF5" s="53">
        <v>1.0</v>
      </c>
      <c r="AG5" s="53">
        <v>0.0</v>
      </c>
      <c r="AH5" s="53">
        <v>1.0</v>
      </c>
      <c r="AI5" s="53">
        <v>0.0</v>
      </c>
      <c r="AJ5" s="53">
        <v>2.0</v>
      </c>
      <c r="AK5" s="53">
        <v>0.0</v>
      </c>
      <c r="AL5" s="53">
        <v>2.0</v>
      </c>
      <c r="AM5" s="53">
        <v>3.0</v>
      </c>
      <c r="AN5" s="53">
        <v>1.0</v>
      </c>
      <c r="AO5" s="25">
        <v>19.9</v>
      </c>
      <c r="AP5" s="54"/>
      <c r="AQ5" s="54"/>
      <c r="AR5" s="54"/>
      <c r="AS5" s="54"/>
      <c r="AT5" s="53">
        <v>0.0</v>
      </c>
      <c r="AU5" s="54"/>
      <c r="AV5" s="53">
        <v>11.85</v>
      </c>
      <c r="AW5" s="54"/>
      <c r="AX5" s="53">
        <v>23.5</v>
      </c>
      <c r="AY5" s="53">
        <v>11.95</v>
      </c>
      <c r="AZ5" s="53">
        <v>18.57</v>
      </c>
      <c r="BA5" s="54"/>
      <c r="BB5" s="54"/>
      <c r="BC5" s="54"/>
      <c r="BD5" s="54"/>
      <c r="BE5" s="54"/>
      <c r="BF5" s="54"/>
      <c r="BG5" s="54"/>
      <c r="BH5" s="54"/>
      <c r="BI5" s="54"/>
      <c r="BJ5" s="54"/>
      <c r="BK5" s="53">
        <v>19.68</v>
      </c>
      <c r="BL5" s="53">
        <v>22.0</v>
      </c>
      <c r="BM5" s="54"/>
      <c r="BN5" s="53">
        <v>20.88</v>
      </c>
      <c r="BO5" s="53">
        <v>0.37</v>
      </c>
      <c r="BP5" s="53">
        <v>1.54</v>
      </c>
      <c r="BQ5" s="53">
        <v>5.73</v>
      </c>
      <c r="BR5" s="53">
        <v>7.07</v>
      </c>
      <c r="BS5" s="55">
        <v>3.17</v>
      </c>
      <c r="BT5" s="56">
        <v>22.7</v>
      </c>
      <c r="BU5" s="57">
        <v>2.2</v>
      </c>
      <c r="BV5" s="25">
        <v>10.36</v>
      </c>
      <c r="BW5" s="54"/>
      <c r="BX5" s="53">
        <v>3000.0</v>
      </c>
      <c r="BY5" s="53" t="s">
        <v>123</v>
      </c>
      <c r="BZ5" s="58">
        <v>2700.0</v>
      </c>
      <c r="CA5" s="29" t="s">
        <v>124</v>
      </c>
      <c r="CB5" s="30">
        <v>3000.0</v>
      </c>
      <c r="CC5" s="31"/>
      <c r="CD5" s="58">
        <v>3000.0</v>
      </c>
      <c r="CE5" s="59" t="e">
        <v>#REF!</v>
      </c>
      <c r="CF5" s="60"/>
      <c r="CG5" s="61">
        <v>0.0</v>
      </c>
      <c r="CH5" s="62">
        <v>0.0</v>
      </c>
      <c r="CI5" s="63">
        <v>19.0</v>
      </c>
      <c r="CJ5" s="63">
        <v>2663.0</v>
      </c>
      <c r="CK5" s="64">
        <v>-24.0</v>
      </c>
      <c r="CL5" s="63">
        <v>2639.0</v>
      </c>
      <c r="CM5" s="65">
        <v>378.0</v>
      </c>
      <c r="CN5" s="63">
        <v>0.0</v>
      </c>
      <c r="CO5" s="66">
        <v>19.9</v>
      </c>
      <c r="CP5" s="67">
        <v>0.0</v>
      </c>
      <c r="CQ5" s="63">
        <v>29.0</v>
      </c>
      <c r="CR5" s="63">
        <v>29.0</v>
      </c>
      <c r="CS5" s="63">
        <v>60.0</v>
      </c>
      <c r="CT5" s="68"/>
      <c r="CU5" s="69"/>
      <c r="CV5" s="70"/>
      <c r="CW5" s="71">
        <v>10.0</v>
      </c>
      <c r="CX5" s="71" t="s">
        <v>138</v>
      </c>
      <c r="CY5" s="71" t="s">
        <v>139</v>
      </c>
      <c r="CZ5" s="45"/>
      <c r="DA5" s="44">
        <v>3000.0</v>
      </c>
      <c r="DB5" s="44">
        <v>0.0</v>
      </c>
      <c r="DC5" s="46" t="s">
        <v>127</v>
      </c>
      <c r="DD5" s="47">
        <v>46233.0</v>
      </c>
      <c r="DE5" s="43"/>
      <c r="DF5" s="43"/>
      <c r="DG5" s="48" t="s">
        <v>128</v>
      </c>
      <c r="DH5" s="48" t="s">
        <v>128</v>
      </c>
      <c r="DI5" s="48" t="s">
        <v>128</v>
      </c>
      <c r="DJ5" s="49">
        <v>1.0</v>
      </c>
      <c r="DK5" s="48" t="b">
        <v>0</v>
      </c>
      <c r="DL5" s="50" t="s">
        <v>130</v>
      </c>
      <c r="DM5" s="50" t="s">
        <v>131</v>
      </c>
      <c r="DN5" s="50" t="s">
        <v>132</v>
      </c>
      <c r="DO5" s="49">
        <v>0.92</v>
      </c>
      <c r="DP5" s="48" t="s">
        <v>128</v>
      </c>
      <c r="DQ5" s="48" t="s">
        <v>128</v>
      </c>
      <c r="DR5" s="51"/>
      <c r="DS5" s="48" t="s">
        <v>134</v>
      </c>
    </row>
    <row r="6">
      <c r="A6" s="23" t="s">
        <v>118</v>
      </c>
      <c r="B6" s="24">
        <v>3.0</v>
      </c>
      <c r="C6" s="23" t="s">
        <v>119</v>
      </c>
      <c r="D6" s="24">
        <v>558730.0</v>
      </c>
      <c r="E6" s="23" t="s">
        <v>148</v>
      </c>
      <c r="F6" s="23" t="s">
        <v>149</v>
      </c>
      <c r="G6" s="23" t="s">
        <v>150</v>
      </c>
      <c r="H6" s="24">
        <v>1130.0</v>
      </c>
      <c r="I6" s="24">
        <v>27.0</v>
      </c>
      <c r="J6" s="24">
        <v>0.0</v>
      </c>
      <c r="K6" s="24">
        <v>1.0</v>
      </c>
      <c r="L6" s="24">
        <v>0.0</v>
      </c>
      <c r="M6" s="24">
        <v>0.0</v>
      </c>
      <c r="N6" s="24">
        <v>1.0</v>
      </c>
      <c r="O6" s="24">
        <v>0.0</v>
      </c>
      <c r="P6" s="24">
        <v>0.0</v>
      </c>
      <c r="Q6" s="24">
        <v>1.0</v>
      </c>
      <c r="R6" s="24">
        <v>1.0</v>
      </c>
      <c r="S6" s="24">
        <v>3.0</v>
      </c>
      <c r="T6" s="24">
        <v>0.0</v>
      </c>
      <c r="U6" s="24">
        <v>0.0</v>
      </c>
      <c r="V6" s="24">
        <v>2.0</v>
      </c>
      <c r="W6" s="24">
        <v>5.0</v>
      </c>
      <c r="X6" s="24">
        <v>3.0</v>
      </c>
      <c r="Y6" s="24">
        <v>0.0</v>
      </c>
      <c r="Z6" s="24">
        <v>1.0</v>
      </c>
      <c r="AA6" s="24">
        <v>0.0</v>
      </c>
      <c r="AB6" s="24">
        <v>0.0</v>
      </c>
      <c r="AC6" s="24">
        <v>1.0</v>
      </c>
      <c r="AD6" s="24">
        <v>1.0</v>
      </c>
      <c r="AE6" s="24">
        <v>1.0</v>
      </c>
      <c r="AF6" s="24">
        <v>3.0</v>
      </c>
      <c r="AG6" s="24">
        <v>0.0</v>
      </c>
      <c r="AH6" s="24">
        <v>0.0</v>
      </c>
      <c r="AI6" s="24">
        <v>0.0</v>
      </c>
      <c r="AJ6" s="24">
        <v>0.0</v>
      </c>
      <c r="AK6" s="24">
        <v>1.0</v>
      </c>
      <c r="AL6" s="24">
        <v>1.0</v>
      </c>
      <c r="AM6" s="24">
        <v>0.0</v>
      </c>
      <c r="AN6" s="24">
        <v>1.0</v>
      </c>
      <c r="AO6" s="25">
        <v>18.2</v>
      </c>
      <c r="AP6" s="26"/>
      <c r="AQ6" s="24">
        <v>9.97</v>
      </c>
      <c r="AR6" s="26"/>
      <c r="AS6" s="26"/>
      <c r="AT6" s="24">
        <v>0.0</v>
      </c>
      <c r="AU6" s="26"/>
      <c r="AV6" s="26"/>
      <c r="AW6" s="24">
        <v>12.15</v>
      </c>
      <c r="AX6" s="24">
        <v>33.5</v>
      </c>
      <c r="AY6" s="24">
        <v>17.99</v>
      </c>
      <c r="AZ6" s="26"/>
      <c r="BA6" s="26"/>
      <c r="BB6" s="24">
        <v>13.5</v>
      </c>
      <c r="BC6" s="24">
        <v>17.47</v>
      </c>
      <c r="BD6" s="24">
        <v>17.99</v>
      </c>
      <c r="BE6" s="26"/>
      <c r="BF6" s="24">
        <v>24.97</v>
      </c>
      <c r="BG6" s="26"/>
      <c r="BH6" s="26"/>
      <c r="BI6" s="24">
        <v>21.65</v>
      </c>
      <c r="BJ6" s="24">
        <v>19.15</v>
      </c>
      <c r="BK6" s="24">
        <v>15.28</v>
      </c>
      <c r="BL6" s="24">
        <v>21.86</v>
      </c>
      <c r="BM6" s="26"/>
      <c r="BN6" s="26"/>
      <c r="BO6" s="24">
        <v>0.33</v>
      </c>
      <c r="BP6" s="24">
        <v>2.09</v>
      </c>
      <c r="BQ6" s="24">
        <v>5.56</v>
      </c>
      <c r="BR6" s="24">
        <v>7.45</v>
      </c>
      <c r="BS6" s="55">
        <v>3.04</v>
      </c>
      <c r="BT6" s="56">
        <v>17.2</v>
      </c>
      <c r="BU6" s="55">
        <v>3.6</v>
      </c>
      <c r="BV6" s="55">
        <v>6.55</v>
      </c>
      <c r="BW6" s="26"/>
      <c r="BX6" s="24">
        <v>2400.0</v>
      </c>
      <c r="BY6" s="24" t="s">
        <v>123</v>
      </c>
      <c r="BZ6" s="28">
        <v>2400.0</v>
      </c>
      <c r="CA6" s="72"/>
      <c r="CB6" s="30">
        <v>2700.0</v>
      </c>
      <c r="CC6" s="31"/>
      <c r="CD6" s="28">
        <v>2700.0</v>
      </c>
      <c r="CE6" s="32" t="e">
        <v>#REF!</v>
      </c>
      <c r="CF6" s="73">
        <f>+300</f>
        <v>300</v>
      </c>
      <c r="CG6" s="74">
        <f>+4</f>
        <v>4</v>
      </c>
      <c r="CH6" s="35">
        <v>0.15</v>
      </c>
      <c r="CI6" s="36">
        <v>31.0</v>
      </c>
      <c r="CJ6" s="36">
        <v>2663.0</v>
      </c>
      <c r="CK6" s="37">
        <v>-24.0</v>
      </c>
      <c r="CL6" s="36">
        <v>2639.0</v>
      </c>
      <c r="CM6" s="38">
        <v>491.0</v>
      </c>
      <c r="CN6" s="36">
        <v>-116.0</v>
      </c>
      <c r="CO6" s="39">
        <v>19.6</v>
      </c>
      <c r="CP6" s="75">
        <f>+1.4</f>
        <v>1.4</v>
      </c>
      <c r="CQ6" s="36">
        <v>56.0</v>
      </c>
      <c r="CR6" s="36">
        <v>65.0</v>
      </c>
      <c r="CS6" s="36">
        <v>94.0</v>
      </c>
      <c r="CT6" s="41"/>
      <c r="CU6" s="42"/>
      <c r="CV6" s="43"/>
      <c r="CW6" s="44">
        <v>9.0</v>
      </c>
      <c r="CX6" s="44" t="s">
        <v>143</v>
      </c>
      <c r="CY6" s="44" t="s">
        <v>144</v>
      </c>
      <c r="CZ6" s="76" t="s">
        <v>151</v>
      </c>
      <c r="DA6" s="44">
        <v>2700.0</v>
      </c>
      <c r="DB6" s="44">
        <v>0.0</v>
      </c>
      <c r="DC6" s="46" t="s">
        <v>127</v>
      </c>
      <c r="DD6" s="47">
        <v>46213.0</v>
      </c>
      <c r="DE6" s="43"/>
      <c r="DF6" s="43"/>
      <c r="DG6" s="48" t="s">
        <v>128</v>
      </c>
      <c r="DH6" s="48" t="s">
        <v>128</v>
      </c>
      <c r="DI6" s="48" t="s">
        <v>128</v>
      </c>
      <c r="DJ6" s="49">
        <v>1.0</v>
      </c>
      <c r="DK6" s="48" t="b">
        <v>0</v>
      </c>
      <c r="DL6" s="50" t="s">
        <v>130</v>
      </c>
      <c r="DM6" s="50" t="s">
        <v>131</v>
      </c>
      <c r="DN6" s="50" t="s">
        <v>132</v>
      </c>
      <c r="DO6" s="49">
        <v>0.92</v>
      </c>
      <c r="DP6" s="48" t="s">
        <v>128</v>
      </c>
      <c r="DQ6" s="48" t="s">
        <v>128</v>
      </c>
      <c r="DR6" s="51"/>
      <c r="DS6" s="48" t="s">
        <v>134</v>
      </c>
    </row>
    <row r="7">
      <c r="A7" s="52" t="s">
        <v>118</v>
      </c>
      <c r="B7" s="53">
        <v>3.0</v>
      </c>
      <c r="C7" s="52" t="s">
        <v>119</v>
      </c>
      <c r="D7" s="53">
        <v>588071.0</v>
      </c>
      <c r="E7" s="52" t="s">
        <v>152</v>
      </c>
      <c r="F7" s="52" t="s">
        <v>153</v>
      </c>
      <c r="G7" s="52" t="s">
        <v>154</v>
      </c>
      <c r="H7" s="53">
        <v>1130.0</v>
      </c>
      <c r="I7" s="53">
        <v>16.0</v>
      </c>
      <c r="J7" s="53">
        <v>0.0</v>
      </c>
      <c r="K7" s="53">
        <v>1.0</v>
      </c>
      <c r="L7" s="53">
        <v>0.0</v>
      </c>
      <c r="M7" s="53">
        <v>0.0</v>
      </c>
      <c r="N7" s="53">
        <v>0.0</v>
      </c>
      <c r="O7" s="53">
        <v>0.0</v>
      </c>
      <c r="P7" s="53">
        <v>0.0</v>
      </c>
      <c r="Q7" s="53">
        <v>1.0</v>
      </c>
      <c r="R7" s="53">
        <v>0.0</v>
      </c>
      <c r="S7" s="53">
        <v>0.0</v>
      </c>
      <c r="T7" s="53">
        <v>0.0</v>
      </c>
      <c r="U7" s="53">
        <v>0.0</v>
      </c>
      <c r="V7" s="53">
        <v>0.0</v>
      </c>
      <c r="W7" s="53">
        <v>1.0</v>
      </c>
      <c r="X7" s="53">
        <v>1.0</v>
      </c>
      <c r="Y7" s="53">
        <v>1.0</v>
      </c>
      <c r="Z7" s="53">
        <v>1.0</v>
      </c>
      <c r="AA7" s="53">
        <v>1.0</v>
      </c>
      <c r="AB7" s="53">
        <v>1.0</v>
      </c>
      <c r="AC7" s="53">
        <v>0.0</v>
      </c>
      <c r="AD7" s="53">
        <v>3.0</v>
      </c>
      <c r="AE7" s="53">
        <v>2.0</v>
      </c>
      <c r="AF7" s="53">
        <v>0.0</v>
      </c>
      <c r="AG7" s="53">
        <v>0.0</v>
      </c>
      <c r="AH7" s="53">
        <v>2.0</v>
      </c>
      <c r="AI7" s="53">
        <v>0.0</v>
      </c>
      <c r="AJ7" s="53">
        <v>0.0</v>
      </c>
      <c r="AK7" s="53">
        <v>0.0</v>
      </c>
      <c r="AL7" s="53">
        <v>0.0</v>
      </c>
      <c r="AM7" s="53">
        <v>0.0</v>
      </c>
      <c r="AN7" s="53">
        <v>1.0</v>
      </c>
      <c r="AO7" s="25">
        <v>20.4</v>
      </c>
      <c r="AP7" s="54"/>
      <c r="AQ7" s="53">
        <v>15.53</v>
      </c>
      <c r="AR7" s="54"/>
      <c r="AS7" s="54"/>
      <c r="AT7" s="54"/>
      <c r="AU7" s="54"/>
      <c r="AV7" s="54"/>
      <c r="AW7" s="53">
        <v>21.95</v>
      </c>
      <c r="AX7" s="54"/>
      <c r="AY7" s="54"/>
      <c r="AZ7" s="54"/>
      <c r="BA7" s="54"/>
      <c r="BB7" s="54"/>
      <c r="BC7" s="53">
        <v>19.05</v>
      </c>
      <c r="BD7" s="53">
        <v>16.25</v>
      </c>
      <c r="BE7" s="53">
        <v>38.15</v>
      </c>
      <c r="BF7" s="53">
        <v>19.33</v>
      </c>
      <c r="BG7" s="53">
        <v>16.12</v>
      </c>
      <c r="BH7" s="53">
        <v>19.37</v>
      </c>
      <c r="BI7" s="54"/>
      <c r="BJ7" s="53">
        <v>18.7</v>
      </c>
      <c r="BK7" s="53">
        <v>22.73</v>
      </c>
      <c r="BL7" s="54"/>
      <c r="BM7" s="54"/>
      <c r="BN7" s="53">
        <v>21.24</v>
      </c>
      <c r="BO7" s="53">
        <v>0.27</v>
      </c>
      <c r="BP7" s="53">
        <v>1.83</v>
      </c>
      <c r="BQ7" s="53">
        <v>5.86</v>
      </c>
      <c r="BR7" s="53">
        <v>7.49</v>
      </c>
      <c r="BS7" s="57">
        <v>2.97</v>
      </c>
      <c r="BT7" s="56">
        <v>23.9</v>
      </c>
      <c r="BU7" s="57">
        <v>2.2</v>
      </c>
      <c r="BV7" s="25">
        <v>12.54</v>
      </c>
      <c r="BW7" s="54"/>
      <c r="BX7" s="53">
        <v>2700.0</v>
      </c>
      <c r="BY7" s="53" t="s">
        <v>123</v>
      </c>
      <c r="BZ7" s="58">
        <v>2400.0</v>
      </c>
      <c r="CA7" s="29" t="s">
        <v>124</v>
      </c>
      <c r="CB7" s="30">
        <v>2700.0</v>
      </c>
      <c r="CC7" s="31"/>
      <c r="CD7" s="58">
        <v>2700.0</v>
      </c>
      <c r="CE7" s="59" t="e">
        <v>#REF!</v>
      </c>
      <c r="CF7" s="60"/>
      <c r="CG7" s="61">
        <v>0.0</v>
      </c>
      <c r="CH7" s="62">
        <v>0.0</v>
      </c>
      <c r="CI7" s="63">
        <v>16.0</v>
      </c>
      <c r="CJ7" s="63">
        <v>2663.0</v>
      </c>
      <c r="CK7" s="64">
        <v>-24.0</v>
      </c>
      <c r="CL7" s="63">
        <v>2639.0</v>
      </c>
      <c r="CM7" s="65">
        <v>326.0</v>
      </c>
      <c r="CN7" s="63">
        <v>0.0</v>
      </c>
      <c r="CO7" s="66">
        <v>20.4</v>
      </c>
      <c r="CP7" s="67">
        <v>0.0</v>
      </c>
      <c r="CQ7" s="63">
        <v>29.0</v>
      </c>
      <c r="CR7" s="63">
        <v>29.0</v>
      </c>
      <c r="CS7" s="63">
        <v>48.0</v>
      </c>
      <c r="CT7" s="68"/>
      <c r="CU7" s="69"/>
      <c r="CV7" s="70"/>
      <c r="CW7" s="71">
        <v>9.0</v>
      </c>
      <c r="CX7" s="71" t="s">
        <v>143</v>
      </c>
      <c r="CY7" s="71" t="s">
        <v>144</v>
      </c>
      <c r="CZ7" s="45"/>
      <c r="DA7" s="44">
        <v>2700.0</v>
      </c>
      <c r="DB7" s="44">
        <v>0.0</v>
      </c>
      <c r="DC7" s="46" t="s">
        <v>127</v>
      </c>
      <c r="DD7" s="47">
        <v>46245.0</v>
      </c>
      <c r="DE7" s="43"/>
      <c r="DF7" s="43"/>
      <c r="DG7" s="48" t="s">
        <v>128</v>
      </c>
      <c r="DH7" s="48" t="s">
        <v>128</v>
      </c>
      <c r="DI7" s="48" t="s">
        <v>128</v>
      </c>
      <c r="DJ7" s="49">
        <v>1.0</v>
      </c>
      <c r="DK7" s="48" t="b">
        <v>0</v>
      </c>
      <c r="DL7" s="50" t="s">
        <v>130</v>
      </c>
      <c r="DM7" s="50" t="s">
        <v>131</v>
      </c>
      <c r="DN7" s="50" t="s">
        <v>132</v>
      </c>
      <c r="DO7" s="49">
        <v>0.92</v>
      </c>
      <c r="DP7" s="48" t="s">
        <v>128</v>
      </c>
      <c r="DQ7" s="48" t="s">
        <v>128</v>
      </c>
      <c r="DR7" s="51"/>
      <c r="DS7" s="48" t="s">
        <v>134</v>
      </c>
    </row>
    <row r="8">
      <c r="A8" s="23" t="s">
        <v>118</v>
      </c>
      <c r="B8" s="24">
        <v>3.0</v>
      </c>
      <c r="C8" s="23" t="s">
        <v>119</v>
      </c>
      <c r="D8" s="24">
        <v>639495.0</v>
      </c>
      <c r="E8" s="23" t="s">
        <v>155</v>
      </c>
      <c r="F8" s="23" t="s">
        <v>156</v>
      </c>
      <c r="G8" s="23" t="s">
        <v>157</v>
      </c>
      <c r="H8" s="24">
        <v>1130.0</v>
      </c>
      <c r="I8" s="24">
        <v>49.0</v>
      </c>
      <c r="J8" s="24">
        <v>0.0</v>
      </c>
      <c r="K8" s="24">
        <v>0.0</v>
      </c>
      <c r="L8" s="24">
        <v>0.0</v>
      </c>
      <c r="M8" s="24">
        <v>0.0</v>
      </c>
      <c r="N8" s="24">
        <v>0.0</v>
      </c>
      <c r="O8" s="24">
        <v>0.0</v>
      </c>
      <c r="P8" s="24">
        <v>2.0</v>
      </c>
      <c r="Q8" s="24">
        <v>2.0</v>
      </c>
      <c r="R8" s="24">
        <v>1.0</v>
      </c>
      <c r="S8" s="24">
        <v>4.0</v>
      </c>
      <c r="T8" s="24">
        <v>4.0</v>
      </c>
      <c r="U8" s="24">
        <v>0.0</v>
      </c>
      <c r="V8" s="24">
        <v>1.0</v>
      </c>
      <c r="W8" s="24">
        <v>3.0</v>
      </c>
      <c r="X8" s="24">
        <v>5.0</v>
      </c>
      <c r="Y8" s="24">
        <v>4.0</v>
      </c>
      <c r="Z8" s="24">
        <v>2.0</v>
      </c>
      <c r="AA8" s="24">
        <v>1.0</v>
      </c>
      <c r="AB8" s="24">
        <v>2.0</v>
      </c>
      <c r="AC8" s="24">
        <v>0.0</v>
      </c>
      <c r="AD8" s="24">
        <v>0.0</v>
      </c>
      <c r="AE8" s="24">
        <v>7.0</v>
      </c>
      <c r="AF8" s="24">
        <v>4.0</v>
      </c>
      <c r="AG8" s="24">
        <v>0.0</v>
      </c>
      <c r="AH8" s="24">
        <v>1.0</v>
      </c>
      <c r="AI8" s="24">
        <v>3.0</v>
      </c>
      <c r="AJ8" s="24">
        <v>2.0</v>
      </c>
      <c r="AK8" s="24">
        <v>1.0</v>
      </c>
      <c r="AL8" s="24">
        <v>0.0</v>
      </c>
      <c r="AM8" s="24">
        <v>0.0</v>
      </c>
      <c r="AN8" s="24">
        <v>0.0</v>
      </c>
      <c r="AO8" s="25">
        <v>17.7</v>
      </c>
      <c r="AP8" s="26"/>
      <c r="AQ8" s="26"/>
      <c r="AR8" s="26"/>
      <c r="AS8" s="26"/>
      <c r="AT8" s="26"/>
      <c r="AU8" s="26"/>
      <c r="AV8" s="24">
        <v>13.81</v>
      </c>
      <c r="AW8" s="24">
        <v>17.9</v>
      </c>
      <c r="AX8" s="24">
        <v>12.4</v>
      </c>
      <c r="AY8" s="24">
        <v>14.6</v>
      </c>
      <c r="AZ8" s="24">
        <v>16.66</v>
      </c>
      <c r="BA8" s="26"/>
      <c r="BB8" s="24">
        <v>17.68</v>
      </c>
      <c r="BC8" s="24">
        <v>18.17</v>
      </c>
      <c r="BD8" s="24">
        <v>14.71</v>
      </c>
      <c r="BE8" s="24">
        <v>14.73</v>
      </c>
      <c r="BF8" s="24">
        <v>20.25</v>
      </c>
      <c r="BG8" s="24">
        <v>22.03</v>
      </c>
      <c r="BH8" s="24">
        <v>14.54</v>
      </c>
      <c r="BI8" s="26"/>
      <c r="BJ8" s="26"/>
      <c r="BK8" s="24">
        <v>19.7</v>
      </c>
      <c r="BL8" s="24">
        <v>21.73</v>
      </c>
      <c r="BM8" s="26"/>
      <c r="BN8" s="24">
        <v>18.08</v>
      </c>
      <c r="BO8" s="24">
        <v>0.35</v>
      </c>
      <c r="BP8" s="24">
        <v>1.8</v>
      </c>
      <c r="BQ8" s="24">
        <v>5.09</v>
      </c>
      <c r="BR8" s="24">
        <v>6.69</v>
      </c>
      <c r="BS8" s="57">
        <v>2.8</v>
      </c>
      <c r="BT8" s="56">
        <v>17.8</v>
      </c>
      <c r="BU8" s="57">
        <v>2.7</v>
      </c>
      <c r="BV8" s="25">
        <v>7.37</v>
      </c>
      <c r="BW8" s="26"/>
      <c r="BX8" s="24">
        <v>3000.0</v>
      </c>
      <c r="BY8" s="24" t="s">
        <v>123</v>
      </c>
      <c r="BZ8" s="28">
        <v>3000.0</v>
      </c>
      <c r="CA8" s="72"/>
      <c r="CB8" s="30">
        <v>3000.0</v>
      </c>
      <c r="CC8" s="31"/>
      <c r="CD8" s="28">
        <v>3000.0</v>
      </c>
      <c r="CE8" s="32" t="e">
        <v>#REF!</v>
      </c>
      <c r="CF8" s="33"/>
      <c r="CG8" s="34">
        <v>0.0</v>
      </c>
      <c r="CH8" s="35">
        <v>0.0</v>
      </c>
      <c r="CI8" s="36">
        <v>49.0</v>
      </c>
      <c r="CJ8" s="36">
        <v>2663.0</v>
      </c>
      <c r="CK8" s="37">
        <v>-24.0</v>
      </c>
      <c r="CL8" s="36">
        <v>2639.0</v>
      </c>
      <c r="CM8" s="38">
        <v>867.0</v>
      </c>
      <c r="CN8" s="36">
        <v>0.0</v>
      </c>
      <c r="CO8" s="39">
        <v>17.7</v>
      </c>
      <c r="CP8" s="40">
        <v>0.0</v>
      </c>
      <c r="CQ8" s="36">
        <v>88.0</v>
      </c>
      <c r="CR8" s="36">
        <v>88.0</v>
      </c>
      <c r="CS8" s="36">
        <v>137.0</v>
      </c>
      <c r="CT8" s="41"/>
      <c r="CU8" s="42"/>
      <c r="CV8" s="43"/>
      <c r="CW8" s="44">
        <v>10.0</v>
      </c>
      <c r="CX8" s="44" t="s">
        <v>138</v>
      </c>
      <c r="CY8" s="44" t="s">
        <v>139</v>
      </c>
      <c r="CZ8" s="45"/>
      <c r="DA8" s="44">
        <v>3000.0</v>
      </c>
      <c r="DB8" s="44">
        <v>0.0</v>
      </c>
      <c r="DC8" s="46" t="s">
        <v>127</v>
      </c>
      <c r="DD8" s="47">
        <v>46240.0</v>
      </c>
      <c r="DE8" s="43"/>
      <c r="DF8" s="43"/>
      <c r="DG8" s="48" t="s">
        <v>128</v>
      </c>
      <c r="DH8" s="48" t="s">
        <v>128</v>
      </c>
      <c r="DI8" s="48" t="s">
        <v>128</v>
      </c>
      <c r="DJ8" s="49">
        <v>1.0</v>
      </c>
      <c r="DK8" s="48" t="b">
        <v>0</v>
      </c>
      <c r="DL8" s="50" t="s">
        <v>130</v>
      </c>
      <c r="DM8" s="50" t="s">
        <v>131</v>
      </c>
      <c r="DN8" s="50" t="s">
        <v>132</v>
      </c>
      <c r="DO8" s="49">
        <v>0.92</v>
      </c>
      <c r="DP8" s="48" t="s">
        <v>128</v>
      </c>
      <c r="DQ8" s="48" t="s">
        <v>128</v>
      </c>
      <c r="DR8" s="51"/>
      <c r="DS8" s="48" t="s">
        <v>134</v>
      </c>
    </row>
    <row r="9">
      <c r="A9" s="52" t="s">
        <v>118</v>
      </c>
      <c r="B9" s="53">
        <v>3.0</v>
      </c>
      <c r="C9" s="52" t="s">
        <v>119</v>
      </c>
      <c r="D9" s="53">
        <v>536832.0</v>
      </c>
      <c r="E9" s="52" t="s">
        <v>158</v>
      </c>
      <c r="F9" s="52" t="s">
        <v>159</v>
      </c>
      <c r="G9" s="52" t="s">
        <v>160</v>
      </c>
      <c r="H9" s="53">
        <v>1130.0</v>
      </c>
      <c r="I9" s="53">
        <v>33.0</v>
      </c>
      <c r="J9" s="53">
        <v>0.0</v>
      </c>
      <c r="K9" s="53">
        <v>0.0</v>
      </c>
      <c r="L9" s="53">
        <v>1.0</v>
      </c>
      <c r="M9" s="53">
        <v>1.0</v>
      </c>
      <c r="N9" s="53">
        <v>0.0</v>
      </c>
      <c r="O9" s="53">
        <v>1.0</v>
      </c>
      <c r="P9" s="53">
        <v>1.0</v>
      </c>
      <c r="Q9" s="53">
        <v>0.0</v>
      </c>
      <c r="R9" s="53">
        <v>1.0</v>
      </c>
      <c r="S9" s="53">
        <v>0.0</v>
      </c>
      <c r="T9" s="53">
        <v>1.0</v>
      </c>
      <c r="U9" s="53">
        <v>0.0</v>
      </c>
      <c r="V9" s="53">
        <v>1.0</v>
      </c>
      <c r="W9" s="53">
        <v>1.0</v>
      </c>
      <c r="X9" s="53">
        <v>2.0</v>
      </c>
      <c r="Y9" s="53">
        <v>1.0</v>
      </c>
      <c r="Z9" s="53">
        <v>2.0</v>
      </c>
      <c r="AA9" s="53">
        <v>0.0</v>
      </c>
      <c r="AB9" s="53">
        <v>5.0</v>
      </c>
      <c r="AC9" s="53">
        <v>0.0</v>
      </c>
      <c r="AD9" s="53">
        <v>4.0</v>
      </c>
      <c r="AE9" s="53">
        <v>1.0</v>
      </c>
      <c r="AF9" s="53">
        <v>1.0</v>
      </c>
      <c r="AG9" s="53">
        <v>2.0</v>
      </c>
      <c r="AH9" s="53">
        <v>2.0</v>
      </c>
      <c r="AI9" s="53">
        <v>3.0</v>
      </c>
      <c r="AJ9" s="53">
        <v>1.0</v>
      </c>
      <c r="AK9" s="53">
        <v>0.0</v>
      </c>
      <c r="AL9" s="53">
        <v>0.0</v>
      </c>
      <c r="AM9" s="53">
        <v>0.0</v>
      </c>
      <c r="AN9" s="53">
        <v>1.0</v>
      </c>
      <c r="AO9" s="25">
        <v>18.5</v>
      </c>
      <c r="AP9" s="54"/>
      <c r="AQ9" s="54"/>
      <c r="AR9" s="53">
        <v>16.37</v>
      </c>
      <c r="AS9" s="53">
        <v>11.35</v>
      </c>
      <c r="AT9" s="54"/>
      <c r="AU9" s="53">
        <v>12.48</v>
      </c>
      <c r="AV9" s="53">
        <v>12.48</v>
      </c>
      <c r="AW9" s="54"/>
      <c r="AX9" s="53">
        <v>13.95</v>
      </c>
      <c r="AY9" s="54"/>
      <c r="AZ9" s="53">
        <v>13.1</v>
      </c>
      <c r="BA9" s="54"/>
      <c r="BB9" s="53">
        <v>11.9</v>
      </c>
      <c r="BC9" s="53">
        <v>24.02</v>
      </c>
      <c r="BD9" s="53">
        <v>19.04</v>
      </c>
      <c r="BE9" s="53">
        <v>13.05</v>
      </c>
      <c r="BF9" s="53">
        <v>18.74</v>
      </c>
      <c r="BG9" s="54"/>
      <c r="BH9" s="53">
        <v>19.52</v>
      </c>
      <c r="BI9" s="54"/>
      <c r="BJ9" s="53">
        <v>17.33</v>
      </c>
      <c r="BK9" s="53">
        <v>23.3</v>
      </c>
      <c r="BL9" s="53">
        <v>15.68</v>
      </c>
      <c r="BM9" s="53">
        <v>26.68</v>
      </c>
      <c r="BN9" s="53">
        <v>22.38</v>
      </c>
      <c r="BO9" s="53">
        <v>0.35</v>
      </c>
      <c r="BP9" s="53">
        <v>1.58</v>
      </c>
      <c r="BQ9" s="53">
        <v>5.57</v>
      </c>
      <c r="BR9" s="53">
        <v>6.95</v>
      </c>
      <c r="BS9" s="57">
        <v>2.7</v>
      </c>
      <c r="BT9" s="77">
        <v>13.4</v>
      </c>
      <c r="BU9" s="57">
        <v>2.1</v>
      </c>
      <c r="BV9" s="57">
        <v>4.85</v>
      </c>
      <c r="BW9" s="54"/>
      <c r="BX9" s="53">
        <v>3000.0</v>
      </c>
      <c r="BY9" s="53" t="s">
        <v>123</v>
      </c>
      <c r="BZ9" s="58">
        <v>3000.0</v>
      </c>
      <c r="CA9" s="72"/>
      <c r="CB9" s="30">
        <v>3000.0</v>
      </c>
      <c r="CC9" s="31"/>
      <c r="CD9" s="58">
        <v>3000.0</v>
      </c>
      <c r="CE9" s="59" t="e">
        <v>#REF!</v>
      </c>
      <c r="CF9" s="60"/>
      <c r="CG9" s="61">
        <v>0.0</v>
      </c>
      <c r="CH9" s="62">
        <v>0.0</v>
      </c>
      <c r="CI9" s="63">
        <v>33.0</v>
      </c>
      <c r="CJ9" s="63">
        <v>2663.0</v>
      </c>
      <c r="CK9" s="64">
        <v>-24.0</v>
      </c>
      <c r="CL9" s="63">
        <v>2639.0</v>
      </c>
      <c r="CM9" s="65">
        <v>611.0</v>
      </c>
      <c r="CN9" s="63">
        <v>0.0</v>
      </c>
      <c r="CO9" s="66">
        <v>18.5</v>
      </c>
      <c r="CP9" s="67">
        <v>0.0</v>
      </c>
      <c r="CQ9" s="63">
        <v>52.0</v>
      </c>
      <c r="CR9" s="63">
        <v>52.0</v>
      </c>
      <c r="CS9" s="63">
        <v>89.0</v>
      </c>
      <c r="CT9" s="68"/>
      <c r="CU9" s="69"/>
      <c r="CV9" s="70"/>
      <c r="CW9" s="71">
        <v>10.0</v>
      </c>
      <c r="CX9" s="71" t="s">
        <v>138</v>
      </c>
      <c r="CY9" s="71" t="s">
        <v>139</v>
      </c>
      <c r="CZ9" s="45"/>
      <c r="DA9" s="44">
        <v>3000.0</v>
      </c>
      <c r="DB9" s="44">
        <v>0.0</v>
      </c>
      <c r="DC9" s="46" t="s">
        <v>127</v>
      </c>
      <c r="DD9" s="47">
        <v>46245.0</v>
      </c>
      <c r="DE9" s="43"/>
      <c r="DF9" s="43"/>
      <c r="DG9" s="48" t="s">
        <v>128</v>
      </c>
      <c r="DH9" s="48" t="s">
        <v>128</v>
      </c>
      <c r="DI9" s="48" t="s">
        <v>128</v>
      </c>
      <c r="DJ9" s="49">
        <v>1.0</v>
      </c>
      <c r="DK9" s="48" t="b">
        <v>1</v>
      </c>
      <c r="DL9" s="50" t="s">
        <v>130</v>
      </c>
      <c r="DM9" s="50" t="s">
        <v>131</v>
      </c>
      <c r="DN9" s="50" t="s">
        <v>132</v>
      </c>
      <c r="DO9" s="49">
        <v>0.92</v>
      </c>
      <c r="DP9" s="48" t="s">
        <v>128</v>
      </c>
      <c r="DQ9" s="48" t="s">
        <v>128</v>
      </c>
      <c r="DR9" s="51"/>
      <c r="DS9" s="48" t="s">
        <v>134</v>
      </c>
    </row>
    <row r="10">
      <c r="A10" s="23" t="s">
        <v>118</v>
      </c>
      <c r="B10" s="24">
        <v>3.0</v>
      </c>
      <c r="C10" s="23" t="s">
        <v>119</v>
      </c>
      <c r="D10" s="24">
        <v>640888.0</v>
      </c>
      <c r="E10" s="23" t="s">
        <v>161</v>
      </c>
      <c r="F10" s="23" t="s">
        <v>162</v>
      </c>
      <c r="G10" s="23" t="s">
        <v>163</v>
      </c>
      <c r="H10" s="24">
        <v>1130.0</v>
      </c>
      <c r="I10" s="24">
        <v>15.0</v>
      </c>
      <c r="J10" s="24">
        <v>0.0</v>
      </c>
      <c r="K10" s="24">
        <v>0.0</v>
      </c>
      <c r="L10" s="24">
        <v>0.0</v>
      </c>
      <c r="M10" s="24">
        <v>3.0</v>
      </c>
      <c r="N10" s="24">
        <v>0.0</v>
      </c>
      <c r="O10" s="24">
        <v>0.0</v>
      </c>
      <c r="P10" s="24">
        <v>0.0</v>
      </c>
      <c r="Q10" s="24">
        <v>1.0</v>
      </c>
      <c r="R10" s="24">
        <v>0.0</v>
      </c>
      <c r="S10" s="24">
        <v>1.0</v>
      </c>
      <c r="T10" s="24">
        <v>1.0</v>
      </c>
      <c r="U10" s="24">
        <v>0.0</v>
      </c>
      <c r="V10" s="24">
        <v>1.0</v>
      </c>
      <c r="W10" s="24">
        <v>0.0</v>
      </c>
      <c r="X10" s="24">
        <v>0.0</v>
      </c>
      <c r="Y10" s="24">
        <v>0.0</v>
      </c>
      <c r="Z10" s="24">
        <v>0.0</v>
      </c>
      <c r="AA10" s="24">
        <v>1.0</v>
      </c>
      <c r="AB10" s="24">
        <v>1.0</v>
      </c>
      <c r="AC10" s="24">
        <v>1.0</v>
      </c>
      <c r="AD10" s="24">
        <v>0.0</v>
      </c>
      <c r="AE10" s="24">
        <v>1.0</v>
      </c>
      <c r="AF10" s="24">
        <v>0.0</v>
      </c>
      <c r="AG10" s="24">
        <v>1.0</v>
      </c>
      <c r="AH10" s="24">
        <v>1.0</v>
      </c>
      <c r="AI10" s="24">
        <v>0.0</v>
      </c>
      <c r="AJ10" s="24">
        <v>0.0</v>
      </c>
      <c r="AK10" s="24">
        <v>0.0</v>
      </c>
      <c r="AL10" s="24">
        <v>0.0</v>
      </c>
      <c r="AM10" s="24">
        <v>1.0</v>
      </c>
      <c r="AN10" s="24">
        <v>1.0</v>
      </c>
      <c r="AO10" s="25">
        <v>19.7</v>
      </c>
      <c r="AP10" s="26"/>
      <c r="AQ10" s="26"/>
      <c r="AR10" s="26"/>
      <c r="AS10" s="24">
        <v>15.78</v>
      </c>
      <c r="AT10" s="26"/>
      <c r="AU10" s="26"/>
      <c r="AV10" s="26"/>
      <c r="AW10" s="24">
        <v>13.97</v>
      </c>
      <c r="AX10" s="26"/>
      <c r="AY10" s="24">
        <v>14.62</v>
      </c>
      <c r="AZ10" s="24">
        <v>19.17</v>
      </c>
      <c r="BA10" s="26"/>
      <c r="BB10" s="24">
        <v>21.65</v>
      </c>
      <c r="BC10" s="26"/>
      <c r="BD10" s="26"/>
      <c r="BE10" s="26"/>
      <c r="BF10" s="26"/>
      <c r="BG10" s="24">
        <v>14.53</v>
      </c>
      <c r="BH10" s="24">
        <v>26.78</v>
      </c>
      <c r="BI10" s="24">
        <v>22.6</v>
      </c>
      <c r="BJ10" s="26"/>
      <c r="BK10" s="24">
        <v>16.57</v>
      </c>
      <c r="BL10" s="26"/>
      <c r="BM10" s="24">
        <v>19.85</v>
      </c>
      <c r="BN10" s="24">
        <v>26.07</v>
      </c>
      <c r="BO10" s="24">
        <v>0.44</v>
      </c>
      <c r="BP10" s="24">
        <v>2.53</v>
      </c>
      <c r="BQ10" s="24">
        <v>5.72</v>
      </c>
      <c r="BR10" s="24">
        <v>8.06</v>
      </c>
      <c r="BS10" s="57">
        <v>2.58</v>
      </c>
      <c r="BT10" s="56">
        <v>17.0</v>
      </c>
      <c r="BU10" s="55">
        <v>3.6</v>
      </c>
      <c r="BV10" s="25">
        <v>7.26</v>
      </c>
      <c r="BW10" s="26"/>
      <c r="BX10" s="24">
        <v>3000.0</v>
      </c>
      <c r="BY10" s="24" t="s">
        <v>123</v>
      </c>
      <c r="BZ10" s="28">
        <v>3000.0</v>
      </c>
      <c r="CA10" s="72"/>
      <c r="CB10" s="30">
        <v>3000.0</v>
      </c>
      <c r="CC10" s="31"/>
      <c r="CD10" s="28">
        <v>3000.0</v>
      </c>
      <c r="CE10" s="32" t="e">
        <v>#REF!</v>
      </c>
      <c r="CF10" s="33"/>
      <c r="CG10" s="34">
        <v>0.0</v>
      </c>
      <c r="CH10" s="35">
        <v>0.0</v>
      </c>
      <c r="CI10" s="36">
        <v>15.0</v>
      </c>
      <c r="CJ10" s="36">
        <v>2663.0</v>
      </c>
      <c r="CK10" s="37">
        <v>-24.0</v>
      </c>
      <c r="CL10" s="36">
        <v>2639.0</v>
      </c>
      <c r="CM10" s="38">
        <v>296.0</v>
      </c>
      <c r="CN10" s="36">
        <v>0.0</v>
      </c>
      <c r="CO10" s="39">
        <v>19.7</v>
      </c>
      <c r="CP10" s="40">
        <v>0.0</v>
      </c>
      <c r="CQ10" s="36">
        <v>38.0</v>
      </c>
      <c r="CR10" s="36">
        <v>38.0</v>
      </c>
      <c r="CS10" s="36">
        <v>39.0</v>
      </c>
      <c r="CT10" s="41"/>
      <c r="CU10" s="42"/>
      <c r="CV10" s="43"/>
      <c r="CW10" s="44">
        <v>10.0</v>
      </c>
      <c r="CX10" s="44" t="s">
        <v>138</v>
      </c>
      <c r="CY10" s="44" t="s">
        <v>139</v>
      </c>
      <c r="CZ10" s="45"/>
      <c r="DA10" s="44">
        <v>3000.0</v>
      </c>
      <c r="DB10" s="44">
        <v>0.0</v>
      </c>
      <c r="DC10" s="43"/>
      <c r="DD10" s="78"/>
      <c r="DE10" s="43"/>
      <c r="DF10" s="43"/>
      <c r="DG10" s="48" t="s">
        <v>128</v>
      </c>
      <c r="DH10" s="48" t="s">
        <v>128</v>
      </c>
      <c r="DI10" s="48" t="s">
        <v>128</v>
      </c>
      <c r="DJ10" s="49">
        <v>0.0</v>
      </c>
      <c r="DK10" s="48" t="b">
        <v>0</v>
      </c>
      <c r="DL10" s="50" t="s">
        <v>130</v>
      </c>
      <c r="DM10" s="50" t="s">
        <v>131</v>
      </c>
      <c r="DN10" s="50" t="s">
        <v>132</v>
      </c>
      <c r="DO10" s="49">
        <v>0.92</v>
      </c>
      <c r="DP10" s="48" t="s">
        <v>128</v>
      </c>
      <c r="DQ10" s="48" t="s">
        <v>128</v>
      </c>
      <c r="DR10" s="51"/>
      <c r="DS10" s="48" t="s">
        <v>134</v>
      </c>
    </row>
    <row r="11">
      <c r="A11" s="52" t="s">
        <v>118</v>
      </c>
      <c r="B11" s="53">
        <v>3.0</v>
      </c>
      <c r="C11" s="52" t="s">
        <v>119</v>
      </c>
      <c r="D11" s="53">
        <v>576393.0</v>
      </c>
      <c r="E11" s="52" t="s">
        <v>164</v>
      </c>
      <c r="F11" s="52" t="s">
        <v>165</v>
      </c>
      <c r="G11" s="52" t="s">
        <v>166</v>
      </c>
      <c r="H11" s="53">
        <v>1130.0</v>
      </c>
      <c r="I11" s="53">
        <v>24.0</v>
      </c>
      <c r="J11" s="53">
        <v>0.0</v>
      </c>
      <c r="K11" s="53">
        <v>0.0</v>
      </c>
      <c r="L11" s="53">
        <v>0.0</v>
      </c>
      <c r="M11" s="53">
        <v>0.0</v>
      </c>
      <c r="N11" s="53">
        <v>0.0</v>
      </c>
      <c r="O11" s="53">
        <v>0.0</v>
      </c>
      <c r="P11" s="53">
        <v>0.0</v>
      </c>
      <c r="Q11" s="53">
        <v>0.0</v>
      </c>
      <c r="R11" s="53">
        <v>2.0</v>
      </c>
      <c r="S11" s="53">
        <v>1.0</v>
      </c>
      <c r="T11" s="53">
        <v>1.0</v>
      </c>
      <c r="U11" s="53">
        <v>1.0</v>
      </c>
      <c r="V11" s="53">
        <v>0.0</v>
      </c>
      <c r="W11" s="53">
        <v>1.0</v>
      </c>
      <c r="X11" s="53">
        <v>0.0</v>
      </c>
      <c r="Y11" s="53">
        <v>0.0</v>
      </c>
      <c r="Z11" s="53">
        <v>2.0</v>
      </c>
      <c r="AA11" s="53">
        <v>0.0</v>
      </c>
      <c r="AB11" s="53">
        <v>1.0</v>
      </c>
      <c r="AC11" s="53">
        <v>1.0</v>
      </c>
      <c r="AD11" s="53">
        <v>4.0</v>
      </c>
      <c r="AE11" s="53">
        <v>4.0</v>
      </c>
      <c r="AF11" s="53">
        <v>1.0</v>
      </c>
      <c r="AG11" s="53">
        <v>0.0</v>
      </c>
      <c r="AH11" s="53">
        <v>2.0</v>
      </c>
      <c r="AI11" s="53">
        <v>1.0</v>
      </c>
      <c r="AJ11" s="53">
        <v>0.0</v>
      </c>
      <c r="AK11" s="53">
        <v>1.0</v>
      </c>
      <c r="AL11" s="53">
        <v>0.0</v>
      </c>
      <c r="AM11" s="53">
        <v>1.0</v>
      </c>
      <c r="AN11" s="53">
        <v>0.0</v>
      </c>
      <c r="AO11" s="25">
        <v>20.5</v>
      </c>
      <c r="AP11" s="54"/>
      <c r="AQ11" s="54"/>
      <c r="AR11" s="54"/>
      <c r="AS11" s="54"/>
      <c r="AT11" s="54"/>
      <c r="AU11" s="54"/>
      <c r="AV11" s="54"/>
      <c r="AW11" s="54"/>
      <c r="AX11" s="53">
        <v>12.54</v>
      </c>
      <c r="AY11" s="53">
        <v>20.2</v>
      </c>
      <c r="AZ11" s="53">
        <v>13.73</v>
      </c>
      <c r="BA11" s="53">
        <v>15.12</v>
      </c>
      <c r="BB11" s="54"/>
      <c r="BC11" s="53">
        <v>29.58</v>
      </c>
      <c r="BD11" s="54"/>
      <c r="BE11" s="54"/>
      <c r="BF11" s="53">
        <v>17.88</v>
      </c>
      <c r="BG11" s="54"/>
      <c r="BH11" s="53">
        <v>12.6</v>
      </c>
      <c r="BI11" s="53">
        <v>16.2</v>
      </c>
      <c r="BJ11" s="53">
        <v>23.5</v>
      </c>
      <c r="BK11" s="53">
        <v>20.97</v>
      </c>
      <c r="BL11" s="53">
        <v>43.28</v>
      </c>
      <c r="BM11" s="54"/>
      <c r="BN11" s="53">
        <v>19.24</v>
      </c>
      <c r="BO11" s="53">
        <v>0.35</v>
      </c>
      <c r="BP11" s="53">
        <v>2.1</v>
      </c>
      <c r="BQ11" s="53">
        <v>5.81</v>
      </c>
      <c r="BR11" s="53">
        <v>7.7</v>
      </c>
      <c r="BS11" s="57">
        <v>2.38</v>
      </c>
      <c r="BT11" s="56">
        <v>22.2</v>
      </c>
      <c r="BU11" s="57">
        <v>2.6</v>
      </c>
      <c r="BV11" s="25">
        <v>10.34</v>
      </c>
      <c r="BW11" s="53">
        <v>2000.0</v>
      </c>
      <c r="BX11" s="53">
        <v>3000.0</v>
      </c>
      <c r="BY11" s="53" t="s">
        <v>123</v>
      </c>
      <c r="BZ11" s="58">
        <v>2700.0</v>
      </c>
      <c r="CA11" s="29" t="s">
        <v>124</v>
      </c>
      <c r="CB11" s="30">
        <v>3000.0</v>
      </c>
      <c r="CC11" s="31"/>
      <c r="CD11" s="58">
        <v>3000.0</v>
      </c>
      <c r="CE11" s="59" t="e">
        <v>#REF!</v>
      </c>
      <c r="CF11" s="60"/>
      <c r="CG11" s="61">
        <v>0.0</v>
      </c>
      <c r="CH11" s="62">
        <v>0.0</v>
      </c>
      <c r="CI11" s="63">
        <v>24.0</v>
      </c>
      <c r="CJ11" s="63">
        <v>2663.0</v>
      </c>
      <c r="CK11" s="64">
        <v>-24.0</v>
      </c>
      <c r="CL11" s="63">
        <v>2639.0</v>
      </c>
      <c r="CM11" s="65">
        <v>492.0</v>
      </c>
      <c r="CN11" s="63">
        <v>0.0</v>
      </c>
      <c r="CO11" s="66">
        <v>20.5</v>
      </c>
      <c r="CP11" s="67">
        <v>0.0</v>
      </c>
      <c r="CQ11" s="63">
        <v>50.0</v>
      </c>
      <c r="CR11" s="63">
        <v>50.0</v>
      </c>
      <c r="CS11" s="63">
        <v>57.0</v>
      </c>
      <c r="CT11" s="68"/>
      <c r="CU11" s="69"/>
      <c r="CV11" s="70"/>
      <c r="CW11" s="71">
        <v>10.0</v>
      </c>
      <c r="CX11" s="71" t="s">
        <v>138</v>
      </c>
      <c r="CY11" s="71" t="s">
        <v>139</v>
      </c>
      <c r="CZ11" s="45"/>
      <c r="DA11" s="44">
        <v>3000.0</v>
      </c>
      <c r="DB11" s="44">
        <v>0.0</v>
      </c>
      <c r="DC11" s="43"/>
      <c r="DD11" s="78"/>
      <c r="DE11" s="43"/>
      <c r="DF11" s="43"/>
      <c r="DG11" s="48" t="s">
        <v>128</v>
      </c>
      <c r="DH11" s="48" t="s">
        <v>128</v>
      </c>
      <c r="DI11" s="48" t="s">
        <v>128</v>
      </c>
      <c r="DJ11" s="49">
        <v>1.0</v>
      </c>
      <c r="DK11" s="48" t="b">
        <v>0</v>
      </c>
      <c r="DL11" s="50" t="s">
        <v>130</v>
      </c>
      <c r="DM11" s="50" t="s">
        <v>131</v>
      </c>
      <c r="DN11" s="50" t="s">
        <v>132</v>
      </c>
      <c r="DO11" s="49">
        <v>0.92</v>
      </c>
      <c r="DP11" s="48" t="s">
        <v>128</v>
      </c>
      <c r="DQ11" s="48" t="s">
        <v>128</v>
      </c>
      <c r="DR11" s="51"/>
      <c r="DS11" s="48" t="s">
        <v>134</v>
      </c>
    </row>
    <row r="12">
      <c r="A12" s="23" t="s">
        <v>118</v>
      </c>
      <c r="B12" s="24">
        <v>3.0</v>
      </c>
      <c r="C12" s="23" t="s">
        <v>119</v>
      </c>
      <c r="D12" s="24">
        <v>610881.0</v>
      </c>
      <c r="E12" s="23" t="s">
        <v>167</v>
      </c>
      <c r="F12" s="23" t="s">
        <v>168</v>
      </c>
      <c r="G12" s="23" t="s">
        <v>169</v>
      </c>
      <c r="H12" s="24">
        <v>1130.0</v>
      </c>
      <c r="I12" s="24">
        <v>14.0</v>
      </c>
      <c r="J12" s="24">
        <v>0.0</v>
      </c>
      <c r="K12" s="24">
        <v>0.0</v>
      </c>
      <c r="L12" s="24">
        <v>2.0</v>
      </c>
      <c r="M12" s="24">
        <v>1.0</v>
      </c>
      <c r="N12" s="24">
        <v>1.0</v>
      </c>
      <c r="O12" s="24">
        <v>0.0</v>
      </c>
      <c r="P12" s="24">
        <v>0.0</v>
      </c>
      <c r="Q12" s="24">
        <v>0.0</v>
      </c>
      <c r="R12" s="24">
        <v>0.0</v>
      </c>
      <c r="S12" s="24">
        <v>0.0</v>
      </c>
      <c r="T12" s="24">
        <v>0.0</v>
      </c>
      <c r="U12" s="24">
        <v>0.0</v>
      </c>
      <c r="V12" s="24">
        <v>0.0</v>
      </c>
      <c r="W12" s="24">
        <v>1.0</v>
      </c>
      <c r="X12" s="24">
        <v>1.0</v>
      </c>
      <c r="Y12" s="24">
        <v>0.0</v>
      </c>
      <c r="Z12" s="24">
        <v>0.0</v>
      </c>
      <c r="AA12" s="24">
        <v>4.0</v>
      </c>
      <c r="AB12" s="24">
        <v>1.0</v>
      </c>
      <c r="AC12" s="24">
        <v>0.0</v>
      </c>
      <c r="AD12" s="24">
        <v>1.0</v>
      </c>
      <c r="AE12" s="24">
        <v>0.0</v>
      </c>
      <c r="AF12" s="24">
        <v>0.0</v>
      </c>
      <c r="AG12" s="24">
        <v>0.0</v>
      </c>
      <c r="AH12" s="24">
        <v>1.0</v>
      </c>
      <c r="AI12" s="24">
        <v>1.0</v>
      </c>
      <c r="AJ12" s="24">
        <v>0.0</v>
      </c>
      <c r="AK12" s="24">
        <v>0.0</v>
      </c>
      <c r="AL12" s="24">
        <v>0.0</v>
      </c>
      <c r="AM12" s="24">
        <v>0.0</v>
      </c>
      <c r="AN12" s="24">
        <v>0.0</v>
      </c>
      <c r="AO12" s="25">
        <v>17.3</v>
      </c>
      <c r="AP12" s="26"/>
      <c r="AQ12" s="26"/>
      <c r="AR12" s="24">
        <v>11.12</v>
      </c>
      <c r="AS12" s="24">
        <v>14.3</v>
      </c>
      <c r="AT12" s="24">
        <v>16.08</v>
      </c>
      <c r="AU12" s="26"/>
      <c r="AV12" s="26"/>
      <c r="AW12" s="26"/>
      <c r="AX12" s="26"/>
      <c r="AY12" s="26"/>
      <c r="AZ12" s="26"/>
      <c r="BA12" s="26"/>
      <c r="BB12" s="26"/>
      <c r="BC12" s="24">
        <v>17.2</v>
      </c>
      <c r="BD12" s="24">
        <v>18.37</v>
      </c>
      <c r="BE12" s="26"/>
      <c r="BF12" s="26"/>
      <c r="BG12" s="24">
        <v>20.28</v>
      </c>
      <c r="BH12" s="24">
        <v>17.53</v>
      </c>
      <c r="BI12" s="26"/>
      <c r="BJ12" s="24">
        <v>17.82</v>
      </c>
      <c r="BK12" s="26"/>
      <c r="BL12" s="26"/>
      <c r="BM12" s="26"/>
      <c r="BN12" s="24">
        <v>15.67</v>
      </c>
      <c r="BO12" s="24">
        <v>0.36</v>
      </c>
      <c r="BP12" s="24">
        <v>1.85</v>
      </c>
      <c r="BQ12" s="24">
        <v>5.24</v>
      </c>
      <c r="BR12" s="24">
        <v>6.88</v>
      </c>
      <c r="BS12" s="57">
        <v>2.33</v>
      </c>
      <c r="BT12" s="77">
        <v>14.3</v>
      </c>
      <c r="BU12" s="25">
        <v>4.7</v>
      </c>
      <c r="BV12" s="57">
        <v>4.03</v>
      </c>
      <c r="BW12" s="26"/>
      <c r="BX12" s="24">
        <v>3000.0</v>
      </c>
      <c r="BY12" s="24" t="s">
        <v>123</v>
      </c>
      <c r="BZ12" s="28">
        <v>3000.0</v>
      </c>
      <c r="CA12" s="72"/>
      <c r="CB12" s="30">
        <v>3000.0</v>
      </c>
      <c r="CC12" s="31"/>
      <c r="CD12" s="28">
        <v>3000.0</v>
      </c>
      <c r="CE12" s="32" t="e">
        <v>#REF!</v>
      </c>
      <c r="CF12" s="33"/>
      <c r="CG12" s="34">
        <v>0.0</v>
      </c>
      <c r="CH12" s="35">
        <v>0.0</v>
      </c>
      <c r="CI12" s="36">
        <v>14.0</v>
      </c>
      <c r="CJ12" s="36">
        <v>2663.0</v>
      </c>
      <c r="CK12" s="37">
        <v>-24.0</v>
      </c>
      <c r="CL12" s="36">
        <v>2639.0</v>
      </c>
      <c r="CM12" s="38">
        <v>242.0</v>
      </c>
      <c r="CN12" s="36">
        <v>0.0</v>
      </c>
      <c r="CO12" s="39">
        <v>17.3</v>
      </c>
      <c r="CP12" s="40">
        <v>0.0</v>
      </c>
      <c r="CQ12" s="36">
        <v>26.0</v>
      </c>
      <c r="CR12" s="36">
        <v>26.0</v>
      </c>
      <c r="CS12" s="36">
        <v>33.0</v>
      </c>
      <c r="CT12" s="41"/>
      <c r="CU12" s="42"/>
      <c r="CV12" s="43"/>
      <c r="CW12" s="44">
        <v>10.0</v>
      </c>
      <c r="CX12" s="44" t="s">
        <v>138</v>
      </c>
      <c r="CY12" s="44" t="s">
        <v>139</v>
      </c>
      <c r="CZ12" s="45"/>
      <c r="DA12" s="44">
        <v>3000.0</v>
      </c>
      <c r="DB12" s="44">
        <v>0.0</v>
      </c>
      <c r="DC12" s="46" t="s">
        <v>127</v>
      </c>
      <c r="DD12" s="47">
        <v>46240.0</v>
      </c>
      <c r="DE12" s="43"/>
      <c r="DF12" s="43"/>
      <c r="DG12" s="48" t="s">
        <v>128</v>
      </c>
      <c r="DH12" s="48" t="s">
        <v>128</v>
      </c>
      <c r="DI12" s="48" t="s">
        <v>128</v>
      </c>
      <c r="DJ12" s="49">
        <v>1.0</v>
      </c>
      <c r="DK12" s="48" t="b">
        <v>1</v>
      </c>
      <c r="DL12" s="50" t="s">
        <v>130</v>
      </c>
      <c r="DM12" s="50" t="s">
        <v>131</v>
      </c>
      <c r="DN12" s="50" t="s">
        <v>132</v>
      </c>
      <c r="DO12" s="49">
        <v>0.92</v>
      </c>
      <c r="DP12" s="48" t="s">
        <v>128</v>
      </c>
      <c r="DQ12" s="48" t="s">
        <v>128</v>
      </c>
      <c r="DR12" s="51"/>
      <c r="DS12" s="48" t="s">
        <v>134</v>
      </c>
    </row>
    <row r="13">
      <c r="A13" s="52" t="s">
        <v>118</v>
      </c>
      <c r="B13" s="53">
        <v>3.0</v>
      </c>
      <c r="C13" s="52" t="s">
        <v>119</v>
      </c>
      <c r="D13" s="53">
        <v>641892.0</v>
      </c>
      <c r="E13" s="52" t="s">
        <v>170</v>
      </c>
      <c r="F13" s="52" t="s">
        <v>171</v>
      </c>
      <c r="G13" s="52" t="s">
        <v>172</v>
      </c>
      <c r="H13" s="53">
        <v>1130.0</v>
      </c>
      <c r="I13" s="53">
        <v>10.0</v>
      </c>
      <c r="J13" s="53">
        <v>0.0</v>
      </c>
      <c r="K13" s="53">
        <v>0.0</v>
      </c>
      <c r="L13" s="53">
        <v>0.0</v>
      </c>
      <c r="M13" s="53">
        <v>0.0</v>
      </c>
      <c r="N13" s="53">
        <v>0.0</v>
      </c>
      <c r="O13" s="53">
        <v>0.0</v>
      </c>
      <c r="P13" s="53">
        <v>1.0</v>
      </c>
      <c r="Q13" s="53">
        <v>0.0</v>
      </c>
      <c r="R13" s="53">
        <v>0.0</v>
      </c>
      <c r="S13" s="53">
        <v>0.0</v>
      </c>
      <c r="T13" s="53">
        <v>0.0</v>
      </c>
      <c r="U13" s="53">
        <v>1.0</v>
      </c>
      <c r="V13" s="53">
        <v>0.0</v>
      </c>
      <c r="W13" s="53">
        <v>0.0</v>
      </c>
      <c r="X13" s="53">
        <v>2.0</v>
      </c>
      <c r="Y13" s="53">
        <v>0.0</v>
      </c>
      <c r="Z13" s="53">
        <v>0.0</v>
      </c>
      <c r="AA13" s="53">
        <v>0.0</v>
      </c>
      <c r="AB13" s="53">
        <v>1.0</v>
      </c>
      <c r="AC13" s="53">
        <v>0.0</v>
      </c>
      <c r="AD13" s="53">
        <v>0.0</v>
      </c>
      <c r="AE13" s="53">
        <v>1.0</v>
      </c>
      <c r="AF13" s="53">
        <v>1.0</v>
      </c>
      <c r="AG13" s="53">
        <v>0.0</v>
      </c>
      <c r="AH13" s="53">
        <v>0.0</v>
      </c>
      <c r="AI13" s="53">
        <v>1.0</v>
      </c>
      <c r="AJ13" s="53">
        <v>0.0</v>
      </c>
      <c r="AK13" s="53">
        <v>0.0</v>
      </c>
      <c r="AL13" s="53">
        <v>1.0</v>
      </c>
      <c r="AM13" s="53">
        <v>1.0</v>
      </c>
      <c r="AN13" s="53">
        <v>0.0</v>
      </c>
      <c r="AO13" s="25">
        <v>18.5</v>
      </c>
      <c r="AP13" s="54"/>
      <c r="AQ13" s="54"/>
      <c r="AR13" s="54"/>
      <c r="AS13" s="54"/>
      <c r="AT13" s="54"/>
      <c r="AU13" s="54"/>
      <c r="AV13" s="53">
        <v>16.47</v>
      </c>
      <c r="AW13" s="54"/>
      <c r="AX13" s="54"/>
      <c r="AY13" s="54"/>
      <c r="AZ13" s="54"/>
      <c r="BA13" s="53">
        <v>15.55</v>
      </c>
      <c r="BB13" s="54"/>
      <c r="BC13" s="54"/>
      <c r="BD13" s="53">
        <v>17.15</v>
      </c>
      <c r="BE13" s="54"/>
      <c r="BF13" s="54"/>
      <c r="BG13" s="54"/>
      <c r="BH13" s="53">
        <v>14.75</v>
      </c>
      <c r="BI13" s="54"/>
      <c r="BJ13" s="54"/>
      <c r="BK13" s="53">
        <v>19.53</v>
      </c>
      <c r="BL13" s="53">
        <v>19.95</v>
      </c>
      <c r="BM13" s="54"/>
      <c r="BN13" s="54"/>
      <c r="BO13" s="53">
        <v>0.36</v>
      </c>
      <c r="BP13" s="53">
        <v>2.18</v>
      </c>
      <c r="BQ13" s="53">
        <v>5.7</v>
      </c>
      <c r="BR13" s="53">
        <v>7.68</v>
      </c>
      <c r="BS13" s="57">
        <v>2.12</v>
      </c>
      <c r="BT13" s="56">
        <v>23.0</v>
      </c>
      <c r="BU13" s="57">
        <v>2.0</v>
      </c>
      <c r="BV13" s="25">
        <v>13.73</v>
      </c>
      <c r="BW13" s="54"/>
      <c r="BX13" s="53">
        <v>3000.0</v>
      </c>
      <c r="BY13" s="53" t="s">
        <v>123</v>
      </c>
      <c r="BZ13" s="58">
        <v>2700.0</v>
      </c>
      <c r="CA13" s="29" t="s">
        <v>124</v>
      </c>
      <c r="CB13" s="30">
        <v>3000.0</v>
      </c>
      <c r="CC13" s="31"/>
      <c r="CD13" s="58">
        <v>3000.0</v>
      </c>
      <c r="CE13" s="59" t="e">
        <v>#REF!</v>
      </c>
      <c r="CF13" s="60"/>
      <c r="CG13" s="61">
        <v>0.0</v>
      </c>
      <c r="CH13" s="62">
        <v>0.0</v>
      </c>
      <c r="CI13" s="63">
        <v>10.0</v>
      </c>
      <c r="CJ13" s="63">
        <v>2663.0</v>
      </c>
      <c r="CK13" s="64">
        <v>-24.0</v>
      </c>
      <c r="CL13" s="63">
        <v>2639.0</v>
      </c>
      <c r="CM13" s="65">
        <v>185.0</v>
      </c>
      <c r="CN13" s="63">
        <v>0.0</v>
      </c>
      <c r="CO13" s="66">
        <v>18.5</v>
      </c>
      <c r="CP13" s="67">
        <v>0.0</v>
      </c>
      <c r="CQ13" s="63">
        <v>22.0</v>
      </c>
      <c r="CR13" s="63">
        <v>22.0</v>
      </c>
      <c r="CS13" s="63">
        <v>21.0</v>
      </c>
      <c r="CT13" s="68"/>
      <c r="CU13" s="69"/>
      <c r="CV13" s="70"/>
      <c r="CW13" s="71">
        <v>10.0</v>
      </c>
      <c r="CX13" s="71" t="s">
        <v>138</v>
      </c>
      <c r="CY13" s="71" t="s">
        <v>139</v>
      </c>
      <c r="CZ13" s="45"/>
      <c r="DA13" s="44">
        <v>3000.0</v>
      </c>
      <c r="DB13" s="44">
        <v>0.0</v>
      </c>
      <c r="DC13" s="46" t="s">
        <v>127</v>
      </c>
      <c r="DD13" s="47">
        <v>46228.0</v>
      </c>
      <c r="DE13" s="43"/>
      <c r="DF13" s="43"/>
      <c r="DG13" s="48" t="s">
        <v>128</v>
      </c>
      <c r="DH13" s="48" t="s">
        <v>128</v>
      </c>
      <c r="DI13" s="48" t="s">
        <v>128</v>
      </c>
      <c r="DJ13" s="49">
        <v>0.0</v>
      </c>
      <c r="DK13" s="48" t="b">
        <v>0</v>
      </c>
      <c r="DL13" s="50" t="s">
        <v>130</v>
      </c>
      <c r="DM13" s="50" t="s">
        <v>131</v>
      </c>
      <c r="DN13" s="50" t="s">
        <v>132</v>
      </c>
      <c r="DO13" s="49">
        <v>0.92</v>
      </c>
      <c r="DP13" s="48" t="s">
        <v>128</v>
      </c>
      <c r="DQ13" s="48" t="s">
        <v>128</v>
      </c>
      <c r="DR13" s="51"/>
      <c r="DS13" s="48" t="s">
        <v>134</v>
      </c>
    </row>
    <row r="14">
      <c r="A14" s="23" t="s">
        <v>118</v>
      </c>
      <c r="B14" s="24">
        <v>3.0</v>
      </c>
      <c r="C14" s="23" t="s">
        <v>119</v>
      </c>
      <c r="D14" s="24">
        <v>627274.0</v>
      </c>
      <c r="E14" s="23" t="s">
        <v>173</v>
      </c>
      <c r="F14" s="23" t="s">
        <v>174</v>
      </c>
      <c r="G14" s="23" t="s">
        <v>175</v>
      </c>
      <c r="H14" s="24">
        <v>1130.0</v>
      </c>
      <c r="I14" s="24">
        <v>8.0</v>
      </c>
      <c r="J14" s="24">
        <v>0.0</v>
      </c>
      <c r="K14" s="24">
        <v>0.0</v>
      </c>
      <c r="L14" s="24">
        <v>0.0</v>
      </c>
      <c r="M14" s="24">
        <v>0.0</v>
      </c>
      <c r="N14" s="24">
        <v>0.0</v>
      </c>
      <c r="O14" s="24">
        <v>0.0</v>
      </c>
      <c r="P14" s="24">
        <v>0.0</v>
      </c>
      <c r="Q14" s="24">
        <v>0.0</v>
      </c>
      <c r="R14" s="24">
        <v>0.0</v>
      </c>
      <c r="S14" s="24">
        <v>0.0</v>
      </c>
      <c r="T14" s="24">
        <v>0.0</v>
      </c>
      <c r="U14" s="24">
        <v>0.0</v>
      </c>
      <c r="V14" s="24">
        <v>2.0</v>
      </c>
      <c r="W14" s="24">
        <v>0.0</v>
      </c>
      <c r="X14" s="24">
        <v>0.0</v>
      </c>
      <c r="Y14" s="24">
        <v>1.0</v>
      </c>
      <c r="Z14" s="24">
        <v>1.0</v>
      </c>
      <c r="AA14" s="24">
        <v>0.0</v>
      </c>
      <c r="AB14" s="24">
        <v>0.0</v>
      </c>
      <c r="AC14" s="24">
        <v>0.0</v>
      </c>
      <c r="AD14" s="24">
        <v>0.0</v>
      </c>
      <c r="AE14" s="24">
        <v>0.0</v>
      </c>
      <c r="AF14" s="24">
        <v>0.0</v>
      </c>
      <c r="AG14" s="24">
        <v>0.0</v>
      </c>
      <c r="AH14" s="24">
        <v>4.0</v>
      </c>
      <c r="AI14" s="24">
        <v>0.0</v>
      </c>
      <c r="AJ14" s="24">
        <v>0.0</v>
      </c>
      <c r="AK14" s="24">
        <v>0.0</v>
      </c>
      <c r="AL14" s="24">
        <v>0.0</v>
      </c>
      <c r="AM14" s="24">
        <v>0.0</v>
      </c>
      <c r="AN14" s="24">
        <v>0.0</v>
      </c>
      <c r="AO14" s="25">
        <v>20.6</v>
      </c>
      <c r="AP14" s="26"/>
      <c r="AQ14" s="26"/>
      <c r="AR14" s="26"/>
      <c r="AS14" s="26"/>
      <c r="AT14" s="26"/>
      <c r="AU14" s="26"/>
      <c r="AV14" s="26"/>
      <c r="AW14" s="26"/>
      <c r="AX14" s="26"/>
      <c r="AY14" s="26"/>
      <c r="AZ14" s="26"/>
      <c r="BA14" s="26"/>
      <c r="BB14" s="24">
        <v>24.39</v>
      </c>
      <c r="BC14" s="26"/>
      <c r="BD14" s="26"/>
      <c r="BE14" s="24">
        <v>17.13</v>
      </c>
      <c r="BF14" s="24">
        <v>17.98</v>
      </c>
      <c r="BG14" s="26"/>
      <c r="BH14" s="26"/>
      <c r="BI14" s="26"/>
      <c r="BJ14" s="26"/>
      <c r="BK14" s="26"/>
      <c r="BL14" s="26"/>
      <c r="BM14" s="26"/>
      <c r="BN14" s="24">
        <v>20.19</v>
      </c>
      <c r="BO14" s="26"/>
      <c r="BP14" s="24">
        <v>1.17</v>
      </c>
      <c r="BQ14" s="24">
        <v>7.61</v>
      </c>
      <c r="BR14" s="24">
        <v>8.58</v>
      </c>
      <c r="BS14" s="57">
        <v>1.61</v>
      </c>
      <c r="BT14" s="56">
        <v>17.9</v>
      </c>
      <c r="BU14" s="57">
        <v>1.0</v>
      </c>
      <c r="BV14" s="25">
        <v>8.6</v>
      </c>
      <c r="BW14" s="26"/>
      <c r="BX14" s="24">
        <v>2700.0</v>
      </c>
      <c r="BY14" s="24" t="s">
        <v>123</v>
      </c>
      <c r="BZ14" s="28">
        <v>2400.0</v>
      </c>
      <c r="CA14" s="29" t="s">
        <v>124</v>
      </c>
      <c r="CB14" s="30">
        <v>2700.0</v>
      </c>
      <c r="CC14" s="31"/>
      <c r="CD14" s="28">
        <v>2700.0</v>
      </c>
      <c r="CE14" s="32" t="e">
        <v>#REF!</v>
      </c>
      <c r="CF14" s="33"/>
      <c r="CG14" s="34">
        <v>0.0</v>
      </c>
      <c r="CH14" s="35">
        <v>0.0</v>
      </c>
      <c r="CI14" s="36">
        <v>8.0</v>
      </c>
      <c r="CJ14" s="36">
        <v>2663.0</v>
      </c>
      <c r="CK14" s="37">
        <v>-24.0</v>
      </c>
      <c r="CL14" s="36">
        <v>2639.0</v>
      </c>
      <c r="CM14" s="38">
        <v>165.0</v>
      </c>
      <c r="CN14" s="36">
        <v>0.0</v>
      </c>
      <c r="CO14" s="39">
        <v>20.6</v>
      </c>
      <c r="CP14" s="40">
        <v>0.0</v>
      </c>
      <c r="CQ14" s="36">
        <v>9.0</v>
      </c>
      <c r="CR14" s="36">
        <v>9.0</v>
      </c>
      <c r="CS14" s="36">
        <v>13.0</v>
      </c>
      <c r="CT14" s="41"/>
      <c r="CU14" s="42"/>
      <c r="CV14" s="43"/>
      <c r="CW14" s="44">
        <v>9.0</v>
      </c>
      <c r="CX14" s="44" t="s">
        <v>143</v>
      </c>
      <c r="CY14" s="44" t="s">
        <v>144</v>
      </c>
      <c r="CZ14" s="45"/>
      <c r="DA14" s="44">
        <v>2700.0</v>
      </c>
      <c r="DB14" s="44">
        <v>0.0</v>
      </c>
      <c r="DC14" s="43"/>
      <c r="DD14" s="78"/>
      <c r="DE14" s="43"/>
      <c r="DF14" s="43"/>
      <c r="DG14" s="48" t="s">
        <v>128</v>
      </c>
      <c r="DH14" s="48" t="s">
        <v>128</v>
      </c>
      <c r="DI14" s="48" t="s">
        <v>128</v>
      </c>
      <c r="DJ14" s="49">
        <v>0.0</v>
      </c>
      <c r="DK14" s="48" t="b">
        <v>0</v>
      </c>
      <c r="DL14" s="50" t="s">
        <v>130</v>
      </c>
      <c r="DM14" s="50" t="s">
        <v>131</v>
      </c>
      <c r="DN14" s="50" t="s">
        <v>132</v>
      </c>
      <c r="DO14" s="49">
        <v>0.92</v>
      </c>
      <c r="DP14" s="48" t="s">
        <v>128</v>
      </c>
      <c r="DQ14" s="48" t="s">
        <v>128</v>
      </c>
      <c r="DR14" s="51"/>
      <c r="DS14" s="48" t="s">
        <v>134</v>
      </c>
    </row>
    <row r="15">
      <c r="A15" s="52" t="s">
        <v>118</v>
      </c>
      <c r="B15" s="53">
        <v>3.0</v>
      </c>
      <c r="C15" s="52" t="s">
        <v>119</v>
      </c>
      <c r="D15" s="53">
        <v>604008.0</v>
      </c>
      <c r="E15" s="52" t="s">
        <v>176</v>
      </c>
      <c r="F15" s="52" t="s">
        <v>177</v>
      </c>
      <c r="G15" s="52" t="s">
        <v>178</v>
      </c>
      <c r="H15" s="53">
        <v>1130.0</v>
      </c>
      <c r="I15" s="53">
        <v>4.0</v>
      </c>
      <c r="J15" s="53">
        <v>0.0</v>
      </c>
      <c r="K15" s="53">
        <v>0.0</v>
      </c>
      <c r="L15" s="53">
        <v>0.0</v>
      </c>
      <c r="M15" s="53">
        <v>0.0</v>
      </c>
      <c r="N15" s="53">
        <v>1.0</v>
      </c>
      <c r="O15" s="53">
        <v>0.0</v>
      </c>
      <c r="P15" s="53">
        <v>0.0</v>
      </c>
      <c r="Q15" s="53">
        <v>0.0</v>
      </c>
      <c r="R15" s="53">
        <v>0.0</v>
      </c>
      <c r="S15" s="53">
        <v>2.0</v>
      </c>
      <c r="T15" s="53">
        <v>0.0</v>
      </c>
      <c r="U15" s="53">
        <v>0.0</v>
      </c>
      <c r="V15" s="53">
        <v>0.0</v>
      </c>
      <c r="W15" s="53">
        <v>0.0</v>
      </c>
      <c r="X15" s="53">
        <v>0.0</v>
      </c>
      <c r="Y15" s="53">
        <v>0.0</v>
      </c>
      <c r="Z15" s="53">
        <v>0.0</v>
      </c>
      <c r="AA15" s="53">
        <v>0.0</v>
      </c>
      <c r="AB15" s="53">
        <v>0.0</v>
      </c>
      <c r="AC15" s="53">
        <v>0.0</v>
      </c>
      <c r="AD15" s="53">
        <v>0.0</v>
      </c>
      <c r="AE15" s="53">
        <v>1.0</v>
      </c>
      <c r="AF15" s="53">
        <v>0.0</v>
      </c>
      <c r="AG15" s="53">
        <v>0.0</v>
      </c>
      <c r="AH15" s="53">
        <v>0.0</v>
      </c>
      <c r="AI15" s="53">
        <v>0.0</v>
      </c>
      <c r="AJ15" s="53">
        <v>0.0</v>
      </c>
      <c r="AK15" s="53">
        <v>0.0</v>
      </c>
      <c r="AL15" s="53">
        <v>0.0</v>
      </c>
      <c r="AM15" s="53">
        <v>0.0</v>
      </c>
      <c r="AN15" s="53">
        <v>0.0</v>
      </c>
      <c r="AO15" s="55">
        <v>16.3</v>
      </c>
      <c r="AP15" s="54"/>
      <c r="AQ15" s="54"/>
      <c r="AR15" s="54"/>
      <c r="AS15" s="54"/>
      <c r="AT15" s="53">
        <v>0.0</v>
      </c>
      <c r="AU15" s="54"/>
      <c r="AV15" s="54"/>
      <c r="AW15" s="54"/>
      <c r="AX15" s="54"/>
      <c r="AY15" s="53">
        <v>14.22</v>
      </c>
      <c r="AZ15" s="54"/>
      <c r="BA15" s="54"/>
      <c r="BB15" s="54"/>
      <c r="BC15" s="54"/>
      <c r="BD15" s="54"/>
      <c r="BE15" s="54"/>
      <c r="BF15" s="54"/>
      <c r="BG15" s="54"/>
      <c r="BH15" s="54"/>
      <c r="BI15" s="54"/>
      <c r="BJ15" s="54"/>
      <c r="BK15" s="53">
        <v>19.48</v>
      </c>
      <c r="BL15" s="54"/>
      <c r="BM15" s="54"/>
      <c r="BN15" s="54"/>
      <c r="BO15" s="54"/>
      <c r="BP15" s="53">
        <v>1.97</v>
      </c>
      <c r="BQ15" s="53">
        <v>5.22</v>
      </c>
      <c r="BR15" s="53">
        <v>6.99</v>
      </c>
      <c r="BS15" s="57">
        <v>1.57</v>
      </c>
      <c r="BT15" s="56">
        <v>19.5</v>
      </c>
      <c r="BU15" s="57">
        <v>1.3</v>
      </c>
      <c r="BV15" s="25">
        <v>11.03</v>
      </c>
      <c r="BW15" s="54"/>
      <c r="BX15" s="53">
        <v>2400.0</v>
      </c>
      <c r="BY15" s="53" t="s">
        <v>123</v>
      </c>
      <c r="BZ15" s="58">
        <v>2100.0</v>
      </c>
      <c r="CA15" s="29" t="s">
        <v>124</v>
      </c>
      <c r="CB15" s="30">
        <v>2700.0</v>
      </c>
      <c r="CC15" s="31"/>
      <c r="CD15" s="58">
        <v>2700.0</v>
      </c>
      <c r="CE15" s="59" t="e">
        <v>#REF!</v>
      </c>
      <c r="CF15" s="79">
        <f>+300</f>
        <v>300</v>
      </c>
      <c r="CG15" s="80">
        <f>+1</f>
        <v>1</v>
      </c>
      <c r="CH15" s="62">
        <v>0.25</v>
      </c>
      <c r="CI15" s="63">
        <v>5.0</v>
      </c>
      <c r="CJ15" s="63">
        <v>2663.0</v>
      </c>
      <c r="CK15" s="64">
        <v>-24.0</v>
      </c>
      <c r="CL15" s="63">
        <v>2639.0</v>
      </c>
      <c r="CM15" s="65">
        <v>65.0</v>
      </c>
      <c r="CN15" s="63">
        <v>-12.0</v>
      </c>
      <c r="CO15" s="66">
        <v>15.4</v>
      </c>
      <c r="CP15" s="67">
        <v>-0.9</v>
      </c>
      <c r="CQ15" s="63">
        <v>8.0</v>
      </c>
      <c r="CR15" s="63">
        <v>10.0</v>
      </c>
      <c r="CS15" s="63">
        <v>8.0</v>
      </c>
      <c r="CT15" s="68"/>
      <c r="CU15" s="69"/>
      <c r="CV15" s="70"/>
      <c r="CW15" s="71">
        <v>9.0</v>
      </c>
      <c r="CX15" s="71" t="s">
        <v>143</v>
      </c>
      <c r="CY15" s="71" t="s">
        <v>144</v>
      </c>
      <c r="CZ15" s="76" t="s">
        <v>151</v>
      </c>
      <c r="DA15" s="44">
        <v>2700.0</v>
      </c>
      <c r="DB15" s="44">
        <v>0.0</v>
      </c>
      <c r="DC15" s="46" t="s">
        <v>127</v>
      </c>
      <c r="DD15" s="47">
        <v>46245.0</v>
      </c>
      <c r="DE15" s="43"/>
      <c r="DF15" s="43"/>
      <c r="DG15" s="48" t="s">
        <v>128</v>
      </c>
      <c r="DH15" s="48" t="s">
        <v>128</v>
      </c>
      <c r="DI15" s="48" t="s">
        <v>128</v>
      </c>
      <c r="DJ15" s="49">
        <v>1.0</v>
      </c>
      <c r="DK15" s="48" t="b">
        <v>0</v>
      </c>
      <c r="DL15" s="50" t="s">
        <v>130</v>
      </c>
      <c r="DM15" s="50" t="s">
        <v>131</v>
      </c>
      <c r="DN15" s="50" t="s">
        <v>132</v>
      </c>
      <c r="DO15" s="49">
        <v>0.92</v>
      </c>
      <c r="DP15" s="48" t="s">
        <v>128</v>
      </c>
      <c r="DQ15" s="48" t="s">
        <v>128</v>
      </c>
      <c r="DR15" s="51"/>
      <c r="DS15" s="48" t="s">
        <v>134</v>
      </c>
    </row>
    <row r="16">
      <c r="A16" s="23" t="s">
        <v>118</v>
      </c>
      <c r="B16" s="24">
        <v>3.0</v>
      </c>
      <c r="C16" s="23" t="s">
        <v>119</v>
      </c>
      <c r="D16" s="24">
        <v>648806.0</v>
      </c>
      <c r="E16" s="23" t="s">
        <v>179</v>
      </c>
      <c r="F16" s="23" t="s">
        <v>180</v>
      </c>
      <c r="G16" s="23" t="s">
        <v>181</v>
      </c>
      <c r="H16" s="24">
        <v>1130.0</v>
      </c>
      <c r="I16" s="24">
        <v>2.0</v>
      </c>
      <c r="J16" s="24">
        <v>0.0</v>
      </c>
      <c r="K16" s="24">
        <v>0.0</v>
      </c>
      <c r="L16" s="24">
        <v>0.0</v>
      </c>
      <c r="M16" s="24">
        <v>0.0</v>
      </c>
      <c r="N16" s="24">
        <v>0.0</v>
      </c>
      <c r="O16" s="24">
        <v>0.0</v>
      </c>
      <c r="P16" s="24">
        <v>0.0</v>
      </c>
      <c r="Q16" s="24">
        <v>0.0</v>
      </c>
      <c r="R16" s="24">
        <v>0.0</v>
      </c>
      <c r="S16" s="24">
        <v>0.0</v>
      </c>
      <c r="T16" s="24">
        <v>0.0</v>
      </c>
      <c r="U16" s="24">
        <v>0.0</v>
      </c>
      <c r="V16" s="24">
        <v>0.0</v>
      </c>
      <c r="W16" s="24">
        <v>0.0</v>
      </c>
      <c r="X16" s="24">
        <v>0.0</v>
      </c>
      <c r="Y16" s="24">
        <v>0.0</v>
      </c>
      <c r="Z16" s="24">
        <v>1.0</v>
      </c>
      <c r="AA16" s="24">
        <v>0.0</v>
      </c>
      <c r="AB16" s="24">
        <v>0.0</v>
      </c>
      <c r="AC16" s="24">
        <v>0.0</v>
      </c>
      <c r="AD16" s="24">
        <v>0.0</v>
      </c>
      <c r="AE16" s="24">
        <v>0.0</v>
      </c>
      <c r="AF16" s="24">
        <v>0.0</v>
      </c>
      <c r="AG16" s="24">
        <v>0.0</v>
      </c>
      <c r="AH16" s="24">
        <v>0.0</v>
      </c>
      <c r="AI16" s="24">
        <v>0.0</v>
      </c>
      <c r="AJ16" s="24">
        <v>0.0</v>
      </c>
      <c r="AK16" s="24">
        <v>0.0</v>
      </c>
      <c r="AL16" s="24">
        <v>1.0</v>
      </c>
      <c r="AM16" s="24">
        <v>0.0</v>
      </c>
      <c r="AN16" s="24">
        <v>0.0</v>
      </c>
      <c r="AO16" s="25">
        <v>35.9</v>
      </c>
      <c r="AP16" s="26"/>
      <c r="AQ16" s="26"/>
      <c r="AR16" s="26"/>
      <c r="AS16" s="26"/>
      <c r="AT16" s="26"/>
      <c r="AU16" s="26"/>
      <c r="AV16" s="26"/>
      <c r="AW16" s="26"/>
      <c r="AX16" s="26"/>
      <c r="AY16" s="26"/>
      <c r="AZ16" s="26"/>
      <c r="BA16" s="26"/>
      <c r="BB16" s="26"/>
      <c r="BC16" s="26"/>
      <c r="BD16" s="26"/>
      <c r="BE16" s="26"/>
      <c r="BF16" s="24">
        <v>50.32</v>
      </c>
      <c r="BG16" s="26"/>
      <c r="BH16" s="26"/>
      <c r="BI16" s="26"/>
      <c r="BJ16" s="26"/>
      <c r="BK16" s="26"/>
      <c r="BL16" s="26"/>
      <c r="BM16" s="26"/>
      <c r="BN16" s="26"/>
      <c r="BO16" s="24">
        <v>0.36</v>
      </c>
      <c r="BP16" s="24">
        <v>13.83</v>
      </c>
      <c r="BQ16" s="24">
        <v>6.91</v>
      </c>
      <c r="BR16" s="24">
        <v>20.54</v>
      </c>
      <c r="BS16" s="57">
        <v>1.33</v>
      </c>
      <c r="BT16" s="27"/>
      <c r="BU16" s="26"/>
      <c r="BV16" s="26"/>
      <c r="BW16" s="26"/>
      <c r="BX16" s="24">
        <v>2700.0</v>
      </c>
      <c r="BY16" s="24" t="s">
        <v>123</v>
      </c>
      <c r="BZ16" s="28">
        <v>2400.0</v>
      </c>
      <c r="CA16" s="29" t="s">
        <v>124</v>
      </c>
      <c r="CB16" s="30">
        <v>2700.0</v>
      </c>
      <c r="CC16" s="31"/>
      <c r="CD16" s="28">
        <v>2700.0</v>
      </c>
      <c r="CE16" s="32" t="e">
        <v>#REF!</v>
      </c>
      <c r="CF16" s="33"/>
      <c r="CG16" s="34">
        <v>0.0</v>
      </c>
      <c r="CH16" s="35">
        <v>0.0</v>
      </c>
      <c r="CI16" s="36">
        <v>2.0</v>
      </c>
      <c r="CJ16" s="36">
        <v>2663.0</v>
      </c>
      <c r="CK16" s="37">
        <v>-24.0</v>
      </c>
      <c r="CL16" s="36">
        <v>2639.0</v>
      </c>
      <c r="CM16" s="38">
        <v>72.0</v>
      </c>
      <c r="CN16" s="36">
        <v>0.0</v>
      </c>
      <c r="CO16" s="39">
        <v>35.9</v>
      </c>
      <c r="CP16" s="40">
        <v>0.0</v>
      </c>
      <c r="CQ16" s="36">
        <v>28.0</v>
      </c>
      <c r="CR16" s="36">
        <v>28.0</v>
      </c>
      <c r="CS16" s="36">
        <v>3.0</v>
      </c>
      <c r="CT16" s="41"/>
      <c r="CU16" s="42"/>
      <c r="CV16" s="43"/>
      <c r="CW16" s="44">
        <v>9.0</v>
      </c>
      <c r="CX16" s="44" t="s">
        <v>143</v>
      </c>
      <c r="CY16" s="44" t="s">
        <v>144</v>
      </c>
      <c r="CZ16" s="45"/>
      <c r="DA16" s="44">
        <v>2700.0</v>
      </c>
      <c r="DB16" s="44">
        <v>0.0</v>
      </c>
      <c r="DC16" s="46" t="s">
        <v>127</v>
      </c>
      <c r="DD16" s="47">
        <v>46197.0</v>
      </c>
      <c r="DE16" s="43"/>
      <c r="DF16" s="43"/>
      <c r="DG16" s="48" t="s">
        <v>128</v>
      </c>
      <c r="DH16" s="48" t="s">
        <v>128</v>
      </c>
      <c r="DI16" s="48" t="s">
        <v>129</v>
      </c>
      <c r="DJ16" s="49">
        <v>1.0</v>
      </c>
      <c r="DK16" s="48" t="b">
        <v>0</v>
      </c>
      <c r="DL16" s="50" t="s">
        <v>130</v>
      </c>
      <c r="DM16" s="50" t="s">
        <v>131</v>
      </c>
      <c r="DN16" s="50" t="s">
        <v>132</v>
      </c>
      <c r="DO16" s="49">
        <v>0.92</v>
      </c>
      <c r="DP16" s="48" t="s">
        <v>128</v>
      </c>
      <c r="DQ16" s="48" t="s">
        <v>133</v>
      </c>
      <c r="DR16" s="51"/>
      <c r="DS16" s="48" t="s">
        <v>134</v>
      </c>
    </row>
    <row r="17">
      <c r="A17" s="52" t="s">
        <v>118</v>
      </c>
      <c r="B17" s="53">
        <v>3.0</v>
      </c>
      <c r="C17" s="52" t="s">
        <v>119</v>
      </c>
      <c r="D17" s="53">
        <v>680603.0</v>
      </c>
      <c r="E17" s="52" t="s">
        <v>182</v>
      </c>
      <c r="F17" s="52" t="s">
        <v>183</v>
      </c>
      <c r="G17" s="52" t="s">
        <v>184</v>
      </c>
      <c r="H17" s="53">
        <v>1130.0</v>
      </c>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81"/>
      <c r="BU17" s="54"/>
      <c r="BV17" s="54"/>
      <c r="BW17" s="54"/>
      <c r="BX17" s="53">
        <v>3000.0</v>
      </c>
      <c r="BY17" s="53" t="s">
        <v>123</v>
      </c>
      <c r="BZ17" s="58">
        <v>3000.0</v>
      </c>
      <c r="CA17" s="72"/>
      <c r="CB17" s="82"/>
      <c r="CC17" s="31"/>
      <c r="CD17" s="58">
        <v>3000.0</v>
      </c>
      <c r="CE17" s="83" t="s">
        <v>185</v>
      </c>
      <c r="CF17" s="60"/>
      <c r="CG17" s="61">
        <v>0.0</v>
      </c>
      <c r="CH17" s="84"/>
      <c r="CI17" s="63">
        <v>0.0</v>
      </c>
      <c r="CJ17" s="63">
        <v>2663.0</v>
      </c>
      <c r="CK17" s="64">
        <v>-24.0</v>
      </c>
      <c r="CL17" s="63">
        <v>2639.0</v>
      </c>
      <c r="CM17" s="65">
        <v>0.0</v>
      </c>
      <c r="CN17" s="63">
        <v>0.0</v>
      </c>
      <c r="CO17" s="66">
        <v>0.0</v>
      </c>
      <c r="CP17" s="67">
        <v>0.0</v>
      </c>
      <c r="CQ17" s="63">
        <v>0.0</v>
      </c>
      <c r="CR17" s="63">
        <v>0.0</v>
      </c>
      <c r="CS17" s="63">
        <v>0.0</v>
      </c>
      <c r="CT17" s="68"/>
      <c r="CU17" s="69"/>
      <c r="CV17" s="70"/>
      <c r="CW17" s="71">
        <v>10.0</v>
      </c>
      <c r="CX17" s="71" t="s">
        <v>138</v>
      </c>
      <c r="CY17" s="71" t="s">
        <v>139</v>
      </c>
      <c r="CZ17" s="45"/>
      <c r="DA17" s="43"/>
      <c r="DB17" s="44">
        <v>0.0</v>
      </c>
      <c r="DC17" s="43"/>
      <c r="DD17" s="78"/>
      <c r="DE17" s="43"/>
      <c r="DF17" s="43"/>
      <c r="DG17" s="48" t="s">
        <v>128</v>
      </c>
      <c r="DH17" s="48" t="s">
        <v>128</v>
      </c>
      <c r="DI17" s="85" t="str">
        <f>+ OFF 30 DIAS SIN VENTA</f>
        <v>#ERROR!</v>
      </c>
      <c r="DJ17" s="51"/>
      <c r="DK17" s="48" t="b">
        <v>0</v>
      </c>
      <c r="DL17" s="50" t="s">
        <v>130</v>
      </c>
      <c r="DM17" s="50" t="s">
        <v>131</v>
      </c>
      <c r="DN17" s="50" t="s">
        <v>132</v>
      </c>
      <c r="DO17" s="49">
        <v>0.92</v>
      </c>
      <c r="DP17" s="48" t="s">
        <v>128</v>
      </c>
      <c r="DQ17" s="86" t="str">
        <f>+ OFF 30 DIAS SIN VENTA</f>
        <v>#ERROR!</v>
      </c>
      <c r="DR17" s="51"/>
      <c r="DS17" s="48" t="s">
        <v>134</v>
      </c>
    </row>
    <row r="18">
      <c r="A18" s="23" t="s">
        <v>118</v>
      </c>
      <c r="B18" s="24">
        <v>3.0</v>
      </c>
      <c r="C18" s="23" t="s">
        <v>119</v>
      </c>
      <c r="D18" s="24">
        <v>626041.0</v>
      </c>
      <c r="E18" s="23" t="s">
        <v>135</v>
      </c>
      <c r="F18" s="23" t="s">
        <v>186</v>
      </c>
      <c r="G18" s="23" t="s">
        <v>187</v>
      </c>
      <c r="H18" s="24">
        <v>1130.0</v>
      </c>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7"/>
      <c r="BU18" s="26"/>
      <c r="BV18" s="26"/>
      <c r="BW18" s="26"/>
      <c r="BX18" s="24">
        <v>1.0</v>
      </c>
      <c r="BY18" s="24" t="s">
        <v>123</v>
      </c>
      <c r="BZ18" s="87">
        <v>1.0</v>
      </c>
      <c r="CA18" s="72"/>
      <c r="CB18" s="82"/>
      <c r="CC18" s="31"/>
      <c r="CD18" s="28">
        <v>1.0</v>
      </c>
      <c r="CE18" s="88" t="s">
        <v>185</v>
      </c>
      <c r="CF18" s="33"/>
      <c r="CG18" s="34">
        <v>0.0</v>
      </c>
      <c r="CH18" s="89"/>
      <c r="CI18" s="36">
        <v>0.0</v>
      </c>
      <c r="CJ18" s="36">
        <v>2663.0</v>
      </c>
      <c r="CK18" s="37">
        <v>-24.0</v>
      </c>
      <c r="CL18" s="36">
        <v>2639.0</v>
      </c>
      <c r="CM18" s="38">
        <v>0.0</v>
      </c>
      <c r="CN18" s="36">
        <v>0.0</v>
      </c>
      <c r="CO18" s="39">
        <v>0.0</v>
      </c>
      <c r="CP18" s="40">
        <v>0.0</v>
      </c>
      <c r="CQ18" s="36">
        <v>0.0</v>
      </c>
      <c r="CR18" s="36">
        <v>0.0</v>
      </c>
      <c r="CS18" s="36">
        <v>0.0</v>
      </c>
      <c r="CT18" s="41"/>
      <c r="CU18" s="42"/>
      <c r="CV18" s="43"/>
      <c r="CW18" s="44">
        <v>1.0</v>
      </c>
      <c r="CX18" s="44">
        <v>1.0</v>
      </c>
      <c r="CY18" s="44">
        <v>0.1</v>
      </c>
      <c r="CZ18" s="45"/>
      <c r="DA18" s="43"/>
      <c r="DB18" s="44">
        <v>0.0</v>
      </c>
      <c r="DC18" s="43"/>
      <c r="DD18" s="78"/>
      <c r="DE18" s="43"/>
      <c r="DF18" s="43"/>
      <c r="DG18" s="48" t="s">
        <v>128</v>
      </c>
      <c r="DH18" s="48" t="s">
        <v>131</v>
      </c>
      <c r="DI18" s="48" t="s">
        <v>188</v>
      </c>
      <c r="DJ18" s="49">
        <v>1.0</v>
      </c>
      <c r="DK18" s="48" t="b">
        <v>0</v>
      </c>
      <c r="DL18" s="50" t="s">
        <v>130</v>
      </c>
      <c r="DM18" s="50" t="s">
        <v>131</v>
      </c>
      <c r="DN18" s="50" t="s">
        <v>132</v>
      </c>
      <c r="DO18" s="49">
        <v>0.92</v>
      </c>
      <c r="DP18" s="51"/>
      <c r="DQ18" s="48" t="s">
        <v>188</v>
      </c>
      <c r="DR18" s="51"/>
      <c r="DS18" s="48" t="s">
        <v>134</v>
      </c>
    </row>
    <row r="19">
      <c r="A19" s="52" t="s">
        <v>118</v>
      </c>
      <c r="B19" s="53">
        <v>3.0</v>
      </c>
      <c r="C19" s="52" t="s">
        <v>119</v>
      </c>
      <c r="D19" s="53">
        <v>648803.0</v>
      </c>
      <c r="E19" s="52" t="s">
        <v>189</v>
      </c>
      <c r="F19" s="52" t="s">
        <v>190</v>
      </c>
      <c r="G19" s="52" t="s">
        <v>191</v>
      </c>
      <c r="H19" s="53">
        <v>1130.0</v>
      </c>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81"/>
      <c r="BU19" s="54"/>
      <c r="BV19" s="54"/>
      <c r="BW19" s="54"/>
      <c r="BX19" s="53">
        <v>3000.0</v>
      </c>
      <c r="BY19" s="53" t="s">
        <v>123</v>
      </c>
      <c r="BZ19" s="58">
        <v>3000.0</v>
      </c>
      <c r="CA19" s="72"/>
      <c r="CB19" s="82"/>
      <c r="CC19" s="31"/>
      <c r="CD19" s="58">
        <v>3000.0</v>
      </c>
      <c r="CE19" s="83" t="s">
        <v>185</v>
      </c>
      <c r="CF19" s="60"/>
      <c r="CG19" s="61">
        <v>0.0</v>
      </c>
      <c r="CH19" s="84"/>
      <c r="CI19" s="63">
        <v>0.0</v>
      </c>
      <c r="CJ19" s="63">
        <v>2663.0</v>
      </c>
      <c r="CK19" s="64">
        <v>-24.0</v>
      </c>
      <c r="CL19" s="63">
        <v>2639.0</v>
      </c>
      <c r="CM19" s="65">
        <v>0.0</v>
      </c>
      <c r="CN19" s="63">
        <v>0.0</v>
      </c>
      <c r="CO19" s="66">
        <v>0.0</v>
      </c>
      <c r="CP19" s="67">
        <v>0.0</v>
      </c>
      <c r="CQ19" s="63">
        <v>0.0</v>
      </c>
      <c r="CR19" s="63">
        <v>0.0</v>
      </c>
      <c r="CS19" s="63">
        <v>0.0</v>
      </c>
      <c r="CT19" s="68"/>
      <c r="CU19" s="69"/>
      <c r="CV19" s="70"/>
      <c r="CW19" s="71">
        <v>10.0</v>
      </c>
      <c r="CX19" s="71" t="s">
        <v>138</v>
      </c>
      <c r="CY19" s="71" t="s">
        <v>139</v>
      </c>
      <c r="CZ19" s="45"/>
      <c r="DA19" s="43"/>
      <c r="DB19" s="44">
        <v>0.0</v>
      </c>
      <c r="DC19" s="46" t="s">
        <v>127</v>
      </c>
      <c r="DD19" s="47">
        <v>46228.0</v>
      </c>
      <c r="DE19" s="43"/>
      <c r="DF19" s="43"/>
      <c r="DG19" s="48" t="s">
        <v>128</v>
      </c>
      <c r="DH19" s="48" t="s">
        <v>128</v>
      </c>
      <c r="DI19" s="48" t="s">
        <v>128</v>
      </c>
      <c r="DJ19" s="49">
        <v>0.0</v>
      </c>
      <c r="DK19" s="48" t="b">
        <v>0</v>
      </c>
      <c r="DL19" s="50" t="s">
        <v>130</v>
      </c>
      <c r="DM19" s="50" t="s">
        <v>131</v>
      </c>
      <c r="DN19" s="50" t="s">
        <v>132</v>
      </c>
      <c r="DO19" s="49">
        <v>0.92</v>
      </c>
      <c r="DP19" s="48" t="s">
        <v>128</v>
      </c>
      <c r="DQ19" s="48" t="s">
        <v>128</v>
      </c>
      <c r="DR19" s="51"/>
      <c r="DS19" s="48" t="s">
        <v>134</v>
      </c>
    </row>
    <row r="20">
      <c r="A20" s="23" t="s">
        <v>118</v>
      </c>
      <c r="B20" s="24">
        <v>3.0</v>
      </c>
      <c r="C20" s="23" t="s">
        <v>119</v>
      </c>
      <c r="D20" s="24">
        <v>536832.0</v>
      </c>
      <c r="E20" s="23" t="s">
        <v>158</v>
      </c>
      <c r="F20" s="23" t="s">
        <v>192</v>
      </c>
      <c r="G20" s="23" t="s">
        <v>193</v>
      </c>
      <c r="H20" s="24">
        <v>1130.0</v>
      </c>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7"/>
      <c r="BU20" s="26"/>
      <c r="BV20" s="26"/>
      <c r="BW20" s="26"/>
      <c r="BX20" s="24">
        <v>1.0</v>
      </c>
      <c r="BY20" s="24" t="s">
        <v>123</v>
      </c>
      <c r="BZ20" s="87">
        <v>1.0</v>
      </c>
      <c r="CA20" s="72"/>
      <c r="CB20" s="82"/>
      <c r="CC20" s="31"/>
      <c r="CD20" s="28">
        <v>1.0</v>
      </c>
      <c r="CE20" s="88" t="s">
        <v>185</v>
      </c>
      <c r="CF20" s="33"/>
      <c r="CG20" s="34">
        <v>0.0</v>
      </c>
      <c r="CH20" s="89"/>
      <c r="CI20" s="36">
        <v>0.0</v>
      </c>
      <c r="CJ20" s="36">
        <v>2663.0</v>
      </c>
      <c r="CK20" s="37">
        <v>-24.0</v>
      </c>
      <c r="CL20" s="36">
        <v>2639.0</v>
      </c>
      <c r="CM20" s="38">
        <v>0.0</v>
      </c>
      <c r="CN20" s="36">
        <v>0.0</v>
      </c>
      <c r="CO20" s="39">
        <v>0.0</v>
      </c>
      <c r="CP20" s="40">
        <v>0.0</v>
      </c>
      <c r="CQ20" s="36">
        <v>0.0</v>
      </c>
      <c r="CR20" s="36">
        <v>0.0</v>
      </c>
      <c r="CS20" s="36">
        <v>0.0</v>
      </c>
      <c r="CT20" s="41"/>
      <c r="CU20" s="42"/>
      <c r="CV20" s="43"/>
      <c r="CW20" s="44">
        <v>1.0</v>
      </c>
      <c r="CX20" s="44">
        <v>1.0</v>
      </c>
      <c r="CY20" s="44">
        <v>0.1</v>
      </c>
      <c r="CZ20" s="45"/>
      <c r="DA20" s="43"/>
      <c r="DB20" s="44">
        <v>0.0</v>
      </c>
      <c r="DC20" s="43"/>
      <c r="DD20" s="78"/>
      <c r="DE20" s="43"/>
      <c r="DF20" s="43"/>
      <c r="DG20" s="48" t="s">
        <v>128</v>
      </c>
      <c r="DH20" s="48" t="s">
        <v>131</v>
      </c>
      <c r="DI20" s="48" t="s">
        <v>188</v>
      </c>
      <c r="DJ20" s="49">
        <v>1.0</v>
      </c>
      <c r="DK20" s="48" t="b">
        <v>0</v>
      </c>
      <c r="DL20" s="50" t="s">
        <v>130</v>
      </c>
      <c r="DM20" s="50" t="s">
        <v>131</v>
      </c>
      <c r="DN20" s="50" t="s">
        <v>132</v>
      </c>
      <c r="DO20" s="49">
        <v>0.92</v>
      </c>
      <c r="DP20" s="51"/>
      <c r="DQ20" s="48" t="s">
        <v>188</v>
      </c>
      <c r="DR20" s="51"/>
      <c r="DS20" s="48" t="s">
        <v>134</v>
      </c>
    </row>
    <row r="21">
      <c r="A21" s="52" t="s">
        <v>118</v>
      </c>
      <c r="B21" s="53">
        <v>3.0</v>
      </c>
      <c r="C21" s="52" t="s">
        <v>119</v>
      </c>
      <c r="D21" s="53">
        <v>640888.0</v>
      </c>
      <c r="E21" s="52" t="s">
        <v>161</v>
      </c>
      <c r="F21" s="52" t="s">
        <v>194</v>
      </c>
      <c r="G21" s="52" t="s">
        <v>195</v>
      </c>
      <c r="H21" s="53">
        <v>1130.0</v>
      </c>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81"/>
      <c r="BU21" s="54"/>
      <c r="BV21" s="54"/>
      <c r="BW21" s="54"/>
      <c r="BX21" s="53">
        <v>2400.0</v>
      </c>
      <c r="BY21" s="53" t="s">
        <v>123</v>
      </c>
      <c r="BZ21" s="58">
        <v>2400.0</v>
      </c>
      <c r="CA21" s="72"/>
      <c r="CB21" s="82"/>
      <c r="CC21" s="31"/>
      <c r="CD21" s="58">
        <v>2400.0</v>
      </c>
      <c r="CE21" s="83" t="s">
        <v>185</v>
      </c>
      <c r="CF21" s="60"/>
      <c r="CG21" s="61">
        <v>0.0</v>
      </c>
      <c r="CH21" s="84"/>
      <c r="CI21" s="63">
        <v>0.0</v>
      </c>
      <c r="CJ21" s="63">
        <v>2663.0</v>
      </c>
      <c r="CK21" s="64">
        <v>-24.0</v>
      </c>
      <c r="CL21" s="63">
        <v>2639.0</v>
      </c>
      <c r="CM21" s="65">
        <v>0.0</v>
      </c>
      <c r="CN21" s="63">
        <v>0.0</v>
      </c>
      <c r="CO21" s="66">
        <v>0.0</v>
      </c>
      <c r="CP21" s="67">
        <v>0.0</v>
      </c>
      <c r="CQ21" s="63">
        <v>0.0</v>
      </c>
      <c r="CR21" s="63">
        <v>0.0</v>
      </c>
      <c r="CS21" s="63">
        <v>0.0</v>
      </c>
      <c r="CT21" s="68"/>
      <c r="CU21" s="69"/>
      <c r="CV21" s="70"/>
      <c r="CW21" s="71">
        <v>8.0</v>
      </c>
      <c r="CX21" s="71" t="s">
        <v>125</v>
      </c>
      <c r="CY21" s="71" t="s">
        <v>126</v>
      </c>
      <c r="CZ21" s="45"/>
      <c r="DA21" s="43"/>
      <c r="DB21" s="44">
        <v>0.0</v>
      </c>
      <c r="DC21" s="43"/>
      <c r="DD21" s="78"/>
      <c r="DE21" s="43"/>
      <c r="DF21" s="43"/>
      <c r="DG21" s="48" t="s">
        <v>128</v>
      </c>
      <c r="DH21" s="48" t="s">
        <v>128</v>
      </c>
      <c r="DI21" s="48" t="s">
        <v>196</v>
      </c>
      <c r="DJ21" s="49">
        <v>1.0</v>
      </c>
      <c r="DK21" s="48" t="b">
        <v>0</v>
      </c>
      <c r="DL21" s="50" t="s">
        <v>130</v>
      </c>
      <c r="DM21" s="50" t="s">
        <v>131</v>
      </c>
      <c r="DN21" s="50" t="s">
        <v>132</v>
      </c>
      <c r="DO21" s="49">
        <v>0.92</v>
      </c>
      <c r="DP21" s="51"/>
      <c r="DQ21" s="48" t="s">
        <v>197</v>
      </c>
      <c r="DR21" s="51"/>
      <c r="DS21" s="48" t="s">
        <v>134</v>
      </c>
    </row>
    <row r="22">
      <c r="A22" s="23" t="s">
        <v>118</v>
      </c>
      <c r="B22" s="24">
        <v>3.0</v>
      </c>
      <c r="C22" s="23" t="s">
        <v>119</v>
      </c>
      <c r="D22" s="24">
        <v>648801.0</v>
      </c>
      <c r="E22" s="23" t="s">
        <v>198</v>
      </c>
      <c r="F22" s="23" t="s">
        <v>199</v>
      </c>
      <c r="G22" s="23" t="s">
        <v>200</v>
      </c>
      <c r="H22" s="24">
        <v>33020.0</v>
      </c>
      <c r="I22" s="24">
        <v>13.0</v>
      </c>
      <c r="J22" s="24">
        <v>0.0</v>
      </c>
      <c r="K22" s="24">
        <v>0.0</v>
      </c>
      <c r="L22" s="24">
        <v>0.0</v>
      </c>
      <c r="M22" s="24">
        <v>0.0</v>
      </c>
      <c r="N22" s="24">
        <v>0.0</v>
      </c>
      <c r="O22" s="24">
        <v>0.0</v>
      </c>
      <c r="P22" s="24">
        <v>0.0</v>
      </c>
      <c r="Q22" s="24">
        <v>0.0</v>
      </c>
      <c r="R22" s="24">
        <v>1.0</v>
      </c>
      <c r="S22" s="24">
        <v>0.0</v>
      </c>
      <c r="T22" s="24">
        <v>0.0</v>
      </c>
      <c r="U22" s="24">
        <v>1.0</v>
      </c>
      <c r="V22" s="24">
        <v>1.0</v>
      </c>
      <c r="W22" s="24">
        <v>0.0</v>
      </c>
      <c r="X22" s="24">
        <v>0.0</v>
      </c>
      <c r="Y22" s="24">
        <v>2.0</v>
      </c>
      <c r="Z22" s="24">
        <v>0.0</v>
      </c>
      <c r="AA22" s="24">
        <v>0.0</v>
      </c>
      <c r="AB22" s="24">
        <v>2.0</v>
      </c>
      <c r="AC22" s="24">
        <v>5.0</v>
      </c>
      <c r="AD22" s="24">
        <v>0.0</v>
      </c>
      <c r="AE22" s="24">
        <v>0.0</v>
      </c>
      <c r="AF22" s="24">
        <v>1.0</v>
      </c>
      <c r="AG22" s="24">
        <v>0.0</v>
      </c>
      <c r="AH22" s="24">
        <v>0.0</v>
      </c>
      <c r="AI22" s="24">
        <v>0.0</v>
      </c>
      <c r="AJ22" s="24">
        <v>0.0</v>
      </c>
      <c r="AK22" s="24">
        <v>0.0</v>
      </c>
      <c r="AL22" s="24">
        <v>0.0</v>
      </c>
      <c r="AM22" s="24">
        <v>0.0</v>
      </c>
      <c r="AN22" s="24">
        <v>0.0</v>
      </c>
      <c r="AO22" s="25">
        <v>20.7</v>
      </c>
      <c r="AP22" s="26"/>
      <c r="AQ22" s="26"/>
      <c r="AR22" s="26"/>
      <c r="AS22" s="26"/>
      <c r="AT22" s="26"/>
      <c r="AU22" s="26"/>
      <c r="AV22" s="26"/>
      <c r="AW22" s="26"/>
      <c r="AX22" s="24">
        <v>48.23</v>
      </c>
      <c r="AY22" s="26"/>
      <c r="AZ22" s="26"/>
      <c r="BA22" s="24">
        <v>13.1</v>
      </c>
      <c r="BB22" s="24">
        <v>15.92</v>
      </c>
      <c r="BC22" s="26"/>
      <c r="BD22" s="26"/>
      <c r="BE22" s="24">
        <v>17.8</v>
      </c>
      <c r="BF22" s="26"/>
      <c r="BG22" s="26"/>
      <c r="BH22" s="24">
        <v>19.38</v>
      </c>
      <c r="BI22" s="24">
        <v>18.96</v>
      </c>
      <c r="BJ22" s="26"/>
      <c r="BK22" s="26"/>
      <c r="BL22" s="24">
        <v>22.17</v>
      </c>
      <c r="BM22" s="26"/>
      <c r="BN22" s="26"/>
      <c r="BO22" s="26"/>
      <c r="BP22" s="24">
        <v>1.33</v>
      </c>
      <c r="BQ22" s="24">
        <v>4.97</v>
      </c>
      <c r="BR22" s="24">
        <v>6.1</v>
      </c>
      <c r="BS22" s="25">
        <v>5.25</v>
      </c>
      <c r="BT22" s="56">
        <v>24.8</v>
      </c>
      <c r="BU22" s="25">
        <v>8.0</v>
      </c>
      <c r="BV22" s="25">
        <v>9.08</v>
      </c>
      <c r="BW22" s="26"/>
      <c r="BX22" s="24">
        <v>2100.0</v>
      </c>
      <c r="BY22" s="24" t="s">
        <v>123</v>
      </c>
      <c r="BZ22" s="28">
        <v>1800.0</v>
      </c>
      <c r="CA22" s="29" t="s">
        <v>124</v>
      </c>
      <c r="CB22" s="30">
        <v>2100.0</v>
      </c>
      <c r="CC22" s="31"/>
      <c r="CD22" s="28">
        <v>2100.0</v>
      </c>
      <c r="CE22" s="32" t="e">
        <v>#REF!</v>
      </c>
      <c r="CF22" s="33"/>
      <c r="CG22" s="34">
        <v>0.0</v>
      </c>
      <c r="CH22" s="35">
        <v>0.0</v>
      </c>
      <c r="CI22" s="36">
        <v>13.0</v>
      </c>
      <c r="CJ22" s="36">
        <v>3637.0</v>
      </c>
      <c r="CK22" s="37">
        <v>-150.0</v>
      </c>
      <c r="CL22" s="36">
        <v>3487.0</v>
      </c>
      <c r="CM22" s="38">
        <v>269.0</v>
      </c>
      <c r="CN22" s="36">
        <v>0.0</v>
      </c>
      <c r="CO22" s="39">
        <v>20.7</v>
      </c>
      <c r="CP22" s="40">
        <v>0.0</v>
      </c>
      <c r="CQ22" s="36">
        <v>17.0</v>
      </c>
      <c r="CR22" s="36">
        <v>17.0</v>
      </c>
      <c r="CS22" s="36">
        <v>68.0</v>
      </c>
      <c r="CT22" s="41"/>
      <c r="CU22" s="42"/>
      <c r="CV22" s="43"/>
      <c r="CW22" s="44">
        <v>7.0</v>
      </c>
      <c r="CX22" s="44" t="s">
        <v>201</v>
      </c>
      <c r="CY22" s="44" t="s">
        <v>202</v>
      </c>
      <c r="CZ22" s="45"/>
      <c r="DA22" s="44">
        <v>2100.0</v>
      </c>
      <c r="DB22" s="44">
        <v>0.0</v>
      </c>
      <c r="DC22" s="46" t="s">
        <v>127</v>
      </c>
      <c r="DD22" s="47">
        <v>46245.0</v>
      </c>
      <c r="DE22" s="43"/>
      <c r="DF22" s="43"/>
      <c r="DG22" s="48" t="s">
        <v>128</v>
      </c>
      <c r="DH22" s="48" t="s">
        <v>128</v>
      </c>
      <c r="DI22" s="48" t="s">
        <v>128</v>
      </c>
      <c r="DJ22" s="49">
        <v>1.0</v>
      </c>
      <c r="DK22" s="48" t="b">
        <v>0</v>
      </c>
      <c r="DL22" s="50" t="s">
        <v>203</v>
      </c>
      <c r="DM22" s="50" t="s">
        <v>131</v>
      </c>
      <c r="DN22" s="50" t="s">
        <v>204</v>
      </c>
      <c r="DO22" s="49">
        <v>0.89</v>
      </c>
      <c r="DP22" s="48" t="s">
        <v>128</v>
      </c>
      <c r="DQ22" s="48" t="s">
        <v>128</v>
      </c>
      <c r="DR22" s="51"/>
      <c r="DS22" s="48" t="s">
        <v>134</v>
      </c>
    </row>
    <row r="23">
      <c r="A23" s="52" t="s">
        <v>118</v>
      </c>
      <c r="B23" s="53">
        <v>3.0</v>
      </c>
      <c r="C23" s="52" t="s">
        <v>119</v>
      </c>
      <c r="D23" s="53">
        <v>642178.0</v>
      </c>
      <c r="E23" s="52" t="s">
        <v>205</v>
      </c>
      <c r="F23" s="52" t="s">
        <v>206</v>
      </c>
      <c r="G23" s="52" t="s">
        <v>207</v>
      </c>
      <c r="H23" s="53">
        <v>33020.0</v>
      </c>
      <c r="I23" s="53">
        <v>10.0</v>
      </c>
      <c r="J23" s="53">
        <v>0.0</v>
      </c>
      <c r="K23" s="53">
        <v>0.0</v>
      </c>
      <c r="L23" s="53">
        <v>0.0</v>
      </c>
      <c r="M23" s="53">
        <v>0.0</v>
      </c>
      <c r="N23" s="53">
        <v>0.0</v>
      </c>
      <c r="O23" s="53">
        <v>1.0</v>
      </c>
      <c r="P23" s="53">
        <v>0.0</v>
      </c>
      <c r="Q23" s="53">
        <v>0.0</v>
      </c>
      <c r="R23" s="53">
        <v>0.0</v>
      </c>
      <c r="S23" s="53">
        <v>1.0</v>
      </c>
      <c r="T23" s="53">
        <v>1.0</v>
      </c>
      <c r="U23" s="53">
        <v>0.0</v>
      </c>
      <c r="V23" s="53">
        <v>0.0</v>
      </c>
      <c r="W23" s="53">
        <v>1.0</v>
      </c>
      <c r="X23" s="53">
        <v>0.0</v>
      </c>
      <c r="Y23" s="53">
        <v>0.0</v>
      </c>
      <c r="Z23" s="53">
        <v>0.0</v>
      </c>
      <c r="AA23" s="53">
        <v>1.0</v>
      </c>
      <c r="AB23" s="53">
        <v>0.0</v>
      </c>
      <c r="AC23" s="53">
        <v>0.0</v>
      </c>
      <c r="AD23" s="53">
        <v>1.0</v>
      </c>
      <c r="AE23" s="53">
        <v>0.0</v>
      </c>
      <c r="AF23" s="53">
        <v>0.0</v>
      </c>
      <c r="AG23" s="53">
        <v>1.0</v>
      </c>
      <c r="AH23" s="53">
        <v>1.0</v>
      </c>
      <c r="AI23" s="53">
        <v>0.0</v>
      </c>
      <c r="AJ23" s="53">
        <v>2.0</v>
      </c>
      <c r="AK23" s="53">
        <v>0.0</v>
      </c>
      <c r="AL23" s="53">
        <v>0.0</v>
      </c>
      <c r="AM23" s="53">
        <v>0.0</v>
      </c>
      <c r="AN23" s="53">
        <v>0.0</v>
      </c>
      <c r="AO23" s="25">
        <v>20.3</v>
      </c>
      <c r="AP23" s="54"/>
      <c r="AQ23" s="54"/>
      <c r="AR23" s="54"/>
      <c r="AS23" s="54"/>
      <c r="AT23" s="54"/>
      <c r="AU23" s="53">
        <v>11.4</v>
      </c>
      <c r="AV23" s="54"/>
      <c r="AW23" s="54"/>
      <c r="AX23" s="54"/>
      <c r="AY23" s="53">
        <v>15.12</v>
      </c>
      <c r="AZ23" s="53">
        <v>17.88</v>
      </c>
      <c r="BA23" s="54"/>
      <c r="BB23" s="54"/>
      <c r="BC23" s="53">
        <v>17.0</v>
      </c>
      <c r="BD23" s="54"/>
      <c r="BE23" s="54"/>
      <c r="BF23" s="54"/>
      <c r="BG23" s="53">
        <v>14.77</v>
      </c>
      <c r="BH23" s="54"/>
      <c r="BI23" s="54"/>
      <c r="BJ23" s="53">
        <v>17.6</v>
      </c>
      <c r="BK23" s="54"/>
      <c r="BL23" s="54"/>
      <c r="BM23" s="53">
        <v>24.45</v>
      </c>
      <c r="BN23" s="53">
        <v>39.85</v>
      </c>
      <c r="BO23" s="53">
        <v>0.37</v>
      </c>
      <c r="BP23" s="53">
        <v>1.19</v>
      </c>
      <c r="BQ23" s="53">
        <v>4.87</v>
      </c>
      <c r="BR23" s="53">
        <v>5.86</v>
      </c>
      <c r="BS23" s="25">
        <v>4.97</v>
      </c>
      <c r="BT23" s="56">
        <v>22.0</v>
      </c>
      <c r="BU23" s="25">
        <v>5.5</v>
      </c>
      <c r="BV23" s="25">
        <v>10.51</v>
      </c>
      <c r="BW23" s="54"/>
      <c r="BX23" s="53">
        <v>2700.0</v>
      </c>
      <c r="BY23" s="53" t="s">
        <v>123</v>
      </c>
      <c r="BZ23" s="58">
        <v>2400.0</v>
      </c>
      <c r="CA23" s="29" t="s">
        <v>124</v>
      </c>
      <c r="CB23" s="30">
        <v>2700.0</v>
      </c>
      <c r="CC23" s="31"/>
      <c r="CD23" s="58">
        <v>2700.0</v>
      </c>
      <c r="CE23" s="59" t="e">
        <v>#REF!</v>
      </c>
      <c r="CF23" s="60"/>
      <c r="CG23" s="61">
        <v>0.0</v>
      </c>
      <c r="CH23" s="62">
        <v>0.0</v>
      </c>
      <c r="CI23" s="63">
        <v>10.0</v>
      </c>
      <c r="CJ23" s="63">
        <v>3637.0</v>
      </c>
      <c r="CK23" s="64">
        <v>-150.0</v>
      </c>
      <c r="CL23" s="63">
        <v>3487.0</v>
      </c>
      <c r="CM23" s="65">
        <v>203.0</v>
      </c>
      <c r="CN23" s="63">
        <v>0.0</v>
      </c>
      <c r="CO23" s="66">
        <v>20.3</v>
      </c>
      <c r="CP23" s="67">
        <v>0.0</v>
      </c>
      <c r="CQ23" s="63">
        <v>12.0</v>
      </c>
      <c r="CR23" s="63">
        <v>12.0</v>
      </c>
      <c r="CS23" s="63">
        <v>50.0</v>
      </c>
      <c r="CT23" s="68"/>
      <c r="CU23" s="69"/>
      <c r="CV23" s="70"/>
      <c r="CW23" s="71">
        <v>9.0</v>
      </c>
      <c r="CX23" s="71" t="s">
        <v>143</v>
      </c>
      <c r="CY23" s="71" t="s">
        <v>144</v>
      </c>
      <c r="CZ23" s="45"/>
      <c r="DA23" s="44">
        <v>2700.0</v>
      </c>
      <c r="DB23" s="44">
        <v>0.0</v>
      </c>
      <c r="DC23" s="43"/>
      <c r="DD23" s="78"/>
      <c r="DE23" s="43"/>
      <c r="DF23" s="43"/>
      <c r="DG23" s="48" t="s">
        <v>128</v>
      </c>
      <c r="DH23" s="48" t="s">
        <v>128</v>
      </c>
      <c r="DI23" s="48" t="s">
        <v>128</v>
      </c>
      <c r="DJ23" s="49">
        <v>1.0</v>
      </c>
      <c r="DK23" s="48" t="b">
        <v>0</v>
      </c>
      <c r="DL23" s="50" t="s">
        <v>203</v>
      </c>
      <c r="DM23" s="50" t="s">
        <v>131</v>
      </c>
      <c r="DN23" s="50" t="s">
        <v>204</v>
      </c>
      <c r="DO23" s="49">
        <v>0.89</v>
      </c>
      <c r="DP23" s="48" t="s">
        <v>128</v>
      </c>
      <c r="DQ23" s="48" t="s">
        <v>128</v>
      </c>
      <c r="DR23" s="51"/>
      <c r="DS23" s="48" t="s">
        <v>134</v>
      </c>
    </row>
    <row r="24">
      <c r="A24" s="23" t="s">
        <v>118</v>
      </c>
      <c r="B24" s="24">
        <v>3.0</v>
      </c>
      <c r="C24" s="23" t="s">
        <v>119</v>
      </c>
      <c r="D24" s="24">
        <v>558730.0</v>
      </c>
      <c r="E24" s="23" t="s">
        <v>148</v>
      </c>
      <c r="F24" s="23" t="s">
        <v>208</v>
      </c>
      <c r="G24" s="23" t="s">
        <v>209</v>
      </c>
      <c r="H24" s="24">
        <v>33020.0</v>
      </c>
      <c r="I24" s="24">
        <v>26.0</v>
      </c>
      <c r="J24" s="24">
        <v>0.0</v>
      </c>
      <c r="K24" s="24">
        <v>0.0</v>
      </c>
      <c r="L24" s="24">
        <v>2.0</v>
      </c>
      <c r="M24" s="24">
        <v>0.0</v>
      </c>
      <c r="N24" s="24">
        <v>0.0</v>
      </c>
      <c r="O24" s="24">
        <v>0.0</v>
      </c>
      <c r="P24" s="24">
        <v>0.0</v>
      </c>
      <c r="Q24" s="24">
        <v>0.0</v>
      </c>
      <c r="R24" s="24">
        <v>0.0</v>
      </c>
      <c r="S24" s="24">
        <v>0.0</v>
      </c>
      <c r="T24" s="24">
        <v>1.0</v>
      </c>
      <c r="U24" s="24">
        <v>1.0</v>
      </c>
      <c r="V24" s="24">
        <v>1.0</v>
      </c>
      <c r="W24" s="24">
        <v>3.0</v>
      </c>
      <c r="X24" s="24">
        <v>1.0</v>
      </c>
      <c r="Y24" s="24">
        <v>1.0</v>
      </c>
      <c r="Z24" s="24">
        <v>3.0</v>
      </c>
      <c r="AA24" s="24">
        <v>1.0</v>
      </c>
      <c r="AB24" s="24">
        <v>1.0</v>
      </c>
      <c r="AC24" s="24">
        <v>1.0</v>
      </c>
      <c r="AD24" s="24">
        <v>1.0</v>
      </c>
      <c r="AE24" s="24">
        <v>2.0</v>
      </c>
      <c r="AF24" s="24">
        <v>2.0</v>
      </c>
      <c r="AG24" s="24">
        <v>0.0</v>
      </c>
      <c r="AH24" s="24">
        <v>2.0</v>
      </c>
      <c r="AI24" s="24">
        <v>0.0</v>
      </c>
      <c r="AJ24" s="24">
        <v>1.0</v>
      </c>
      <c r="AK24" s="24">
        <v>0.0</v>
      </c>
      <c r="AL24" s="24">
        <v>0.0</v>
      </c>
      <c r="AM24" s="24">
        <v>2.0</v>
      </c>
      <c r="AN24" s="24">
        <v>0.0</v>
      </c>
      <c r="AO24" s="25">
        <v>17.7</v>
      </c>
      <c r="AP24" s="26"/>
      <c r="AQ24" s="26"/>
      <c r="AR24" s="24">
        <v>12.36</v>
      </c>
      <c r="AS24" s="26"/>
      <c r="AT24" s="26"/>
      <c r="AU24" s="26"/>
      <c r="AV24" s="26"/>
      <c r="AW24" s="26"/>
      <c r="AX24" s="26"/>
      <c r="AY24" s="26"/>
      <c r="AZ24" s="24">
        <v>14.38</v>
      </c>
      <c r="BA24" s="24">
        <v>20.4</v>
      </c>
      <c r="BB24" s="24">
        <v>11.6</v>
      </c>
      <c r="BC24" s="24">
        <v>20.33</v>
      </c>
      <c r="BD24" s="24">
        <v>17.65</v>
      </c>
      <c r="BE24" s="24">
        <v>11.97</v>
      </c>
      <c r="BF24" s="24">
        <v>14.77</v>
      </c>
      <c r="BG24" s="24">
        <v>18.23</v>
      </c>
      <c r="BH24" s="24">
        <v>12.07</v>
      </c>
      <c r="BI24" s="24">
        <v>20.17</v>
      </c>
      <c r="BJ24" s="24">
        <v>14.77</v>
      </c>
      <c r="BK24" s="24">
        <v>20.49</v>
      </c>
      <c r="BL24" s="24">
        <v>16.93</v>
      </c>
      <c r="BM24" s="26"/>
      <c r="BN24" s="24">
        <v>23.53</v>
      </c>
      <c r="BO24" s="24">
        <v>0.37</v>
      </c>
      <c r="BP24" s="24">
        <v>1.28</v>
      </c>
      <c r="BQ24" s="24">
        <v>5.47</v>
      </c>
      <c r="BR24" s="24">
        <v>6.54</v>
      </c>
      <c r="BS24" s="25">
        <v>4.67</v>
      </c>
      <c r="BT24" s="56">
        <v>20.2</v>
      </c>
      <c r="BU24" s="25">
        <v>7.4</v>
      </c>
      <c r="BV24" s="55">
        <v>6.28</v>
      </c>
      <c r="BW24" s="26"/>
      <c r="BX24" s="24">
        <v>2700.0</v>
      </c>
      <c r="BY24" s="24" t="s">
        <v>123</v>
      </c>
      <c r="BZ24" s="28">
        <v>2400.0</v>
      </c>
      <c r="CA24" s="29" t="s">
        <v>124</v>
      </c>
      <c r="CB24" s="30">
        <v>3000.0</v>
      </c>
      <c r="CC24" s="31"/>
      <c r="CD24" s="28">
        <v>3000.0</v>
      </c>
      <c r="CE24" s="32" t="e">
        <v>#REF!</v>
      </c>
      <c r="CF24" s="73">
        <f t="shared" ref="CF24:CF25" si="1">+300</f>
        <v>300</v>
      </c>
      <c r="CG24" s="74">
        <f>+3</f>
        <v>3</v>
      </c>
      <c r="CH24" s="35">
        <v>0.12</v>
      </c>
      <c r="CI24" s="36">
        <v>29.0</v>
      </c>
      <c r="CJ24" s="36">
        <v>3637.0</v>
      </c>
      <c r="CK24" s="37">
        <v>-150.0</v>
      </c>
      <c r="CL24" s="36">
        <v>3487.0</v>
      </c>
      <c r="CM24" s="38">
        <v>460.0</v>
      </c>
      <c r="CN24" s="36">
        <v>-70.0</v>
      </c>
      <c r="CO24" s="39">
        <v>18.3</v>
      </c>
      <c r="CP24" s="40">
        <v>0.6</v>
      </c>
      <c r="CQ24" s="36">
        <v>33.0</v>
      </c>
      <c r="CR24" s="36">
        <v>37.0</v>
      </c>
      <c r="CS24" s="36">
        <v>135.0</v>
      </c>
      <c r="CT24" s="41"/>
      <c r="CU24" s="42"/>
      <c r="CV24" s="43"/>
      <c r="CW24" s="44">
        <v>10.0</v>
      </c>
      <c r="CX24" s="44" t="s">
        <v>138</v>
      </c>
      <c r="CY24" s="44" t="s">
        <v>139</v>
      </c>
      <c r="CZ24" s="76" t="s">
        <v>151</v>
      </c>
      <c r="DA24" s="44">
        <v>3000.0</v>
      </c>
      <c r="DB24" s="44">
        <v>0.0</v>
      </c>
      <c r="DC24" s="46" t="s">
        <v>127</v>
      </c>
      <c r="DD24" s="47">
        <v>46228.0</v>
      </c>
      <c r="DE24" s="43"/>
      <c r="DF24" s="43"/>
      <c r="DG24" s="48" t="s">
        <v>128</v>
      </c>
      <c r="DH24" s="48" t="s">
        <v>128</v>
      </c>
      <c r="DI24" s="48" t="s">
        <v>128</v>
      </c>
      <c r="DJ24" s="49">
        <v>1.0</v>
      </c>
      <c r="DK24" s="48" t="b">
        <v>0</v>
      </c>
      <c r="DL24" s="50" t="s">
        <v>203</v>
      </c>
      <c r="DM24" s="50" t="s">
        <v>131</v>
      </c>
      <c r="DN24" s="50" t="s">
        <v>204</v>
      </c>
      <c r="DO24" s="49">
        <v>0.89</v>
      </c>
      <c r="DP24" s="48" t="s">
        <v>128</v>
      </c>
      <c r="DQ24" s="48" t="s">
        <v>128</v>
      </c>
      <c r="DR24" s="51"/>
      <c r="DS24" s="48" t="s">
        <v>134</v>
      </c>
    </row>
    <row r="25">
      <c r="A25" s="52" t="s">
        <v>118</v>
      </c>
      <c r="B25" s="53">
        <v>3.0</v>
      </c>
      <c r="C25" s="52" t="s">
        <v>119</v>
      </c>
      <c r="D25" s="53">
        <v>641645.0</v>
      </c>
      <c r="E25" s="52" t="s">
        <v>145</v>
      </c>
      <c r="F25" s="52" t="s">
        <v>210</v>
      </c>
      <c r="G25" s="52" t="s">
        <v>211</v>
      </c>
      <c r="H25" s="53">
        <v>33020.0</v>
      </c>
      <c r="I25" s="53">
        <v>14.0</v>
      </c>
      <c r="J25" s="53">
        <v>0.0</v>
      </c>
      <c r="K25" s="53">
        <v>0.0</v>
      </c>
      <c r="L25" s="53">
        <v>1.0</v>
      </c>
      <c r="M25" s="53">
        <v>0.0</v>
      </c>
      <c r="N25" s="53">
        <v>0.0</v>
      </c>
      <c r="O25" s="53">
        <v>1.0</v>
      </c>
      <c r="P25" s="53">
        <v>0.0</v>
      </c>
      <c r="Q25" s="53">
        <v>0.0</v>
      </c>
      <c r="R25" s="53">
        <v>0.0</v>
      </c>
      <c r="S25" s="53">
        <v>2.0</v>
      </c>
      <c r="T25" s="53">
        <v>0.0</v>
      </c>
      <c r="U25" s="53">
        <v>0.0</v>
      </c>
      <c r="V25" s="53">
        <v>1.0</v>
      </c>
      <c r="W25" s="53">
        <v>3.0</v>
      </c>
      <c r="X25" s="53">
        <v>0.0</v>
      </c>
      <c r="Y25" s="53">
        <v>0.0</v>
      </c>
      <c r="Z25" s="53">
        <v>0.0</v>
      </c>
      <c r="AA25" s="53">
        <v>1.0</v>
      </c>
      <c r="AB25" s="53">
        <v>0.0</v>
      </c>
      <c r="AC25" s="53">
        <v>2.0</v>
      </c>
      <c r="AD25" s="53">
        <v>2.0</v>
      </c>
      <c r="AE25" s="53">
        <v>1.0</v>
      </c>
      <c r="AF25" s="53">
        <v>0.0</v>
      </c>
      <c r="AG25" s="53">
        <v>0.0</v>
      </c>
      <c r="AH25" s="53">
        <v>0.0</v>
      </c>
      <c r="AI25" s="53">
        <v>0.0</v>
      </c>
      <c r="AJ25" s="53">
        <v>0.0</v>
      </c>
      <c r="AK25" s="53">
        <v>0.0</v>
      </c>
      <c r="AL25" s="53">
        <v>0.0</v>
      </c>
      <c r="AM25" s="53">
        <v>0.0</v>
      </c>
      <c r="AN25" s="53">
        <v>0.0</v>
      </c>
      <c r="AO25" s="25">
        <v>19.0</v>
      </c>
      <c r="AP25" s="54"/>
      <c r="AQ25" s="54"/>
      <c r="AR25" s="53">
        <v>9.03</v>
      </c>
      <c r="AS25" s="54"/>
      <c r="AT25" s="54"/>
      <c r="AU25" s="53">
        <v>31.43</v>
      </c>
      <c r="AV25" s="54"/>
      <c r="AW25" s="54"/>
      <c r="AX25" s="54"/>
      <c r="AY25" s="53">
        <v>12.47</v>
      </c>
      <c r="AZ25" s="54"/>
      <c r="BA25" s="54"/>
      <c r="BB25" s="53">
        <v>15.05</v>
      </c>
      <c r="BC25" s="53">
        <v>21.06</v>
      </c>
      <c r="BD25" s="54"/>
      <c r="BE25" s="54"/>
      <c r="BF25" s="54"/>
      <c r="BG25" s="53">
        <v>17.47</v>
      </c>
      <c r="BH25" s="54"/>
      <c r="BI25" s="53">
        <v>23.12</v>
      </c>
      <c r="BJ25" s="53">
        <v>21.13</v>
      </c>
      <c r="BK25" s="53">
        <v>16.57</v>
      </c>
      <c r="BL25" s="54"/>
      <c r="BM25" s="54"/>
      <c r="BN25" s="54"/>
      <c r="BO25" s="54"/>
      <c r="BP25" s="53">
        <v>1.13</v>
      </c>
      <c r="BQ25" s="53">
        <v>6.05</v>
      </c>
      <c r="BR25" s="53">
        <v>6.98</v>
      </c>
      <c r="BS25" s="25">
        <v>4.61</v>
      </c>
      <c r="BT25" s="56">
        <v>21.3</v>
      </c>
      <c r="BU25" s="25">
        <v>5.7</v>
      </c>
      <c r="BV25" s="25">
        <v>8.17</v>
      </c>
      <c r="BW25" s="54"/>
      <c r="BX25" s="53">
        <v>2400.0</v>
      </c>
      <c r="BY25" s="53" t="s">
        <v>123</v>
      </c>
      <c r="BZ25" s="58">
        <v>2100.0</v>
      </c>
      <c r="CA25" s="29" t="s">
        <v>124</v>
      </c>
      <c r="CB25" s="30">
        <v>2700.0</v>
      </c>
      <c r="CC25" s="31"/>
      <c r="CD25" s="58">
        <v>2700.0</v>
      </c>
      <c r="CE25" s="59" t="e">
        <v>#REF!</v>
      </c>
      <c r="CF25" s="79">
        <f t="shared" si="1"/>
        <v>300</v>
      </c>
      <c r="CG25" s="80">
        <f>+2</f>
        <v>2</v>
      </c>
      <c r="CH25" s="62">
        <v>0.14</v>
      </c>
      <c r="CI25" s="63">
        <v>16.0</v>
      </c>
      <c r="CJ25" s="63">
        <v>3637.0</v>
      </c>
      <c r="CK25" s="64">
        <v>-150.0</v>
      </c>
      <c r="CL25" s="63">
        <v>3487.0</v>
      </c>
      <c r="CM25" s="65">
        <v>266.0</v>
      </c>
      <c r="CN25" s="63">
        <v>-57.0</v>
      </c>
      <c r="CO25" s="66">
        <v>20.2</v>
      </c>
      <c r="CP25" s="90">
        <f>+1.2</f>
        <v>1.2</v>
      </c>
      <c r="CQ25" s="63">
        <v>16.0</v>
      </c>
      <c r="CR25" s="63">
        <v>18.0</v>
      </c>
      <c r="CS25" s="63">
        <v>74.0</v>
      </c>
      <c r="CT25" s="68"/>
      <c r="CU25" s="69"/>
      <c r="CV25" s="70"/>
      <c r="CW25" s="71">
        <v>9.0</v>
      </c>
      <c r="CX25" s="71" t="s">
        <v>143</v>
      </c>
      <c r="CY25" s="71" t="s">
        <v>144</v>
      </c>
      <c r="CZ25" s="76" t="s">
        <v>151</v>
      </c>
      <c r="DA25" s="44">
        <v>2700.0</v>
      </c>
      <c r="DB25" s="44">
        <v>0.0</v>
      </c>
      <c r="DC25" s="46" t="s">
        <v>127</v>
      </c>
      <c r="DD25" s="47">
        <v>46240.0</v>
      </c>
      <c r="DE25" s="43"/>
      <c r="DF25" s="43"/>
      <c r="DG25" s="48" t="s">
        <v>128</v>
      </c>
      <c r="DH25" s="48" t="s">
        <v>128</v>
      </c>
      <c r="DI25" s="48" t="s">
        <v>128</v>
      </c>
      <c r="DJ25" s="49">
        <v>1.0</v>
      </c>
      <c r="DK25" s="48" t="b">
        <v>0</v>
      </c>
      <c r="DL25" s="50" t="s">
        <v>203</v>
      </c>
      <c r="DM25" s="50" t="s">
        <v>131</v>
      </c>
      <c r="DN25" s="50" t="s">
        <v>204</v>
      </c>
      <c r="DO25" s="49">
        <v>0.89</v>
      </c>
      <c r="DP25" s="48" t="s">
        <v>128</v>
      </c>
      <c r="DQ25" s="48" t="s">
        <v>128</v>
      </c>
      <c r="DR25" s="51"/>
      <c r="DS25" s="48" t="s">
        <v>134</v>
      </c>
    </row>
    <row r="26">
      <c r="A26" s="23" t="s">
        <v>118</v>
      </c>
      <c r="B26" s="24">
        <v>3.0</v>
      </c>
      <c r="C26" s="23" t="s">
        <v>119</v>
      </c>
      <c r="D26" s="24">
        <v>588071.0</v>
      </c>
      <c r="E26" s="23" t="s">
        <v>152</v>
      </c>
      <c r="F26" s="23" t="s">
        <v>212</v>
      </c>
      <c r="G26" s="23" t="s">
        <v>213</v>
      </c>
      <c r="H26" s="24">
        <v>33020.0</v>
      </c>
      <c r="I26" s="24">
        <v>26.0</v>
      </c>
      <c r="J26" s="24">
        <v>0.0</v>
      </c>
      <c r="K26" s="24">
        <v>0.0</v>
      </c>
      <c r="L26" s="24">
        <v>0.0</v>
      </c>
      <c r="M26" s="24">
        <v>0.0</v>
      </c>
      <c r="N26" s="24">
        <v>1.0</v>
      </c>
      <c r="O26" s="24">
        <v>1.0</v>
      </c>
      <c r="P26" s="24">
        <v>1.0</v>
      </c>
      <c r="Q26" s="24">
        <v>0.0</v>
      </c>
      <c r="R26" s="24">
        <v>0.0</v>
      </c>
      <c r="S26" s="24">
        <v>1.0</v>
      </c>
      <c r="T26" s="24">
        <v>1.0</v>
      </c>
      <c r="U26" s="24">
        <v>1.0</v>
      </c>
      <c r="V26" s="24">
        <v>3.0</v>
      </c>
      <c r="W26" s="24">
        <v>4.0</v>
      </c>
      <c r="X26" s="24">
        <v>0.0</v>
      </c>
      <c r="Y26" s="24">
        <v>1.0</v>
      </c>
      <c r="Z26" s="24">
        <v>1.0</v>
      </c>
      <c r="AA26" s="24">
        <v>1.0</v>
      </c>
      <c r="AB26" s="24">
        <v>0.0</v>
      </c>
      <c r="AC26" s="24">
        <v>1.0</v>
      </c>
      <c r="AD26" s="24">
        <v>1.0</v>
      </c>
      <c r="AE26" s="24">
        <v>0.0</v>
      </c>
      <c r="AF26" s="24">
        <v>2.0</v>
      </c>
      <c r="AG26" s="24">
        <v>0.0</v>
      </c>
      <c r="AH26" s="24">
        <v>2.0</v>
      </c>
      <c r="AI26" s="24">
        <v>1.0</v>
      </c>
      <c r="AJ26" s="24">
        <v>0.0</v>
      </c>
      <c r="AK26" s="24">
        <v>1.0</v>
      </c>
      <c r="AL26" s="24">
        <v>1.0</v>
      </c>
      <c r="AM26" s="24">
        <v>0.0</v>
      </c>
      <c r="AN26" s="24">
        <v>1.0</v>
      </c>
      <c r="AO26" s="25">
        <v>18.2</v>
      </c>
      <c r="AP26" s="26"/>
      <c r="AQ26" s="26"/>
      <c r="AR26" s="26"/>
      <c r="AS26" s="26"/>
      <c r="AT26" s="24">
        <v>0.0</v>
      </c>
      <c r="AU26" s="24">
        <v>24.02</v>
      </c>
      <c r="AV26" s="24">
        <v>14.37</v>
      </c>
      <c r="AW26" s="26"/>
      <c r="AX26" s="26"/>
      <c r="AY26" s="24">
        <v>19.85</v>
      </c>
      <c r="AZ26" s="24">
        <v>15.77</v>
      </c>
      <c r="BA26" s="24">
        <v>15.2</v>
      </c>
      <c r="BB26" s="24">
        <v>20.03</v>
      </c>
      <c r="BC26" s="24">
        <v>14.48</v>
      </c>
      <c r="BD26" s="26"/>
      <c r="BE26" s="24">
        <v>15.72</v>
      </c>
      <c r="BF26" s="24">
        <v>13.87</v>
      </c>
      <c r="BG26" s="24">
        <v>22.95</v>
      </c>
      <c r="BH26" s="26"/>
      <c r="BI26" s="24">
        <v>15.07</v>
      </c>
      <c r="BJ26" s="24">
        <v>18.93</v>
      </c>
      <c r="BK26" s="26"/>
      <c r="BL26" s="24">
        <v>18.27</v>
      </c>
      <c r="BM26" s="26"/>
      <c r="BN26" s="24">
        <v>19.38</v>
      </c>
      <c r="BO26" s="24">
        <v>0.39</v>
      </c>
      <c r="BP26" s="24">
        <v>2.21</v>
      </c>
      <c r="BQ26" s="24">
        <v>4.84</v>
      </c>
      <c r="BR26" s="24">
        <v>6.84</v>
      </c>
      <c r="BS26" s="25">
        <v>4.41</v>
      </c>
      <c r="BT26" s="56">
        <v>22.1</v>
      </c>
      <c r="BU26" s="25">
        <v>7.2</v>
      </c>
      <c r="BV26" s="25">
        <v>7.29</v>
      </c>
      <c r="BW26" s="26"/>
      <c r="BX26" s="24">
        <v>3000.0</v>
      </c>
      <c r="BY26" s="24" t="s">
        <v>123</v>
      </c>
      <c r="BZ26" s="28">
        <v>3000.0</v>
      </c>
      <c r="CA26" s="72"/>
      <c r="CB26" s="30">
        <v>3000.0</v>
      </c>
      <c r="CC26" s="31"/>
      <c r="CD26" s="28">
        <v>3000.0</v>
      </c>
      <c r="CE26" s="32" t="e">
        <v>#REF!</v>
      </c>
      <c r="CF26" s="33"/>
      <c r="CG26" s="34">
        <v>0.0</v>
      </c>
      <c r="CH26" s="35">
        <v>0.0</v>
      </c>
      <c r="CI26" s="36">
        <v>26.0</v>
      </c>
      <c r="CJ26" s="36">
        <v>3637.0</v>
      </c>
      <c r="CK26" s="37">
        <v>-150.0</v>
      </c>
      <c r="CL26" s="36">
        <v>3487.0</v>
      </c>
      <c r="CM26" s="38">
        <v>473.0</v>
      </c>
      <c r="CN26" s="36">
        <v>0.0</v>
      </c>
      <c r="CO26" s="39">
        <v>18.2</v>
      </c>
      <c r="CP26" s="40">
        <v>0.0</v>
      </c>
      <c r="CQ26" s="36">
        <v>57.0</v>
      </c>
      <c r="CR26" s="36">
        <v>57.0</v>
      </c>
      <c r="CS26" s="36">
        <v>115.0</v>
      </c>
      <c r="CT26" s="41"/>
      <c r="CU26" s="42"/>
      <c r="CV26" s="43"/>
      <c r="CW26" s="44">
        <v>10.0</v>
      </c>
      <c r="CX26" s="44" t="s">
        <v>138</v>
      </c>
      <c r="CY26" s="44" t="s">
        <v>139</v>
      </c>
      <c r="CZ26" s="45"/>
      <c r="DA26" s="44">
        <v>3000.0</v>
      </c>
      <c r="DB26" s="44">
        <v>0.0</v>
      </c>
      <c r="DC26" s="43"/>
      <c r="DD26" s="78"/>
      <c r="DE26" s="43"/>
      <c r="DF26" s="43"/>
      <c r="DG26" s="48" t="s">
        <v>128</v>
      </c>
      <c r="DH26" s="48" t="s">
        <v>128</v>
      </c>
      <c r="DI26" s="48" t="s">
        <v>128</v>
      </c>
      <c r="DJ26" s="49">
        <v>0.0</v>
      </c>
      <c r="DK26" s="48" t="b">
        <v>0</v>
      </c>
      <c r="DL26" s="50" t="s">
        <v>203</v>
      </c>
      <c r="DM26" s="50" t="s">
        <v>131</v>
      </c>
      <c r="DN26" s="50" t="s">
        <v>204</v>
      </c>
      <c r="DO26" s="49">
        <v>0.89</v>
      </c>
      <c r="DP26" s="48" t="s">
        <v>128</v>
      </c>
      <c r="DQ26" s="48" t="s">
        <v>128</v>
      </c>
      <c r="DR26" s="51"/>
      <c r="DS26" s="48" t="s">
        <v>134</v>
      </c>
    </row>
    <row r="27">
      <c r="A27" s="52" t="s">
        <v>118</v>
      </c>
      <c r="B27" s="53">
        <v>3.0</v>
      </c>
      <c r="C27" s="52" t="s">
        <v>119</v>
      </c>
      <c r="D27" s="53">
        <v>669823.0</v>
      </c>
      <c r="E27" s="52" t="s">
        <v>214</v>
      </c>
      <c r="F27" s="52" t="s">
        <v>215</v>
      </c>
      <c r="G27" s="52" t="s">
        <v>216</v>
      </c>
      <c r="H27" s="53">
        <v>33020.0</v>
      </c>
      <c r="I27" s="53">
        <v>12.0</v>
      </c>
      <c r="J27" s="53">
        <v>0.0</v>
      </c>
      <c r="K27" s="53">
        <v>0.0</v>
      </c>
      <c r="L27" s="53">
        <v>0.0</v>
      </c>
      <c r="M27" s="53">
        <v>0.0</v>
      </c>
      <c r="N27" s="53">
        <v>1.0</v>
      </c>
      <c r="O27" s="53">
        <v>0.0</v>
      </c>
      <c r="P27" s="53">
        <v>0.0</v>
      </c>
      <c r="Q27" s="53">
        <v>0.0</v>
      </c>
      <c r="R27" s="53">
        <v>0.0</v>
      </c>
      <c r="S27" s="53">
        <v>0.0</v>
      </c>
      <c r="T27" s="53">
        <v>0.0</v>
      </c>
      <c r="U27" s="53">
        <v>1.0</v>
      </c>
      <c r="V27" s="53">
        <v>0.0</v>
      </c>
      <c r="W27" s="53">
        <v>0.0</v>
      </c>
      <c r="X27" s="53">
        <v>0.0</v>
      </c>
      <c r="Y27" s="53">
        <v>1.0</v>
      </c>
      <c r="Z27" s="53">
        <v>0.0</v>
      </c>
      <c r="AA27" s="53">
        <v>1.0</v>
      </c>
      <c r="AB27" s="53">
        <v>0.0</v>
      </c>
      <c r="AC27" s="53">
        <v>0.0</v>
      </c>
      <c r="AD27" s="53">
        <v>0.0</v>
      </c>
      <c r="AE27" s="53">
        <v>0.0</v>
      </c>
      <c r="AF27" s="53">
        <v>1.0</v>
      </c>
      <c r="AG27" s="53">
        <v>1.0</v>
      </c>
      <c r="AH27" s="53">
        <v>2.0</v>
      </c>
      <c r="AI27" s="53">
        <v>1.0</v>
      </c>
      <c r="AJ27" s="53">
        <v>1.0</v>
      </c>
      <c r="AK27" s="53">
        <v>0.0</v>
      </c>
      <c r="AL27" s="53">
        <v>0.0</v>
      </c>
      <c r="AM27" s="53">
        <v>1.0</v>
      </c>
      <c r="AN27" s="53">
        <v>1.0</v>
      </c>
      <c r="AO27" s="25">
        <v>19.9</v>
      </c>
      <c r="AP27" s="54"/>
      <c r="AQ27" s="54"/>
      <c r="AR27" s="54"/>
      <c r="AS27" s="54"/>
      <c r="AT27" s="53">
        <v>0.0</v>
      </c>
      <c r="AU27" s="54"/>
      <c r="AV27" s="54"/>
      <c r="AW27" s="54"/>
      <c r="AX27" s="54"/>
      <c r="AY27" s="54"/>
      <c r="AZ27" s="54"/>
      <c r="BA27" s="53">
        <v>12.4</v>
      </c>
      <c r="BB27" s="54"/>
      <c r="BC27" s="54"/>
      <c r="BD27" s="54"/>
      <c r="BE27" s="53">
        <v>18.62</v>
      </c>
      <c r="BF27" s="54"/>
      <c r="BG27" s="53">
        <v>15.43</v>
      </c>
      <c r="BH27" s="54"/>
      <c r="BI27" s="54"/>
      <c r="BJ27" s="54"/>
      <c r="BK27" s="54"/>
      <c r="BL27" s="53">
        <v>19.28</v>
      </c>
      <c r="BM27" s="53">
        <v>26.32</v>
      </c>
      <c r="BN27" s="53">
        <v>21.83</v>
      </c>
      <c r="BO27" s="53">
        <v>0.34</v>
      </c>
      <c r="BP27" s="53">
        <v>1.41</v>
      </c>
      <c r="BQ27" s="53">
        <v>5.49</v>
      </c>
      <c r="BR27" s="53">
        <v>6.69</v>
      </c>
      <c r="BS27" s="55">
        <v>3.94</v>
      </c>
      <c r="BT27" s="81"/>
      <c r="BU27" s="54"/>
      <c r="BV27" s="54"/>
      <c r="BW27" s="53">
        <v>2200.0</v>
      </c>
      <c r="BX27" s="53">
        <v>3000.0</v>
      </c>
      <c r="BY27" s="53" t="s">
        <v>123</v>
      </c>
      <c r="BZ27" s="58">
        <v>3000.0</v>
      </c>
      <c r="CA27" s="72"/>
      <c r="CB27" s="30">
        <v>3000.0</v>
      </c>
      <c r="CC27" s="31"/>
      <c r="CD27" s="58">
        <v>3000.0</v>
      </c>
      <c r="CE27" s="59" t="e">
        <v>#REF!</v>
      </c>
      <c r="CF27" s="60"/>
      <c r="CG27" s="61">
        <v>0.0</v>
      </c>
      <c r="CH27" s="62">
        <v>0.0</v>
      </c>
      <c r="CI27" s="63">
        <v>12.0</v>
      </c>
      <c r="CJ27" s="63">
        <v>3637.0</v>
      </c>
      <c r="CK27" s="64">
        <v>-150.0</v>
      </c>
      <c r="CL27" s="63">
        <v>3487.0</v>
      </c>
      <c r="CM27" s="65">
        <v>239.0</v>
      </c>
      <c r="CN27" s="63">
        <v>0.0</v>
      </c>
      <c r="CO27" s="66">
        <v>19.9</v>
      </c>
      <c r="CP27" s="67">
        <v>0.0</v>
      </c>
      <c r="CQ27" s="63">
        <v>17.0</v>
      </c>
      <c r="CR27" s="63">
        <v>17.0</v>
      </c>
      <c r="CS27" s="63">
        <v>47.0</v>
      </c>
      <c r="CT27" s="68"/>
      <c r="CU27" s="69"/>
      <c r="CV27" s="70"/>
      <c r="CW27" s="71">
        <v>10.0</v>
      </c>
      <c r="CX27" s="71" t="s">
        <v>138</v>
      </c>
      <c r="CY27" s="71" t="s">
        <v>139</v>
      </c>
      <c r="CZ27" s="45"/>
      <c r="DA27" s="44">
        <v>3000.0</v>
      </c>
      <c r="DB27" s="44">
        <v>0.0</v>
      </c>
      <c r="DC27" s="46" t="s">
        <v>127</v>
      </c>
      <c r="DD27" s="47">
        <v>46218.0</v>
      </c>
      <c r="DE27" s="43"/>
      <c r="DF27" s="43"/>
      <c r="DG27" s="48" t="s">
        <v>128</v>
      </c>
      <c r="DH27" s="48" t="s">
        <v>128</v>
      </c>
      <c r="DI27" s="48" t="s">
        <v>128</v>
      </c>
      <c r="DJ27" s="49">
        <v>1.0</v>
      </c>
      <c r="DK27" s="48" t="b">
        <v>0</v>
      </c>
      <c r="DL27" s="50" t="s">
        <v>203</v>
      </c>
      <c r="DM27" s="50" t="s">
        <v>131</v>
      </c>
      <c r="DN27" s="50" t="s">
        <v>204</v>
      </c>
      <c r="DO27" s="49">
        <v>0.89</v>
      </c>
      <c r="DP27" s="48" t="s">
        <v>128</v>
      </c>
      <c r="DQ27" s="48" t="s">
        <v>128</v>
      </c>
      <c r="DR27" s="51"/>
      <c r="DS27" s="48" t="s">
        <v>134</v>
      </c>
    </row>
    <row r="28">
      <c r="A28" s="23" t="s">
        <v>118</v>
      </c>
      <c r="B28" s="24">
        <v>3.0</v>
      </c>
      <c r="C28" s="23" t="s">
        <v>119</v>
      </c>
      <c r="D28" s="24">
        <v>626041.0</v>
      </c>
      <c r="E28" s="23" t="s">
        <v>135</v>
      </c>
      <c r="F28" s="23" t="s">
        <v>217</v>
      </c>
      <c r="G28" s="23" t="s">
        <v>218</v>
      </c>
      <c r="H28" s="24">
        <v>33020.0</v>
      </c>
      <c r="I28" s="24">
        <v>19.0</v>
      </c>
      <c r="J28" s="24">
        <v>0.0</v>
      </c>
      <c r="K28" s="24">
        <v>0.0</v>
      </c>
      <c r="L28" s="24">
        <v>1.0</v>
      </c>
      <c r="M28" s="24">
        <v>0.0</v>
      </c>
      <c r="N28" s="24">
        <v>0.0</v>
      </c>
      <c r="O28" s="24">
        <v>0.0</v>
      </c>
      <c r="P28" s="24">
        <v>0.0</v>
      </c>
      <c r="Q28" s="24">
        <v>1.0</v>
      </c>
      <c r="R28" s="24">
        <v>2.0</v>
      </c>
      <c r="S28" s="24">
        <v>1.0</v>
      </c>
      <c r="T28" s="24">
        <v>1.0</v>
      </c>
      <c r="U28" s="24">
        <v>0.0</v>
      </c>
      <c r="V28" s="24">
        <v>0.0</v>
      </c>
      <c r="W28" s="24">
        <v>1.0</v>
      </c>
      <c r="X28" s="24">
        <v>0.0</v>
      </c>
      <c r="Y28" s="24">
        <v>0.0</v>
      </c>
      <c r="Z28" s="24">
        <v>0.0</v>
      </c>
      <c r="AA28" s="24">
        <v>1.0</v>
      </c>
      <c r="AB28" s="24">
        <v>0.0</v>
      </c>
      <c r="AC28" s="24">
        <v>2.0</v>
      </c>
      <c r="AD28" s="24">
        <v>1.0</v>
      </c>
      <c r="AE28" s="24">
        <v>0.0</v>
      </c>
      <c r="AF28" s="24">
        <v>0.0</v>
      </c>
      <c r="AG28" s="24">
        <v>2.0</v>
      </c>
      <c r="AH28" s="24">
        <v>1.0</v>
      </c>
      <c r="AI28" s="24">
        <v>0.0</v>
      </c>
      <c r="AJ28" s="24">
        <v>2.0</v>
      </c>
      <c r="AK28" s="24">
        <v>0.0</v>
      </c>
      <c r="AL28" s="24">
        <v>2.0</v>
      </c>
      <c r="AM28" s="24">
        <v>0.0</v>
      </c>
      <c r="AN28" s="24">
        <v>1.0</v>
      </c>
      <c r="AO28" s="25">
        <v>19.9</v>
      </c>
      <c r="AP28" s="26"/>
      <c r="AQ28" s="26"/>
      <c r="AR28" s="24">
        <v>7.9</v>
      </c>
      <c r="AS28" s="26"/>
      <c r="AT28" s="26"/>
      <c r="AU28" s="26"/>
      <c r="AV28" s="26"/>
      <c r="AW28" s="24">
        <v>13.67</v>
      </c>
      <c r="AX28" s="24">
        <v>13.31</v>
      </c>
      <c r="AY28" s="24">
        <v>15.47</v>
      </c>
      <c r="AZ28" s="24">
        <v>19.52</v>
      </c>
      <c r="BA28" s="26"/>
      <c r="BB28" s="26"/>
      <c r="BC28" s="24">
        <v>17.58</v>
      </c>
      <c r="BD28" s="26"/>
      <c r="BE28" s="26"/>
      <c r="BF28" s="26"/>
      <c r="BG28" s="24">
        <v>11.85</v>
      </c>
      <c r="BH28" s="26"/>
      <c r="BI28" s="24">
        <v>15.92</v>
      </c>
      <c r="BJ28" s="24">
        <v>21.48</v>
      </c>
      <c r="BK28" s="26"/>
      <c r="BL28" s="26"/>
      <c r="BM28" s="24">
        <v>36.74</v>
      </c>
      <c r="BN28" s="24">
        <v>16.53</v>
      </c>
      <c r="BO28" s="24">
        <v>0.41</v>
      </c>
      <c r="BP28" s="24">
        <v>2.18</v>
      </c>
      <c r="BQ28" s="24">
        <v>6.67</v>
      </c>
      <c r="BR28" s="24">
        <v>8.65</v>
      </c>
      <c r="BS28" s="55">
        <v>3.73</v>
      </c>
      <c r="BT28" s="56">
        <v>25.6</v>
      </c>
      <c r="BU28" s="57">
        <v>2.7</v>
      </c>
      <c r="BV28" s="25">
        <v>10.33</v>
      </c>
      <c r="BW28" s="26"/>
      <c r="BX28" s="24">
        <v>3000.0</v>
      </c>
      <c r="BY28" s="24" t="s">
        <v>123</v>
      </c>
      <c r="BZ28" s="28">
        <v>2700.0</v>
      </c>
      <c r="CA28" s="29" t="s">
        <v>124</v>
      </c>
      <c r="CB28" s="30">
        <v>3000.0</v>
      </c>
      <c r="CC28" s="31"/>
      <c r="CD28" s="28">
        <v>3000.0</v>
      </c>
      <c r="CE28" s="32" t="e">
        <v>#REF!</v>
      </c>
      <c r="CF28" s="33"/>
      <c r="CG28" s="34">
        <v>0.0</v>
      </c>
      <c r="CH28" s="35">
        <v>0.0</v>
      </c>
      <c r="CI28" s="36">
        <v>19.0</v>
      </c>
      <c r="CJ28" s="36">
        <v>3637.0</v>
      </c>
      <c r="CK28" s="37">
        <v>-150.0</v>
      </c>
      <c r="CL28" s="36">
        <v>3487.0</v>
      </c>
      <c r="CM28" s="38">
        <v>378.0</v>
      </c>
      <c r="CN28" s="36">
        <v>0.0</v>
      </c>
      <c r="CO28" s="39">
        <v>19.9</v>
      </c>
      <c r="CP28" s="40">
        <v>0.0</v>
      </c>
      <c r="CQ28" s="36">
        <v>41.0</v>
      </c>
      <c r="CR28" s="36">
        <v>41.0</v>
      </c>
      <c r="CS28" s="36">
        <v>71.0</v>
      </c>
      <c r="CT28" s="41"/>
      <c r="CU28" s="42"/>
      <c r="CV28" s="43"/>
      <c r="CW28" s="44">
        <v>10.0</v>
      </c>
      <c r="CX28" s="44" t="s">
        <v>138</v>
      </c>
      <c r="CY28" s="44" t="s">
        <v>139</v>
      </c>
      <c r="CZ28" s="45"/>
      <c r="DA28" s="44">
        <v>3000.0</v>
      </c>
      <c r="DB28" s="44">
        <v>0.0</v>
      </c>
      <c r="DC28" s="46" t="s">
        <v>127</v>
      </c>
      <c r="DD28" s="47">
        <v>46197.0</v>
      </c>
      <c r="DE28" s="43"/>
      <c r="DF28" s="43"/>
      <c r="DG28" s="48" t="s">
        <v>128</v>
      </c>
      <c r="DH28" s="48" t="s">
        <v>128</v>
      </c>
      <c r="DI28" s="48" t="s">
        <v>128</v>
      </c>
      <c r="DJ28" s="49">
        <v>1.0</v>
      </c>
      <c r="DK28" s="48" t="b">
        <v>0</v>
      </c>
      <c r="DL28" s="50" t="s">
        <v>203</v>
      </c>
      <c r="DM28" s="50" t="s">
        <v>131</v>
      </c>
      <c r="DN28" s="50" t="s">
        <v>204</v>
      </c>
      <c r="DO28" s="49">
        <v>0.89</v>
      </c>
      <c r="DP28" s="48" t="s">
        <v>128</v>
      </c>
      <c r="DQ28" s="48" t="s">
        <v>128</v>
      </c>
      <c r="DR28" s="51"/>
      <c r="DS28" s="48" t="s">
        <v>134</v>
      </c>
    </row>
    <row r="29">
      <c r="A29" s="52" t="s">
        <v>118</v>
      </c>
      <c r="B29" s="53">
        <v>3.0</v>
      </c>
      <c r="C29" s="52" t="s">
        <v>119</v>
      </c>
      <c r="D29" s="53">
        <v>641892.0</v>
      </c>
      <c r="E29" s="52" t="s">
        <v>170</v>
      </c>
      <c r="F29" s="52" t="s">
        <v>219</v>
      </c>
      <c r="G29" s="52" t="s">
        <v>220</v>
      </c>
      <c r="H29" s="53">
        <v>33020.0</v>
      </c>
      <c r="I29" s="53">
        <v>13.0</v>
      </c>
      <c r="J29" s="53">
        <v>0.0</v>
      </c>
      <c r="K29" s="53">
        <v>0.0</v>
      </c>
      <c r="L29" s="53">
        <v>0.0</v>
      </c>
      <c r="M29" s="53">
        <v>0.0</v>
      </c>
      <c r="N29" s="53">
        <v>0.0</v>
      </c>
      <c r="O29" s="53">
        <v>0.0</v>
      </c>
      <c r="P29" s="53">
        <v>0.0</v>
      </c>
      <c r="Q29" s="53">
        <v>0.0</v>
      </c>
      <c r="R29" s="53">
        <v>0.0</v>
      </c>
      <c r="S29" s="53">
        <v>2.0</v>
      </c>
      <c r="T29" s="53">
        <v>0.0</v>
      </c>
      <c r="U29" s="53">
        <v>0.0</v>
      </c>
      <c r="V29" s="53">
        <v>0.0</v>
      </c>
      <c r="W29" s="53">
        <v>0.0</v>
      </c>
      <c r="X29" s="53">
        <v>2.0</v>
      </c>
      <c r="Y29" s="53">
        <v>0.0</v>
      </c>
      <c r="Z29" s="53">
        <v>0.0</v>
      </c>
      <c r="AA29" s="53">
        <v>1.0</v>
      </c>
      <c r="AB29" s="53">
        <v>1.0</v>
      </c>
      <c r="AC29" s="53">
        <v>1.0</v>
      </c>
      <c r="AD29" s="53">
        <v>1.0</v>
      </c>
      <c r="AE29" s="53">
        <v>1.0</v>
      </c>
      <c r="AF29" s="53">
        <v>1.0</v>
      </c>
      <c r="AG29" s="53">
        <v>1.0</v>
      </c>
      <c r="AH29" s="53">
        <v>0.0</v>
      </c>
      <c r="AI29" s="53">
        <v>0.0</v>
      </c>
      <c r="AJ29" s="53">
        <v>0.0</v>
      </c>
      <c r="AK29" s="53">
        <v>0.0</v>
      </c>
      <c r="AL29" s="53">
        <v>2.0</v>
      </c>
      <c r="AM29" s="53">
        <v>0.0</v>
      </c>
      <c r="AN29" s="53">
        <v>0.0</v>
      </c>
      <c r="AO29" s="25">
        <v>22.9</v>
      </c>
      <c r="AP29" s="54"/>
      <c r="AQ29" s="54"/>
      <c r="AR29" s="54"/>
      <c r="AS29" s="54"/>
      <c r="AT29" s="54"/>
      <c r="AU29" s="54"/>
      <c r="AV29" s="54"/>
      <c r="AW29" s="54"/>
      <c r="AX29" s="54"/>
      <c r="AY29" s="53">
        <v>15.23</v>
      </c>
      <c r="AZ29" s="54"/>
      <c r="BA29" s="54"/>
      <c r="BB29" s="54"/>
      <c r="BC29" s="54"/>
      <c r="BD29" s="53">
        <v>29.68</v>
      </c>
      <c r="BE29" s="54"/>
      <c r="BF29" s="54"/>
      <c r="BG29" s="53">
        <v>21.22</v>
      </c>
      <c r="BH29" s="53">
        <v>22.52</v>
      </c>
      <c r="BI29" s="53">
        <v>24.22</v>
      </c>
      <c r="BJ29" s="53">
        <v>15.35</v>
      </c>
      <c r="BK29" s="53">
        <v>16.78</v>
      </c>
      <c r="BL29" s="53">
        <v>14.7</v>
      </c>
      <c r="BM29" s="53">
        <v>53.8</v>
      </c>
      <c r="BN29" s="54"/>
      <c r="BO29" s="53">
        <v>0.32</v>
      </c>
      <c r="BP29" s="53">
        <v>5.16</v>
      </c>
      <c r="BQ29" s="53">
        <v>5.85</v>
      </c>
      <c r="BR29" s="53">
        <v>10.81</v>
      </c>
      <c r="BS29" s="55">
        <v>3.72</v>
      </c>
      <c r="BT29" s="56">
        <v>24.9</v>
      </c>
      <c r="BU29" s="25">
        <v>4.9</v>
      </c>
      <c r="BV29" s="25">
        <v>8.26</v>
      </c>
      <c r="BW29" s="53">
        <v>1700.0</v>
      </c>
      <c r="BX29" s="53">
        <v>3000.0</v>
      </c>
      <c r="BY29" s="53" t="s">
        <v>123</v>
      </c>
      <c r="BZ29" s="58">
        <v>2700.0</v>
      </c>
      <c r="CA29" s="29" t="s">
        <v>124</v>
      </c>
      <c r="CB29" s="30">
        <v>3000.0</v>
      </c>
      <c r="CC29" s="31"/>
      <c r="CD29" s="58">
        <v>3000.0</v>
      </c>
      <c r="CE29" s="59" t="e">
        <v>#REF!</v>
      </c>
      <c r="CF29" s="60"/>
      <c r="CG29" s="61">
        <v>0.0</v>
      </c>
      <c r="CH29" s="62">
        <v>0.0</v>
      </c>
      <c r="CI29" s="63">
        <v>13.0</v>
      </c>
      <c r="CJ29" s="63">
        <v>3637.0</v>
      </c>
      <c r="CK29" s="64">
        <v>-150.0</v>
      </c>
      <c r="CL29" s="63">
        <v>3487.0</v>
      </c>
      <c r="CM29" s="65">
        <v>298.0</v>
      </c>
      <c r="CN29" s="63">
        <v>0.0</v>
      </c>
      <c r="CO29" s="66">
        <v>22.9</v>
      </c>
      <c r="CP29" s="67">
        <v>0.0</v>
      </c>
      <c r="CQ29" s="63">
        <v>67.0</v>
      </c>
      <c r="CR29" s="63">
        <v>67.0</v>
      </c>
      <c r="CS29" s="63">
        <v>48.0</v>
      </c>
      <c r="CT29" s="68"/>
      <c r="CU29" s="69"/>
      <c r="CV29" s="70"/>
      <c r="CW29" s="71">
        <v>10.0</v>
      </c>
      <c r="CX29" s="71" t="s">
        <v>138</v>
      </c>
      <c r="CY29" s="71" t="s">
        <v>139</v>
      </c>
      <c r="CZ29" s="45"/>
      <c r="DA29" s="44">
        <v>3000.0</v>
      </c>
      <c r="DB29" s="44">
        <v>0.0</v>
      </c>
      <c r="DC29" s="46" t="s">
        <v>127</v>
      </c>
      <c r="DD29" s="47">
        <v>46197.0</v>
      </c>
      <c r="DE29" s="43"/>
      <c r="DF29" s="43"/>
      <c r="DG29" s="48" t="s">
        <v>128</v>
      </c>
      <c r="DH29" s="48" t="s">
        <v>128</v>
      </c>
      <c r="DI29" s="48" t="s">
        <v>128</v>
      </c>
      <c r="DJ29" s="49">
        <v>1.0</v>
      </c>
      <c r="DK29" s="48" t="b">
        <v>0</v>
      </c>
      <c r="DL29" s="50" t="s">
        <v>203</v>
      </c>
      <c r="DM29" s="50" t="s">
        <v>131</v>
      </c>
      <c r="DN29" s="50" t="s">
        <v>204</v>
      </c>
      <c r="DO29" s="49">
        <v>0.89</v>
      </c>
      <c r="DP29" s="48" t="s">
        <v>128</v>
      </c>
      <c r="DQ29" s="48" t="s">
        <v>128</v>
      </c>
      <c r="DR29" s="51"/>
      <c r="DS29" s="48" t="s">
        <v>134</v>
      </c>
    </row>
    <row r="30">
      <c r="A30" s="23" t="s">
        <v>118</v>
      </c>
      <c r="B30" s="24">
        <v>3.0</v>
      </c>
      <c r="C30" s="23" t="s">
        <v>119</v>
      </c>
      <c r="D30" s="24">
        <v>536832.0</v>
      </c>
      <c r="E30" s="23" t="s">
        <v>158</v>
      </c>
      <c r="F30" s="23" t="s">
        <v>221</v>
      </c>
      <c r="G30" s="23" t="s">
        <v>222</v>
      </c>
      <c r="H30" s="24">
        <v>33020.0</v>
      </c>
      <c r="I30" s="24">
        <v>13.0</v>
      </c>
      <c r="J30" s="24">
        <v>0.0</v>
      </c>
      <c r="K30" s="24">
        <v>0.0</v>
      </c>
      <c r="L30" s="24">
        <v>0.0</v>
      </c>
      <c r="M30" s="24">
        <v>0.0</v>
      </c>
      <c r="N30" s="24">
        <v>0.0</v>
      </c>
      <c r="O30" s="24">
        <v>0.0</v>
      </c>
      <c r="P30" s="24">
        <v>0.0</v>
      </c>
      <c r="Q30" s="24">
        <v>0.0</v>
      </c>
      <c r="R30" s="24">
        <v>0.0</v>
      </c>
      <c r="S30" s="24">
        <v>1.0</v>
      </c>
      <c r="T30" s="24">
        <v>0.0</v>
      </c>
      <c r="U30" s="24">
        <v>2.0</v>
      </c>
      <c r="V30" s="24">
        <v>3.0</v>
      </c>
      <c r="W30" s="24">
        <v>1.0</v>
      </c>
      <c r="X30" s="24">
        <v>1.0</v>
      </c>
      <c r="Y30" s="24">
        <v>0.0</v>
      </c>
      <c r="Z30" s="24">
        <v>0.0</v>
      </c>
      <c r="AA30" s="24">
        <v>0.0</v>
      </c>
      <c r="AB30" s="24">
        <v>1.0</v>
      </c>
      <c r="AC30" s="24">
        <v>1.0</v>
      </c>
      <c r="AD30" s="24">
        <v>0.0</v>
      </c>
      <c r="AE30" s="24">
        <v>1.0</v>
      </c>
      <c r="AF30" s="24">
        <v>2.0</v>
      </c>
      <c r="AG30" s="24">
        <v>0.0</v>
      </c>
      <c r="AH30" s="24">
        <v>0.0</v>
      </c>
      <c r="AI30" s="24">
        <v>0.0</v>
      </c>
      <c r="AJ30" s="24">
        <v>0.0</v>
      </c>
      <c r="AK30" s="24">
        <v>0.0</v>
      </c>
      <c r="AL30" s="24">
        <v>0.0</v>
      </c>
      <c r="AM30" s="24">
        <v>0.0</v>
      </c>
      <c r="AN30" s="24">
        <v>0.0</v>
      </c>
      <c r="AO30" s="25">
        <v>18.8</v>
      </c>
      <c r="AP30" s="26"/>
      <c r="AQ30" s="26"/>
      <c r="AR30" s="26"/>
      <c r="AS30" s="26"/>
      <c r="AT30" s="26"/>
      <c r="AU30" s="26"/>
      <c r="AV30" s="26"/>
      <c r="AW30" s="26"/>
      <c r="AX30" s="26"/>
      <c r="AY30" s="24">
        <v>17.3</v>
      </c>
      <c r="AZ30" s="26"/>
      <c r="BA30" s="24">
        <v>22.31</v>
      </c>
      <c r="BB30" s="24">
        <v>16.43</v>
      </c>
      <c r="BC30" s="24">
        <v>15.3</v>
      </c>
      <c r="BD30" s="24">
        <v>19.07</v>
      </c>
      <c r="BE30" s="26"/>
      <c r="BF30" s="26"/>
      <c r="BG30" s="26"/>
      <c r="BH30" s="24">
        <v>19.07</v>
      </c>
      <c r="BI30" s="24">
        <v>24.07</v>
      </c>
      <c r="BJ30" s="26"/>
      <c r="BK30" s="24">
        <v>15.95</v>
      </c>
      <c r="BL30" s="24">
        <v>19.81</v>
      </c>
      <c r="BM30" s="26"/>
      <c r="BN30" s="26"/>
      <c r="BO30" s="26"/>
      <c r="BP30" s="24">
        <v>1.47</v>
      </c>
      <c r="BQ30" s="24">
        <v>6.19</v>
      </c>
      <c r="BR30" s="24">
        <v>7.46</v>
      </c>
      <c r="BS30" s="55">
        <v>3.63</v>
      </c>
      <c r="BT30" s="56">
        <v>24.1</v>
      </c>
      <c r="BU30" s="25">
        <v>7.0</v>
      </c>
      <c r="BV30" s="25">
        <v>9.6</v>
      </c>
      <c r="BW30" s="26"/>
      <c r="BX30" s="24">
        <v>2400.0</v>
      </c>
      <c r="BY30" s="24" t="s">
        <v>123</v>
      </c>
      <c r="BZ30" s="28">
        <v>2100.0</v>
      </c>
      <c r="CA30" s="29" t="s">
        <v>124</v>
      </c>
      <c r="CB30" s="30">
        <v>2700.0</v>
      </c>
      <c r="CC30" s="31"/>
      <c r="CD30" s="28">
        <v>2700.0</v>
      </c>
      <c r="CE30" s="32" t="e">
        <v>#REF!</v>
      </c>
      <c r="CF30" s="73">
        <f>+300</f>
        <v>300</v>
      </c>
      <c r="CG30" s="74">
        <f>+2</f>
        <v>2</v>
      </c>
      <c r="CH30" s="35">
        <v>0.15</v>
      </c>
      <c r="CI30" s="36">
        <v>15.0</v>
      </c>
      <c r="CJ30" s="36">
        <v>3637.0</v>
      </c>
      <c r="CK30" s="37">
        <v>-150.0</v>
      </c>
      <c r="CL30" s="36">
        <v>3487.0</v>
      </c>
      <c r="CM30" s="38">
        <v>244.0</v>
      </c>
      <c r="CN30" s="36">
        <v>-42.0</v>
      </c>
      <c r="CO30" s="39">
        <v>19.1</v>
      </c>
      <c r="CP30" s="40">
        <v>0.3</v>
      </c>
      <c r="CQ30" s="36">
        <v>19.0</v>
      </c>
      <c r="CR30" s="36">
        <v>22.0</v>
      </c>
      <c r="CS30" s="36">
        <v>54.0</v>
      </c>
      <c r="CT30" s="41"/>
      <c r="CU30" s="42"/>
      <c r="CV30" s="43"/>
      <c r="CW30" s="44">
        <v>9.0</v>
      </c>
      <c r="CX30" s="44" t="s">
        <v>143</v>
      </c>
      <c r="CY30" s="44" t="s">
        <v>144</v>
      </c>
      <c r="CZ30" s="76" t="s">
        <v>151</v>
      </c>
      <c r="DA30" s="44">
        <v>2700.0</v>
      </c>
      <c r="DB30" s="44">
        <v>0.0</v>
      </c>
      <c r="DC30" s="43"/>
      <c r="DD30" s="78"/>
      <c r="DE30" s="43"/>
      <c r="DF30" s="43"/>
      <c r="DG30" s="48" t="s">
        <v>128</v>
      </c>
      <c r="DH30" s="48" t="s">
        <v>128</v>
      </c>
      <c r="DI30" s="48" t="s">
        <v>128</v>
      </c>
      <c r="DJ30" s="49">
        <v>1.0</v>
      </c>
      <c r="DK30" s="48" t="b">
        <v>0</v>
      </c>
      <c r="DL30" s="50" t="s">
        <v>203</v>
      </c>
      <c r="DM30" s="50" t="s">
        <v>131</v>
      </c>
      <c r="DN30" s="50" t="s">
        <v>204</v>
      </c>
      <c r="DO30" s="49">
        <v>0.89</v>
      </c>
      <c r="DP30" s="48" t="s">
        <v>128</v>
      </c>
      <c r="DQ30" s="48" t="s">
        <v>128</v>
      </c>
      <c r="DR30" s="51"/>
      <c r="DS30" s="48" t="s">
        <v>134</v>
      </c>
    </row>
    <row r="31">
      <c r="A31" s="52" t="s">
        <v>118</v>
      </c>
      <c r="B31" s="53">
        <v>3.0</v>
      </c>
      <c r="C31" s="52" t="s">
        <v>119</v>
      </c>
      <c r="D31" s="53">
        <v>610881.0</v>
      </c>
      <c r="E31" s="52" t="s">
        <v>167</v>
      </c>
      <c r="F31" s="52" t="s">
        <v>223</v>
      </c>
      <c r="G31" s="52" t="s">
        <v>224</v>
      </c>
      <c r="H31" s="53">
        <v>33020.0</v>
      </c>
      <c r="I31" s="53">
        <v>28.0</v>
      </c>
      <c r="J31" s="53">
        <v>0.0</v>
      </c>
      <c r="K31" s="53">
        <v>0.0</v>
      </c>
      <c r="L31" s="53">
        <v>0.0</v>
      </c>
      <c r="M31" s="53">
        <v>0.0</v>
      </c>
      <c r="N31" s="53">
        <v>1.0</v>
      </c>
      <c r="O31" s="53">
        <v>1.0</v>
      </c>
      <c r="P31" s="53">
        <v>1.0</v>
      </c>
      <c r="Q31" s="53">
        <v>0.0</v>
      </c>
      <c r="R31" s="53">
        <v>1.0</v>
      </c>
      <c r="S31" s="53">
        <v>0.0</v>
      </c>
      <c r="T31" s="53">
        <v>2.0</v>
      </c>
      <c r="U31" s="53">
        <v>1.0</v>
      </c>
      <c r="V31" s="53">
        <v>1.0</v>
      </c>
      <c r="W31" s="53">
        <v>1.0</v>
      </c>
      <c r="X31" s="53">
        <v>1.0</v>
      </c>
      <c r="Y31" s="53">
        <v>1.0</v>
      </c>
      <c r="Z31" s="53">
        <v>1.0</v>
      </c>
      <c r="AA31" s="53">
        <v>0.0</v>
      </c>
      <c r="AB31" s="53">
        <v>2.0</v>
      </c>
      <c r="AC31" s="53">
        <v>2.0</v>
      </c>
      <c r="AD31" s="53">
        <v>1.0</v>
      </c>
      <c r="AE31" s="53">
        <v>0.0</v>
      </c>
      <c r="AF31" s="53">
        <v>0.0</v>
      </c>
      <c r="AG31" s="53">
        <v>2.0</v>
      </c>
      <c r="AH31" s="53">
        <v>0.0</v>
      </c>
      <c r="AI31" s="53">
        <v>0.0</v>
      </c>
      <c r="AJ31" s="53">
        <v>0.0</v>
      </c>
      <c r="AK31" s="53">
        <v>1.0</v>
      </c>
      <c r="AL31" s="53">
        <v>2.0</v>
      </c>
      <c r="AM31" s="53">
        <v>1.0</v>
      </c>
      <c r="AN31" s="53">
        <v>5.0</v>
      </c>
      <c r="AO31" s="25">
        <v>18.0</v>
      </c>
      <c r="AP31" s="54"/>
      <c r="AQ31" s="54"/>
      <c r="AR31" s="54"/>
      <c r="AS31" s="54"/>
      <c r="AT31" s="53">
        <v>0.0</v>
      </c>
      <c r="AU31" s="53">
        <v>13.6</v>
      </c>
      <c r="AV31" s="53">
        <v>7.52</v>
      </c>
      <c r="AW31" s="54"/>
      <c r="AX31" s="53">
        <v>13.63</v>
      </c>
      <c r="AY31" s="54"/>
      <c r="AZ31" s="53">
        <v>18.17</v>
      </c>
      <c r="BA31" s="53">
        <v>16.37</v>
      </c>
      <c r="BB31" s="53">
        <v>16.72</v>
      </c>
      <c r="BC31" s="53">
        <v>23.0</v>
      </c>
      <c r="BD31" s="53">
        <v>19.88</v>
      </c>
      <c r="BE31" s="53">
        <v>13.0</v>
      </c>
      <c r="BF31" s="53">
        <v>22.48</v>
      </c>
      <c r="BG31" s="54"/>
      <c r="BH31" s="53">
        <v>15.63</v>
      </c>
      <c r="BI31" s="53">
        <v>14.74</v>
      </c>
      <c r="BJ31" s="53">
        <v>24.38</v>
      </c>
      <c r="BK31" s="54"/>
      <c r="BL31" s="54"/>
      <c r="BM31" s="53">
        <v>15.28</v>
      </c>
      <c r="BN31" s="54"/>
      <c r="BO31" s="53">
        <v>0.36</v>
      </c>
      <c r="BP31" s="53">
        <v>2.17</v>
      </c>
      <c r="BQ31" s="53">
        <v>5.53</v>
      </c>
      <c r="BR31" s="53">
        <v>7.48</v>
      </c>
      <c r="BS31" s="55">
        <v>3.52</v>
      </c>
      <c r="BT31" s="91">
        <v>16.6</v>
      </c>
      <c r="BU31" s="55">
        <v>3.5</v>
      </c>
      <c r="BV31" s="55">
        <v>6.16</v>
      </c>
      <c r="BW31" s="54"/>
      <c r="BX31" s="53">
        <v>3000.0</v>
      </c>
      <c r="BY31" s="53" t="s">
        <v>123</v>
      </c>
      <c r="BZ31" s="58">
        <v>3000.0</v>
      </c>
      <c r="CA31" s="72"/>
      <c r="CB31" s="30">
        <v>3000.0</v>
      </c>
      <c r="CC31" s="31"/>
      <c r="CD31" s="58">
        <v>3000.0</v>
      </c>
      <c r="CE31" s="59" t="e">
        <v>#REF!</v>
      </c>
      <c r="CF31" s="60"/>
      <c r="CG31" s="61">
        <v>0.0</v>
      </c>
      <c r="CH31" s="62">
        <v>0.0</v>
      </c>
      <c r="CI31" s="63">
        <v>28.0</v>
      </c>
      <c r="CJ31" s="63">
        <v>3637.0</v>
      </c>
      <c r="CK31" s="64">
        <v>-150.0</v>
      </c>
      <c r="CL31" s="63">
        <v>3487.0</v>
      </c>
      <c r="CM31" s="65">
        <v>504.0</v>
      </c>
      <c r="CN31" s="63">
        <v>0.0</v>
      </c>
      <c r="CO31" s="66">
        <v>18.0</v>
      </c>
      <c r="CP31" s="67">
        <v>0.0</v>
      </c>
      <c r="CQ31" s="63">
        <v>61.0</v>
      </c>
      <c r="CR31" s="63">
        <v>61.0</v>
      </c>
      <c r="CS31" s="63">
        <v>99.0</v>
      </c>
      <c r="CT31" s="68"/>
      <c r="CU31" s="69"/>
      <c r="CV31" s="70"/>
      <c r="CW31" s="71">
        <v>10.0</v>
      </c>
      <c r="CX31" s="71" t="s">
        <v>138</v>
      </c>
      <c r="CY31" s="71" t="s">
        <v>139</v>
      </c>
      <c r="CZ31" s="45"/>
      <c r="DA31" s="44">
        <v>3000.0</v>
      </c>
      <c r="DB31" s="44">
        <v>0.0</v>
      </c>
      <c r="DC31" s="46" t="s">
        <v>127</v>
      </c>
      <c r="DD31" s="47">
        <v>46228.0</v>
      </c>
      <c r="DE31" s="43"/>
      <c r="DF31" s="43"/>
      <c r="DG31" s="48" t="s">
        <v>128</v>
      </c>
      <c r="DH31" s="48" t="s">
        <v>128</v>
      </c>
      <c r="DI31" s="48" t="s">
        <v>128</v>
      </c>
      <c r="DJ31" s="49">
        <v>0.0</v>
      </c>
      <c r="DK31" s="48" t="b">
        <v>0</v>
      </c>
      <c r="DL31" s="50" t="s">
        <v>203</v>
      </c>
      <c r="DM31" s="50" t="s">
        <v>131</v>
      </c>
      <c r="DN31" s="50" t="s">
        <v>204</v>
      </c>
      <c r="DO31" s="49">
        <v>0.89</v>
      </c>
      <c r="DP31" s="48" t="s">
        <v>128</v>
      </c>
      <c r="DQ31" s="48" t="s">
        <v>128</v>
      </c>
      <c r="DR31" s="51"/>
      <c r="DS31" s="48" t="s">
        <v>134</v>
      </c>
    </row>
    <row r="32">
      <c r="A32" s="23" t="s">
        <v>118</v>
      </c>
      <c r="B32" s="24">
        <v>3.0</v>
      </c>
      <c r="C32" s="23" t="s">
        <v>119</v>
      </c>
      <c r="D32" s="24">
        <v>640888.0</v>
      </c>
      <c r="E32" s="23" t="s">
        <v>161</v>
      </c>
      <c r="F32" s="23" t="s">
        <v>225</v>
      </c>
      <c r="G32" s="23" t="s">
        <v>226</v>
      </c>
      <c r="H32" s="24">
        <v>33020.0</v>
      </c>
      <c r="I32" s="24">
        <v>2.0</v>
      </c>
      <c r="J32" s="24">
        <v>0.0</v>
      </c>
      <c r="K32" s="24">
        <v>0.0</v>
      </c>
      <c r="L32" s="24">
        <v>0.0</v>
      </c>
      <c r="M32" s="24">
        <v>0.0</v>
      </c>
      <c r="N32" s="24">
        <v>0.0</v>
      </c>
      <c r="O32" s="24">
        <v>0.0</v>
      </c>
      <c r="P32" s="24">
        <v>0.0</v>
      </c>
      <c r="Q32" s="24">
        <v>0.0</v>
      </c>
      <c r="R32" s="24">
        <v>0.0</v>
      </c>
      <c r="S32" s="24">
        <v>0.0</v>
      </c>
      <c r="T32" s="24">
        <v>0.0</v>
      </c>
      <c r="U32" s="24">
        <v>0.0</v>
      </c>
      <c r="V32" s="24">
        <v>0.0</v>
      </c>
      <c r="W32" s="24">
        <v>2.0</v>
      </c>
      <c r="X32" s="24">
        <v>0.0</v>
      </c>
      <c r="Y32" s="24">
        <v>0.0</v>
      </c>
      <c r="Z32" s="24">
        <v>0.0</v>
      </c>
      <c r="AA32" s="24">
        <v>0.0</v>
      </c>
      <c r="AB32" s="24">
        <v>0.0</v>
      </c>
      <c r="AC32" s="24">
        <v>0.0</v>
      </c>
      <c r="AD32" s="24">
        <v>0.0</v>
      </c>
      <c r="AE32" s="24">
        <v>0.0</v>
      </c>
      <c r="AF32" s="24">
        <v>0.0</v>
      </c>
      <c r="AG32" s="24">
        <v>0.0</v>
      </c>
      <c r="AH32" s="24">
        <v>0.0</v>
      </c>
      <c r="AI32" s="24">
        <v>0.0</v>
      </c>
      <c r="AJ32" s="24">
        <v>0.0</v>
      </c>
      <c r="AK32" s="24">
        <v>0.0</v>
      </c>
      <c r="AL32" s="24">
        <v>0.0</v>
      </c>
      <c r="AM32" s="24">
        <v>0.0</v>
      </c>
      <c r="AN32" s="24">
        <v>0.0</v>
      </c>
      <c r="AO32" s="55">
        <v>16.2</v>
      </c>
      <c r="AP32" s="26"/>
      <c r="AQ32" s="26"/>
      <c r="AR32" s="26"/>
      <c r="AS32" s="26"/>
      <c r="AT32" s="26"/>
      <c r="AU32" s="26"/>
      <c r="AV32" s="26"/>
      <c r="AW32" s="26"/>
      <c r="AX32" s="26"/>
      <c r="AY32" s="26"/>
      <c r="AZ32" s="26"/>
      <c r="BA32" s="26"/>
      <c r="BB32" s="26"/>
      <c r="BC32" s="24">
        <v>16.17</v>
      </c>
      <c r="BD32" s="26"/>
      <c r="BE32" s="26"/>
      <c r="BF32" s="26"/>
      <c r="BG32" s="26"/>
      <c r="BH32" s="26"/>
      <c r="BI32" s="26"/>
      <c r="BJ32" s="26"/>
      <c r="BK32" s="26"/>
      <c r="BL32" s="26"/>
      <c r="BM32" s="26"/>
      <c r="BN32" s="26"/>
      <c r="BO32" s="26"/>
      <c r="BP32" s="24">
        <v>1.38</v>
      </c>
      <c r="BQ32" s="24">
        <v>5.36</v>
      </c>
      <c r="BR32" s="24">
        <v>6.49</v>
      </c>
      <c r="BS32" s="55">
        <v>3.48</v>
      </c>
      <c r="BT32" s="27"/>
      <c r="BU32" s="26"/>
      <c r="BV32" s="26"/>
      <c r="BW32" s="26"/>
      <c r="BX32" s="24">
        <v>2700.0</v>
      </c>
      <c r="BY32" s="24" t="s">
        <v>123</v>
      </c>
      <c r="BZ32" s="28">
        <v>2700.0</v>
      </c>
      <c r="CA32" s="72"/>
      <c r="CB32" s="30">
        <v>3000.0</v>
      </c>
      <c r="CC32" s="31"/>
      <c r="CD32" s="28">
        <v>3000.0</v>
      </c>
      <c r="CE32" s="32" t="e">
        <v>#REF!</v>
      </c>
      <c r="CF32" s="73">
        <f>+300</f>
        <v>300</v>
      </c>
      <c r="CG32" s="74">
        <f>+1</f>
        <v>1</v>
      </c>
      <c r="CH32" s="35">
        <v>0.5</v>
      </c>
      <c r="CI32" s="36">
        <v>3.0</v>
      </c>
      <c r="CJ32" s="36">
        <v>3637.0</v>
      </c>
      <c r="CK32" s="37">
        <v>-150.0</v>
      </c>
      <c r="CL32" s="36">
        <v>3487.0</v>
      </c>
      <c r="CM32" s="38">
        <v>32.0</v>
      </c>
      <c r="CN32" s="36">
        <v>-6.0</v>
      </c>
      <c r="CO32" s="39">
        <v>12.8</v>
      </c>
      <c r="CP32" s="40">
        <v>-3.4</v>
      </c>
      <c r="CQ32" s="36">
        <v>3.0</v>
      </c>
      <c r="CR32" s="36">
        <v>4.0</v>
      </c>
      <c r="CS32" s="36">
        <v>10.0</v>
      </c>
      <c r="CT32" s="41"/>
      <c r="CU32" s="42"/>
      <c r="CV32" s="43"/>
      <c r="CW32" s="44">
        <v>10.0</v>
      </c>
      <c r="CX32" s="44" t="s">
        <v>138</v>
      </c>
      <c r="CY32" s="44" t="s">
        <v>139</v>
      </c>
      <c r="CZ32" s="76" t="s">
        <v>151</v>
      </c>
      <c r="DA32" s="44">
        <v>3000.0</v>
      </c>
      <c r="DB32" s="44">
        <v>0.0</v>
      </c>
      <c r="DC32" s="43"/>
      <c r="DD32" s="78"/>
      <c r="DE32" s="43"/>
      <c r="DF32" s="43"/>
      <c r="DG32" s="48" t="s">
        <v>128</v>
      </c>
      <c r="DH32" s="48" t="s">
        <v>128</v>
      </c>
      <c r="DI32" s="48" t="s">
        <v>128</v>
      </c>
      <c r="DJ32" s="49">
        <v>0.0</v>
      </c>
      <c r="DK32" s="48" t="b">
        <v>0</v>
      </c>
      <c r="DL32" s="50" t="s">
        <v>203</v>
      </c>
      <c r="DM32" s="50" t="s">
        <v>131</v>
      </c>
      <c r="DN32" s="50" t="s">
        <v>204</v>
      </c>
      <c r="DO32" s="49">
        <v>0.89</v>
      </c>
      <c r="DP32" s="48" t="s">
        <v>128</v>
      </c>
      <c r="DQ32" s="48" t="s">
        <v>128</v>
      </c>
      <c r="DR32" s="51"/>
      <c r="DS32" s="48" t="s">
        <v>134</v>
      </c>
    </row>
    <row r="33">
      <c r="A33" s="52" t="s">
        <v>118</v>
      </c>
      <c r="B33" s="53">
        <v>3.0</v>
      </c>
      <c r="C33" s="52" t="s">
        <v>119</v>
      </c>
      <c r="D33" s="53">
        <v>639495.0</v>
      </c>
      <c r="E33" s="52" t="s">
        <v>155</v>
      </c>
      <c r="F33" s="52" t="s">
        <v>227</v>
      </c>
      <c r="G33" s="52" t="s">
        <v>228</v>
      </c>
      <c r="H33" s="53">
        <v>33020.0</v>
      </c>
      <c r="I33" s="53">
        <v>50.0</v>
      </c>
      <c r="J33" s="53">
        <v>0.0</v>
      </c>
      <c r="K33" s="53">
        <v>0.0</v>
      </c>
      <c r="L33" s="53">
        <v>2.0</v>
      </c>
      <c r="M33" s="53">
        <v>0.0</v>
      </c>
      <c r="N33" s="53">
        <v>5.0</v>
      </c>
      <c r="O33" s="53">
        <v>1.0</v>
      </c>
      <c r="P33" s="53">
        <v>2.0</v>
      </c>
      <c r="Q33" s="53">
        <v>0.0</v>
      </c>
      <c r="R33" s="53">
        <v>1.0</v>
      </c>
      <c r="S33" s="53">
        <v>1.0</v>
      </c>
      <c r="T33" s="53">
        <v>2.0</v>
      </c>
      <c r="U33" s="53">
        <v>1.0</v>
      </c>
      <c r="V33" s="53">
        <v>3.0</v>
      </c>
      <c r="W33" s="53">
        <v>1.0</v>
      </c>
      <c r="X33" s="53">
        <v>2.0</v>
      </c>
      <c r="Y33" s="53">
        <v>0.0</v>
      </c>
      <c r="Z33" s="53">
        <v>2.0</v>
      </c>
      <c r="AA33" s="53">
        <v>2.0</v>
      </c>
      <c r="AB33" s="53">
        <v>1.0</v>
      </c>
      <c r="AC33" s="53">
        <v>4.0</v>
      </c>
      <c r="AD33" s="53">
        <v>1.0</v>
      </c>
      <c r="AE33" s="53">
        <v>0.0</v>
      </c>
      <c r="AF33" s="53">
        <v>1.0</v>
      </c>
      <c r="AG33" s="53">
        <v>3.0</v>
      </c>
      <c r="AH33" s="53">
        <v>2.0</v>
      </c>
      <c r="AI33" s="53">
        <v>4.0</v>
      </c>
      <c r="AJ33" s="53">
        <v>2.0</v>
      </c>
      <c r="AK33" s="53">
        <v>0.0</v>
      </c>
      <c r="AL33" s="53">
        <v>0.0</v>
      </c>
      <c r="AM33" s="53">
        <v>5.0</v>
      </c>
      <c r="AN33" s="53">
        <v>2.0</v>
      </c>
      <c r="AO33" s="25">
        <v>18.4</v>
      </c>
      <c r="AP33" s="54"/>
      <c r="AQ33" s="54"/>
      <c r="AR33" s="53">
        <v>12.29</v>
      </c>
      <c r="AS33" s="54"/>
      <c r="AT33" s="53">
        <v>0.0</v>
      </c>
      <c r="AU33" s="53">
        <v>25.22</v>
      </c>
      <c r="AV33" s="53">
        <v>15.21</v>
      </c>
      <c r="AW33" s="54"/>
      <c r="AX33" s="53">
        <v>35.45</v>
      </c>
      <c r="AY33" s="53">
        <v>18.77</v>
      </c>
      <c r="AZ33" s="53">
        <v>19.49</v>
      </c>
      <c r="BA33" s="53">
        <v>18.03</v>
      </c>
      <c r="BB33" s="53">
        <v>14.26</v>
      </c>
      <c r="BC33" s="53">
        <v>14.35</v>
      </c>
      <c r="BD33" s="53">
        <v>15.59</v>
      </c>
      <c r="BE33" s="54"/>
      <c r="BF33" s="53">
        <v>18.1</v>
      </c>
      <c r="BG33" s="53">
        <v>16.96</v>
      </c>
      <c r="BH33" s="53">
        <v>27.18</v>
      </c>
      <c r="BI33" s="53">
        <v>15.62</v>
      </c>
      <c r="BJ33" s="53">
        <v>12.4</v>
      </c>
      <c r="BK33" s="54"/>
      <c r="BL33" s="53">
        <v>22.87</v>
      </c>
      <c r="BM33" s="53">
        <v>17.62</v>
      </c>
      <c r="BN33" s="53">
        <v>19.26</v>
      </c>
      <c r="BO33" s="53">
        <v>0.35</v>
      </c>
      <c r="BP33" s="53">
        <v>1.58</v>
      </c>
      <c r="BQ33" s="53">
        <v>6.05</v>
      </c>
      <c r="BR33" s="53">
        <v>7.42</v>
      </c>
      <c r="BS33" s="55">
        <v>3.03</v>
      </c>
      <c r="BT33" s="56">
        <v>19.1</v>
      </c>
      <c r="BU33" s="57">
        <v>2.8</v>
      </c>
      <c r="BV33" s="25">
        <v>8.31</v>
      </c>
      <c r="BW33" s="53">
        <v>800.0</v>
      </c>
      <c r="BX33" s="53">
        <v>3000.0</v>
      </c>
      <c r="BY33" s="53" t="s">
        <v>123</v>
      </c>
      <c r="BZ33" s="58">
        <v>2700.0</v>
      </c>
      <c r="CA33" s="29" t="s">
        <v>124</v>
      </c>
      <c r="CB33" s="30">
        <v>3000.0</v>
      </c>
      <c r="CC33" s="31"/>
      <c r="CD33" s="58">
        <v>3000.0</v>
      </c>
      <c r="CE33" s="59" t="e">
        <v>#REF!</v>
      </c>
      <c r="CF33" s="60"/>
      <c r="CG33" s="61">
        <v>0.0</v>
      </c>
      <c r="CH33" s="62">
        <v>0.0</v>
      </c>
      <c r="CI33" s="63">
        <v>50.0</v>
      </c>
      <c r="CJ33" s="63">
        <v>3637.0</v>
      </c>
      <c r="CK33" s="64">
        <v>-150.0</v>
      </c>
      <c r="CL33" s="63">
        <v>3487.0</v>
      </c>
      <c r="CM33" s="65">
        <v>920.0</v>
      </c>
      <c r="CN33" s="63">
        <v>0.0</v>
      </c>
      <c r="CO33" s="66">
        <v>18.4</v>
      </c>
      <c r="CP33" s="67">
        <v>0.0</v>
      </c>
      <c r="CQ33" s="63">
        <v>79.0</v>
      </c>
      <c r="CR33" s="63">
        <v>79.0</v>
      </c>
      <c r="CS33" s="63">
        <v>152.0</v>
      </c>
      <c r="CT33" s="68"/>
      <c r="CU33" s="69"/>
      <c r="CV33" s="70"/>
      <c r="CW33" s="71">
        <v>10.0</v>
      </c>
      <c r="CX33" s="71" t="s">
        <v>138</v>
      </c>
      <c r="CY33" s="71" t="s">
        <v>139</v>
      </c>
      <c r="CZ33" s="45"/>
      <c r="DA33" s="44">
        <v>3000.0</v>
      </c>
      <c r="DB33" s="44">
        <v>0.0</v>
      </c>
      <c r="DC33" s="46" t="s">
        <v>127</v>
      </c>
      <c r="DD33" s="47">
        <v>46218.0</v>
      </c>
      <c r="DE33" s="43"/>
      <c r="DF33" s="43"/>
      <c r="DG33" s="48" t="s">
        <v>128</v>
      </c>
      <c r="DH33" s="48" t="s">
        <v>128</v>
      </c>
      <c r="DI33" s="48" t="s">
        <v>128</v>
      </c>
      <c r="DJ33" s="49">
        <v>1.0</v>
      </c>
      <c r="DK33" s="48" t="b">
        <v>0</v>
      </c>
      <c r="DL33" s="50" t="s">
        <v>203</v>
      </c>
      <c r="DM33" s="50" t="s">
        <v>131</v>
      </c>
      <c r="DN33" s="50" t="s">
        <v>204</v>
      </c>
      <c r="DO33" s="49">
        <v>0.89</v>
      </c>
      <c r="DP33" s="48" t="s">
        <v>128</v>
      </c>
      <c r="DQ33" s="48" t="s">
        <v>128</v>
      </c>
      <c r="DR33" s="51"/>
      <c r="DS33" s="48" t="s">
        <v>134</v>
      </c>
    </row>
    <row r="34">
      <c r="A34" s="23" t="s">
        <v>118</v>
      </c>
      <c r="B34" s="24">
        <v>3.0</v>
      </c>
      <c r="C34" s="23" t="s">
        <v>119</v>
      </c>
      <c r="D34" s="24">
        <v>604008.0</v>
      </c>
      <c r="E34" s="23" t="s">
        <v>176</v>
      </c>
      <c r="F34" s="23" t="s">
        <v>229</v>
      </c>
      <c r="G34" s="23" t="s">
        <v>230</v>
      </c>
      <c r="H34" s="24">
        <v>33020.0</v>
      </c>
      <c r="I34" s="24">
        <v>8.0</v>
      </c>
      <c r="J34" s="24">
        <v>0.0</v>
      </c>
      <c r="K34" s="24">
        <v>0.0</v>
      </c>
      <c r="L34" s="24">
        <v>0.0</v>
      </c>
      <c r="M34" s="24">
        <v>0.0</v>
      </c>
      <c r="N34" s="24">
        <v>0.0</v>
      </c>
      <c r="O34" s="24">
        <v>0.0</v>
      </c>
      <c r="P34" s="24">
        <v>0.0</v>
      </c>
      <c r="Q34" s="24">
        <v>0.0</v>
      </c>
      <c r="R34" s="24">
        <v>0.0</v>
      </c>
      <c r="S34" s="24">
        <v>0.0</v>
      </c>
      <c r="T34" s="24">
        <v>0.0</v>
      </c>
      <c r="U34" s="24">
        <v>1.0</v>
      </c>
      <c r="V34" s="24">
        <v>1.0</v>
      </c>
      <c r="W34" s="24">
        <v>1.0</v>
      </c>
      <c r="X34" s="24">
        <v>0.0</v>
      </c>
      <c r="Y34" s="24">
        <v>1.0</v>
      </c>
      <c r="Z34" s="24">
        <v>0.0</v>
      </c>
      <c r="AA34" s="24">
        <v>1.0</v>
      </c>
      <c r="AB34" s="24">
        <v>0.0</v>
      </c>
      <c r="AC34" s="24">
        <v>0.0</v>
      </c>
      <c r="AD34" s="24">
        <v>2.0</v>
      </c>
      <c r="AE34" s="24">
        <v>0.0</v>
      </c>
      <c r="AF34" s="24">
        <v>0.0</v>
      </c>
      <c r="AG34" s="24">
        <v>0.0</v>
      </c>
      <c r="AH34" s="24">
        <v>0.0</v>
      </c>
      <c r="AI34" s="24">
        <v>0.0</v>
      </c>
      <c r="AJ34" s="24">
        <v>0.0</v>
      </c>
      <c r="AK34" s="24">
        <v>0.0</v>
      </c>
      <c r="AL34" s="24">
        <v>0.0</v>
      </c>
      <c r="AM34" s="24">
        <v>1.0</v>
      </c>
      <c r="AN34" s="24">
        <v>0.0</v>
      </c>
      <c r="AO34" s="57">
        <v>14.1</v>
      </c>
      <c r="AP34" s="26"/>
      <c r="AQ34" s="26"/>
      <c r="AR34" s="26"/>
      <c r="AS34" s="26"/>
      <c r="AT34" s="26"/>
      <c r="AU34" s="26"/>
      <c r="AV34" s="26"/>
      <c r="AW34" s="26"/>
      <c r="AX34" s="26"/>
      <c r="AY34" s="26"/>
      <c r="AZ34" s="26"/>
      <c r="BA34" s="24">
        <v>12.8</v>
      </c>
      <c r="BB34" s="24">
        <v>8.97</v>
      </c>
      <c r="BC34" s="24">
        <v>11.5</v>
      </c>
      <c r="BD34" s="26"/>
      <c r="BE34" s="24">
        <v>15.2</v>
      </c>
      <c r="BF34" s="26"/>
      <c r="BG34" s="24">
        <v>18.47</v>
      </c>
      <c r="BH34" s="26"/>
      <c r="BI34" s="26"/>
      <c r="BJ34" s="24">
        <v>16.43</v>
      </c>
      <c r="BK34" s="26"/>
      <c r="BL34" s="26"/>
      <c r="BM34" s="26"/>
      <c r="BN34" s="26"/>
      <c r="BO34" s="24">
        <v>0.22</v>
      </c>
      <c r="BP34" s="24">
        <v>0.86</v>
      </c>
      <c r="BQ34" s="24">
        <v>4.18</v>
      </c>
      <c r="BR34" s="24">
        <v>4.82</v>
      </c>
      <c r="BS34" s="55">
        <v>3.03</v>
      </c>
      <c r="BT34" s="91">
        <v>15.2</v>
      </c>
      <c r="BU34" s="55">
        <v>3.8</v>
      </c>
      <c r="BV34" s="55">
        <v>6.41</v>
      </c>
      <c r="BW34" s="26"/>
      <c r="BX34" s="24">
        <v>2700.0</v>
      </c>
      <c r="BY34" s="24" t="s">
        <v>123</v>
      </c>
      <c r="BZ34" s="28">
        <v>2700.0</v>
      </c>
      <c r="CA34" s="72"/>
      <c r="CB34" s="30">
        <v>3000.0</v>
      </c>
      <c r="CC34" s="31"/>
      <c r="CD34" s="28">
        <v>3000.0</v>
      </c>
      <c r="CE34" s="32" t="e">
        <v>#REF!</v>
      </c>
      <c r="CF34" s="73">
        <f>+300</f>
        <v>300</v>
      </c>
      <c r="CG34" s="74">
        <f>+1</f>
        <v>1</v>
      </c>
      <c r="CH34" s="35">
        <v>0.13</v>
      </c>
      <c r="CI34" s="36">
        <v>9.0</v>
      </c>
      <c r="CJ34" s="36">
        <v>3637.0</v>
      </c>
      <c r="CK34" s="37">
        <v>-150.0</v>
      </c>
      <c r="CL34" s="36">
        <v>3487.0</v>
      </c>
      <c r="CM34" s="38">
        <v>113.0</v>
      </c>
      <c r="CN34" s="36">
        <v>-19.0</v>
      </c>
      <c r="CO34" s="39">
        <v>14.6</v>
      </c>
      <c r="CP34" s="40">
        <v>0.5</v>
      </c>
      <c r="CQ34" s="36">
        <v>7.0</v>
      </c>
      <c r="CR34" s="36">
        <v>8.0</v>
      </c>
      <c r="CS34" s="36">
        <v>27.0</v>
      </c>
      <c r="CT34" s="41"/>
      <c r="CU34" s="42"/>
      <c r="CV34" s="43"/>
      <c r="CW34" s="44">
        <v>10.0</v>
      </c>
      <c r="CX34" s="44" t="s">
        <v>138</v>
      </c>
      <c r="CY34" s="44" t="s">
        <v>139</v>
      </c>
      <c r="CZ34" s="76" t="s">
        <v>151</v>
      </c>
      <c r="DA34" s="44">
        <v>3000.0</v>
      </c>
      <c r="DB34" s="44">
        <v>0.0</v>
      </c>
      <c r="DC34" s="46" t="s">
        <v>127</v>
      </c>
      <c r="DD34" s="47">
        <v>46213.0</v>
      </c>
      <c r="DE34" s="43"/>
      <c r="DF34" s="43"/>
      <c r="DG34" s="48" t="s">
        <v>128</v>
      </c>
      <c r="DH34" s="48" t="s">
        <v>128</v>
      </c>
      <c r="DI34" s="48" t="s">
        <v>128</v>
      </c>
      <c r="DJ34" s="49">
        <v>1.0</v>
      </c>
      <c r="DK34" s="48" t="b">
        <v>1</v>
      </c>
      <c r="DL34" s="50" t="s">
        <v>203</v>
      </c>
      <c r="DM34" s="50" t="s">
        <v>131</v>
      </c>
      <c r="DN34" s="50" t="s">
        <v>204</v>
      </c>
      <c r="DO34" s="49">
        <v>0.89</v>
      </c>
      <c r="DP34" s="48" t="s">
        <v>128</v>
      </c>
      <c r="DQ34" s="48" t="s">
        <v>128</v>
      </c>
      <c r="DR34" s="51"/>
      <c r="DS34" s="48" t="s">
        <v>134</v>
      </c>
    </row>
    <row r="35">
      <c r="A35" s="52" t="s">
        <v>118</v>
      </c>
      <c r="B35" s="53">
        <v>3.0</v>
      </c>
      <c r="C35" s="52" t="s">
        <v>119</v>
      </c>
      <c r="D35" s="53">
        <v>627274.0</v>
      </c>
      <c r="E35" s="52" t="s">
        <v>173</v>
      </c>
      <c r="F35" s="52" t="s">
        <v>231</v>
      </c>
      <c r="G35" s="52" t="s">
        <v>232</v>
      </c>
      <c r="H35" s="53">
        <v>33020.0</v>
      </c>
      <c r="I35" s="53">
        <v>22.0</v>
      </c>
      <c r="J35" s="53">
        <v>0.0</v>
      </c>
      <c r="K35" s="53">
        <v>1.0</v>
      </c>
      <c r="L35" s="53">
        <v>0.0</v>
      </c>
      <c r="M35" s="53">
        <v>0.0</v>
      </c>
      <c r="N35" s="53">
        <v>1.0</v>
      </c>
      <c r="O35" s="53">
        <v>0.0</v>
      </c>
      <c r="P35" s="53">
        <v>0.0</v>
      </c>
      <c r="Q35" s="53">
        <v>1.0</v>
      </c>
      <c r="R35" s="53">
        <v>0.0</v>
      </c>
      <c r="S35" s="53">
        <v>0.0</v>
      </c>
      <c r="T35" s="53">
        <v>1.0</v>
      </c>
      <c r="U35" s="53">
        <v>2.0</v>
      </c>
      <c r="V35" s="53">
        <v>1.0</v>
      </c>
      <c r="W35" s="53">
        <v>3.0</v>
      </c>
      <c r="X35" s="53">
        <v>0.0</v>
      </c>
      <c r="Y35" s="53">
        <v>0.0</v>
      </c>
      <c r="Z35" s="53">
        <v>1.0</v>
      </c>
      <c r="AA35" s="53">
        <v>4.0</v>
      </c>
      <c r="AB35" s="53">
        <v>0.0</v>
      </c>
      <c r="AC35" s="53">
        <v>0.0</v>
      </c>
      <c r="AD35" s="53">
        <v>1.0</v>
      </c>
      <c r="AE35" s="53">
        <v>0.0</v>
      </c>
      <c r="AF35" s="53">
        <v>1.0</v>
      </c>
      <c r="AG35" s="53">
        <v>0.0</v>
      </c>
      <c r="AH35" s="53">
        <v>1.0</v>
      </c>
      <c r="AI35" s="53">
        <v>0.0</v>
      </c>
      <c r="AJ35" s="53">
        <v>0.0</v>
      </c>
      <c r="AK35" s="53">
        <v>1.0</v>
      </c>
      <c r="AL35" s="53">
        <v>1.0</v>
      </c>
      <c r="AM35" s="53">
        <v>0.0</v>
      </c>
      <c r="AN35" s="53">
        <v>2.0</v>
      </c>
      <c r="AO35" s="25">
        <v>17.5</v>
      </c>
      <c r="AP35" s="54"/>
      <c r="AQ35" s="53">
        <v>15.03</v>
      </c>
      <c r="AR35" s="54"/>
      <c r="AS35" s="54"/>
      <c r="AT35" s="53">
        <v>0.0</v>
      </c>
      <c r="AU35" s="54"/>
      <c r="AV35" s="54"/>
      <c r="AW35" s="53">
        <v>13.1</v>
      </c>
      <c r="AX35" s="54"/>
      <c r="AY35" s="54"/>
      <c r="AZ35" s="53">
        <v>11.07</v>
      </c>
      <c r="BA35" s="53">
        <v>12.89</v>
      </c>
      <c r="BB35" s="53">
        <v>15.85</v>
      </c>
      <c r="BC35" s="53">
        <v>16.26</v>
      </c>
      <c r="BD35" s="54"/>
      <c r="BE35" s="54"/>
      <c r="BF35" s="53">
        <v>13.13</v>
      </c>
      <c r="BG35" s="53">
        <v>15.76</v>
      </c>
      <c r="BH35" s="54"/>
      <c r="BI35" s="54"/>
      <c r="BJ35" s="53">
        <v>12.42</v>
      </c>
      <c r="BK35" s="54"/>
      <c r="BL35" s="53">
        <v>22.23</v>
      </c>
      <c r="BM35" s="54"/>
      <c r="BN35" s="53">
        <v>18.97</v>
      </c>
      <c r="BO35" s="53">
        <v>0.47</v>
      </c>
      <c r="BP35" s="53">
        <v>2.18</v>
      </c>
      <c r="BQ35" s="53">
        <v>6.17</v>
      </c>
      <c r="BR35" s="53">
        <v>8.14</v>
      </c>
      <c r="BS35" s="57">
        <v>2.76</v>
      </c>
      <c r="BT35" s="91">
        <v>15.3</v>
      </c>
      <c r="BU35" s="55">
        <v>4.0</v>
      </c>
      <c r="BV35" s="57">
        <v>5.43</v>
      </c>
      <c r="BW35" s="54"/>
      <c r="BX35" s="53">
        <v>3000.0</v>
      </c>
      <c r="BY35" s="53" t="s">
        <v>123</v>
      </c>
      <c r="BZ35" s="58">
        <v>3000.0</v>
      </c>
      <c r="CA35" s="72"/>
      <c r="CB35" s="30">
        <v>3000.0</v>
      </c>
      <c r="CC35" s="31"/>
      <c r="CD35" s="58">
        <v>3000.0</v>
      </c>
      <c r="CE35" s="59" t="e">
        <v>#REF!</v>
      </c>
      <c r="CF35" s="60"/>
      <c r="CG35" s="61">
        <v>0.0</v>
      </c>
      <c r="CH35" s="62">
        <v>0.0</v>
      </c>
      <c r="CI35" s="63">
        <v>22.0</v>
      </c>
      <c r="CJ35" s="63">
        <v>3637.0</v>
      </c>
      <c r="CK35" s="64">
        <v>-150.0</v>
      </c>
      <c r="CL35" s="63">
        <v>3487.0</v>
      </c>
      <c r="CM35" s="65">
        <v>385.0</v>
      </c>
      <c r="CN35" s="63">
        <v>0.0</v>
      </c>
      <c r="CO35" s="66">
        <v>17.5</v>
      </c>
      <c r="CP35" s="67">
        <v>0.0</v>
      </c>
      <c r="CQ35" s="63">
        <v>48.0</v>
      </c>
      <c r="CR35" s="63">
        <v>48.0</v>
      </c>
      <c r="CS35" s="63">
        <v>61.0</v>
      </c>
      <c r="CT35" s="68"/>
      <c r="CU35" s="69"/>
      <c r="CV35" s="70"/>
      <c r="CW35" s="71">
        <v>10.0</v>
      </c>
      <c r="CX35" s="71" t="s">
        <v>138</v>
      </c>
      <c r="CY35" s="71" t="s">
        <v>139</v>
      </c>
      <c r="CZ35" s="45"/>
      <c r="DA35" s="44">
        <v>3000.0</v>
      </c>
      <c r="DB35" s="44">
        <v>0.0</v>
      </c>
      <c r="DC35" s="46" t="s">
        <v>127</v>
      </c>
      <c r="DD35" s="47">
        <v>46240.0</v>
      </c>
      <c r="DE35" s="43"/>
      <c r="DF35" s="43"/>
      <c r="DG35" s="48" t="s">
        <v>128</v>
      </c>
      <c r="DH35" s="48" t="s">
        <v>128</v>
      </c>
      <c r="DI35" s="48" t="s">
        <v>128</v>
      </c>
      <c r="DJ35" s="49">
        <v>1.0</v>
      </c>
      <c r="DK35" s="48" t="b">
        <v>1</v>
      </c>
      <c r="DL35" s="50" t="s">
        <v>203</v>
      </c>
      <c r="DM35" s="50" t="s">
        <v>131</v>
      </c>
      <c r="DN35" s="50" t="s">
        <v>204</v>
      </c>
      <c r="DO35" s="49">
        <v>0.89</v>
      </c>
      <c r="DP35" s="48" t="s">
        <v>128</v>
      </c>
      <c r="DQ35" s="48" t="s">
        <v>128</v>
      </c>
      <c r="DR35" s="51"/>
      <c r="DS35" s="48" t="s">
        <v>134</v>
      </c>
    </row>
    <row r="36">
      <c r="A36" s="23" t="s">
        <v>118</v>
      </c>
      <c r="B36" s="24">
        <v>3.0</v>
      </c>
      <c r="C36" s="23" t="s">
        <v>119</v>
      </c>
      <c r="D36" s="24">
        <v>576393.0</v>
      </c>
      <c r="E36" s="23" t="s">
        <v>164</v>
      </c>
      <c r="F36" s="23" t="s">
        <v>233</v>
      </c>
      <c r="G36" s="23" t="s">
        <v>234</v>
      </c>
      <c r="H36" s="24">
        <v>33020.0</v>
      </c>
      <c r="I36" s="24">
        <v>33.0</v>
      </c>
      <c r="J36" s="24">
        <v>0.0</v>
      </c>
      <c r="K36" s="24">
        <v>1.0</v>
      </c>
      <c r="L36" s="24">
        <v>0.0</v>
      </c>
      <c r="M36" s="24">
        <v>0.0</v>
      </c>
      <c r="N36" s="24">
        <v>0.0</v>
      </c>
      <c r="O36" s="24">
        <v>0.0</v>
      </c>
      <c r="P36" s="24">
        <v>0.0</v>
      </c>
      <c r="Q36" s="24">
        <v>1.0</v>
      </c>
      <c r="R36" s="24">
        <v>0.0</v>
      </c>
      <c r="S36" s="24">
        <v>2.0</v>
      </c>
      <c r="T36" s="24">
        <v>1.0</v>
      </c>
      <c r="U36" s="24">
        <v>3.0</v>
      </c>
      <c r="V36" s="24">
        <v>2.0</v>
      </c>
      <c r="W36" s="24">
        <v>2.0</v>
      </c>
      <c r="X36" s="24">
        <v>2.0</v>
      </c>
      <c r="Y36" s="24">
        <v>3.0</v>
      </c>
      <c r="Z36" s="24">
        <v>1.0</v>
      </c>
      <c r="AA36" s="24">
        <v>3.0</v>
      </c>
      <c r="AB36" s="24">
        <v>0.0</v>
      </c>
      <c r="AC36" s="24">
        <v>2.0</v>
      </c>
      <c r="AD36" s="24">
        <v>0.0</v>
      </c>
      <c r="AE36" s="24">
        <v>0.0</v>
      </c>
      <c r="AF36" s="24">
        <v>1.0</v>
      </c>
      <c r="AG36" s="24">
        <v>1.0</v>
      </c>
      <c r="AH36" s="24">
        <v>0.0</v>
      </c>
      <c r="AI36" s="24">
        <v>1.0</v>
      </c>
      <c r="AJ36" s="24">
        <v>3.0</v>
      </c>
      <c r="AK36" s="24">
        <v>2.0</v>
      </c>
      <c r="AL36" s="24">
        <v>2.0</v>
      </c>
      <c r="AM36" s="24">
        <v>0.0</v>
      </c>
      <c r="AN36" s="24">
        <v>0.0</v>
      </c>
      <c r="AO36" s="55">
        <v>15.7</v>
      </c>
      <c r="AP36" s="26"/>
      <c r="AQ36" s="24">
        <v>9.1</v>
      </c>
      <c r="AR36" s="26"/>
      <c r="AS36" s="26"/>
      <c r="AT36" s="26"/>
      <c r="AU36" s="26"/>
      <c r="AV36" s="26"/>
      <c r="AW36" s="24">
        <v>15.08</v>
      </c>
      <c r="AX36" s="26"/>
      <c r="AY36" s="24">
        <v>16.81</v>
      </c>
      <c r="AZ36" s="26"/>
      <c r="BA36" s="24">
        <v>13.89</v>
      </c>
      <c r="BB36" s="24">
        <v>12.84</v>
      </c>
      <c r="BC36" s="24">
        <v>13.15</v>
      </c>
      <c r="BD36" s="24">
        <v>22.86</v>
      </c>
      <c r="BE36" s="24">
        <v>15.66</v>
      </c>
      <c r="BF36" s="24">
        <v>16.32</v>
      </c>
      <c r="BG36" s="24">
        <v>16.26</v>
      </c>
      <c r="BH36" s="26"/>
      <c r="BI36" s="24">
        <v>23.87</v>
      </c>
      <c r="BJ36" s="26"/>
      <c r="BK36" s="26"/>
      <c r="BL36" s="24">
        <v>17.8</v>
      </c>
      <c r="BM36" s="24">
        <v>18.0</v>
      </c>
      <c r="BN36" s="26"/>
      <c r="BO36" s="24">
        <v>0.26</v>
      </c>
      <c r="BP36" s="24">
        <v>1.87</v>
      </c>
      <c r="BQ36" s="24">
        <v>5.07</v>
      </c>
      <c r="BR36" s="24">
        <v>6.74</v>
      </c>
      <c r="BS36" s="57">
        <v>2.43</v>
      </c>
      <c r="BT36" s="91">
        <v>15.7</v>
      </c>
      <c r="BU36" s="57">
        <v>1.7</v>
      </c>
      <c r="BV36" s="55">
        <v>6.4</v>
      </c>
      <c r="BW36" s="26"/>
      <c r="BX36" s="24">
        <v>3000.0</v>
      </c>
      <c r="BY36" s="24" t="s">
        <v>123</v>
      </c>
      <c r="BZ36" s="28">
        <v>3000.0</v>
      </c>
      <c r="CA36" s="72"/>
      <c r="CB36" s="30">
        <v>3000.0</v>
      </c>
      <c r="CC36" s="31"/>
      <c r="CD36" s="28">
        <v>3000.0</v>
      </c>
      <c r="CE36" s="32" t="e">
        <v>#REF!</v>
      </c>
      <c r="CF36" s="33"/>
      <c r="CG36" s="34">
        <v>0.0</v>
      </c>
      <c r="CH36" s="35">
        <v>0.0</v>
      </c>
      <c r="CI36" s="36">
        <v>33.0</v>
      </c>
      <c r="CJ36" s="36">
        <v>3637.0</v>
      </c>
      <c r="CK36" s="37">
        <v>-150.0</v>
      </c>
      <c r="CL36" s="36">
        <v>3487.0</v>
      </c>
      <c r="CM36" s="38">
        <v>518.0</v>
      </c>
      <c r="CN36" s="36">
        <v>0.0</v>
      </c>
      <c r="CO36" s="39">
        <v>15.7</v>
      </c>
      <c r="CP36" s="40">
        <v>0.0</v>
      </c>
      <c r="CQ36" s="36">
        <v>62.0</v>
      </c>
      <c r="CR36" s="36">
        <v>62.0</v>
      </c>
      <c r="CS36" s="36">
        <v>80.0</v>
      </c>
      <c r="CT36" s="41"/>
      <c r="CU36" s="42"/>
      <c r="CV36" s="43"/>
      <c r="CW36" s="44">
        <v>10.0</v>
      </c>
      <c r="CX36" s="44" t="s">
        <v>138</v>
      </c>
      <c r="CY36" s="44" t="s">
        <v>139</v>
      </c>
      <c r="CZ36" s="45"/>
      <c r="DA36" s="44">
        <v>3000.0</v>
      </c>
      <c r="DB36" s="44">
        <v>0.0</v>
      </c>
      <c r="DC36" s="46" t="s">
        <v>127</v>
      </c>
      <c r="DD36" s="47">
        <v>46240.0</v>
      </c>
      <c r="DE36" s="43"/>
      <c r="DF36" s="43"/>
      <c r="DG36" s="48" t="s">
        <v>128</v>
      </c>
      <c r="DH36" s="48" t="s">
        <v>128</v>
      </c>
      <c r="DI36" s="48" t="s">
        <v>128</v>
      </c>
      <c r="DJ36" s="49">
        <v>1.0</v>
      </c>
      <c r="DK36" s="48" t="b">
        <v>1</v>
      </c>
      <c r="DL36" s="50" t="s">
        <v>203</v>
      </c>
      <c r="DM36" s="50" t="s">
        <v>131</v>
      </c>
      <c r="DN36" s="50" t="s">
        <v>204</v>
      </c>
      <c r="DO36" s="49">
        <v>0.89</v>
      </c>
      <c r="DP36" s="48" t="s">
        <v>128</v>
      </c>
      <c r="DQ36" s="48" t="s">
        <v>128</v>
      </c>
      <c r="DR36" s="51"/>
      <c r="DS36" s="48" t="s">
        <v>134</v>
      </c>
    </row>
    <row r="37">
      <c r="A37" s="52" t="s">
        <v>118</v>
      </c>
      <c r="B37" s="53">
        <v>3.0</v>
      </c>
      <c r="C37" s="52" t="s">
        <v>119</v>
      </c>
      <c r="D37" s="53">
        <v>648803.0</v>
      </c>
      <c r="E37" s="52" t="s">
        <v>189</v>
      </c>
      <c r="F37" s="52" t="s">
        <v>235</v>
      </c>
      <c r="G37" s="52" t="s">
        <v>236</v>
      </c>
      <c r="H37" s="53">
        <v>33020.0</v>
      </c>
      <c r="I37" s="53">
        <v>4.0</v>
      </c>
      <c r="J37" s="53">
        <v>0.0</v>
      </c>
      <c r="K37" s="53">
        <v>0.0</v>
      </c>
      <c r="L37" s="53">
        <v>0.0</v>
      </c>
      <c r="M37" s="53">
        <v>0.0</v>
      </c>
      <c r="N37" s="53">
        <v>0.0</v>
      </c>
      <c r="O37" s="53">
        <v>1.0</v>
      </c>
      <c r="P37" s="53">
        <v>0.0</v>
      </c>
      <c r="Q37" s="53">
        <v>0.0</v>
      </c>
      <c r="R37" s="53">
        <v>0.0</v>
      </c>
      <c r="S37" s="53">
        <v>0.0</v>
      </c>
      <c r="T37" s="53">
        <v>0.0</v>
      </c>
      <c r="U37" s="53">
        <v>0.0</v>
      </c>
      <c r="V37" s="53">
        <v>0.0</v>
      </c>
      <c r="W37" s="53">
        <v>0.0</v>
      </c>
      <c r="X37" s="53">
        <v>0.0</v>
      </c>
      <c r="Y37" s="53">
        <v>0.0</v>
      </c>
      <c r="Z37" s="53">
        <v>0.0</v>
      </c>
      <c r="AA37" s="53">
        <v>0.0</v>
      </c>
      <c r="AB37" s="53">
        <v>0.0</v>
      </c>
      <c r="AC37" s="53">
        <v>0.0</v>
      </c>
      <c r="AD37" s="53">
        <v>0.0</v>
      </c>
      <c r="AE37" s="53">
        <v>1.0</v>
      </c>
      <c r="AF37" s="53">
        <v>1.0</v>
      </c>
      <c r="AG37" s="53">
        <v>0.0</v>
      </c>
      <c r="AH37" s="53">
        <v>0.0</v>
      </c>
      <c r="AI37" s="53">
        <v>1.0</v>
      </c>
      <c r="AJ37" s="53">
        <v>0.0</v>
      </c>
      <c r="AK37" s="53">
        <v>0.0</v>
      </c>
      <c r="AL37" s="53">
        <v>0.0</v>
      </c>
      <c r="AM37" s="53">
        <v>0.0</v>
      </c>
      <c r="AN37" s="53">
        <v>0.0</v>
      </c>
      <c r="AO37" s="25">
        <v>22.7</v>
      </c>
      <c r="AP37" s="54"/>
      <c r="AQ37" s="54"/>
      <c r="AR37" s="54"/>
      <c r="AS37" s="54"/>
      <c r="AT37" s="54"/>
      <c r="AU37" s="53">
        <v>30.2</v>
      </c>
      <c r="AV37" s="54"/>
      <c r="AW37" s="54"/>
      <c r="AX37" s="54"/>
      <c r="AY37" s="54"/>
      <c r="AZ37" s="54"/>
      <c r="BA37" s="54"/>
      <c r="BB37" s="54"/>
      <c r="BC37" s="54"/>
      <c r="BD37" s="54"/>
      <c r="BE37" s="54"/>
      <c r="BF37" s="54"/>
      <c r="BG37" s="54"/>
      <c r="BH37" s="54"/>
      <c r="BI37" s="54"/>
      <c r="BJ37" s="54"/>
      <c r="BK37" s="53">
        <v>16.0</v>
      </c>
      <c r="BL37" s="53">
        <v>17.22</v>
      </c>
      <c r="BM37" s="54"/>
      <c r="BN37" s="54"/>
      <c r="BO37" s="53">
        <v>0.45</v>
      </c>
      <c r="BP37" s="53">
        <v>2.8</v>
      </c>
      <c r="BQ37" s="53">
        <v>8.03</v>
      </c>
      <c r="BR37" s="53">
        <v>10.63</v>
      </c>
      <c r="BS37" s="57">
        <v>2.05</v>
      </c>
      <c r="BT37" s="81"/>
      <c r="BU37" s="54"/>
      <c r="BV37" s="54"/>
      <c r="BW37" s="54"/>
      <c r="BX37" s="53">
        <v>2700.0</v>
      </c>
      <c r="BY37" s="53" t="s">
        <v>123</v>
      </c>
      <c r="BZ37" s="58">
        <v>2400.0</v>
      </c>
      <c r="CA37" s="29" t="s">
        <v>124</v>
      </c>
      <c r="CB37" s="30">
        <v>2700.0</v>
      </c>
      <c r="CC37" s="31"/>
      <c r="CD37" s="58">
        <v>2700.0</v>
      </c>
      <c r="CE37" s="59" t="e">
        <v>#REF!</v>
      </c>
      <c r="CF37" s="60"/>
      <c r="CG37" s="61">
        <v>0.0</v>
      </c>
      <c r="CH37" s="62">
        <v>0.0</v>
      </c>
      <c r="CI37" s="63">
        <v>4.0</v>
      </c>
      <c r="CJ37" s="63">
        <v>3637.0</v>
      </c>
      <c r="CK37" s="64">
        <v>-150.0</v>
      </c>
      <c r="CL37" s="63">
        <v>3487.0</v>
      </c>
      <c r="CM37" s="65">
        <v>91.0</v>
      </c>
      <c r="CN37" s="63">
        <v>0.0</v>
      </c>
      <c r="CO37" s="66">
        <v>22.7</v>
      </c>
      <c r="CP37" s="67">
        <v>0.0</v>
      </c>
      <c r="CQ37" s="63">
        <v>11.0</v>
      </c>
      <c r="CR37" s="63">
        <v>11.0</v>
      </c>
      <c r="CS37" s="63">
        <v>8.0</v>
      </c>
      <c r="CT37" s="68"/>
      <c r="CU37" s="69"/>
      <c r="CV37" s="70"/>
      <c r="CW37" s="71">
        <v>9.0</v>
      </c>
      <c r="CX37" s="71" t="s">
        <v>143</v>
      </c>
      <c r="CY37" s="71" t="s">
        <v>144</v>
      </c>
      <c r="CZ37" s="45"/>
      <c r="DA37" s="44">
        <v>2700.0</v>
      </c>
      <c r="DB37" s="44">
        <v>0.0</v>
      </c>
      <c r="DC37" s="43"/>
      <c r="DD37" s="78"/>
      <c r="DE37" s="43"/>
      <c r="DF37" s="43"/>
      <c r="DG37" s="48" t="s">
        <v>128</v>
      </c>
      <c r="DH37" s="48" t="s">
        <v>128</v>
      </c>
      <c r="DI37" s="48" t="s">
        <v>129</v>
      </c>
      <c r="DJ37" s="49">
        <v>0.0</v>
      </c>
      <c r="DK37" s="48" t="b">
        <v>0</v>
      </c>
      <c r="DL37" s="50" t="s">
        <v>203</v>
      </c>
      <c r="DM37" s="50" t="s">
        <v>131</v>
      </c>
      <c r="DN37" s="50" t="s">
        <v>204</v>
      </c>
      <c r="DO37" s="49">
        <v>0.89</v>
      </c>
      <c r="DP37" s="48" t="s">
        <v>128</v>
      </c>
      <c r="DQ37" s="48" t="s">
        <v>133</v>
      </c>
      <c r="DR37" s="51"/>
      <c r="DS37" s="48" t="s">
        <v>134</v>
      </c>
    </row>
    <row r="38">
      <c r="A38" s="23" t="s">
        <v>118</v>
      </c>
      <c r="B38" s="24">
        <v>3.0</v>
      </c>
      <c r="C38" s="23" t="s">
        <v>119</v>
      </c>
      <c r="D38" s="24">
        <v>631195.0</v>
      </c>
      <c r="E38" s="23" t="s">
        <v>140</v>
      </c>
      <c r="F38" s="23" t="s">
        <v>237</v>
      </c>
      <c r="G38" s="23" t="s">
        <v>238</v>
      </c>
      <c r="H38" s="24">
        <v>33020.0</v>
      </c>
      <c r="I38" s="24">
        <v>7.0</v>
      </c>
      <c r="J38" s="24">
        <v>0.0</v>
      </c>
      <c r="K38" s="24">
        <v>0.0</v>
      </c>
      <c r="L38" s="24">
        <v>0.0</v>
      </c>
      <c r="M38" s="24">
        <v>0.0</v>
      </c>
      <c r="N38" s="24">
        <v>0.0</v>
      </c>
      <c r="O38" s="24">
        <v>0.0</v>
      </c>
      <c r="P38" s="24">
        <v>0.0</v>
      </c>
      <c r="Q38" s="24">
        <v>0.0</v>
      </c>
      <c r="R38" s="24">
        <v>0.0</v>
      </c>
      <c r="S38" s="24">
        <v>0.0</v>
      </c>
      <c r="T38" s="24">
        <v>1.0</v>
      </c>
      <c r="U38" s="24">
        <v>0.0</v>
      </c>
      <c r="V38" s="24">
        <v>0.0</v>
      </c>
      <c r="W38" s="24">
        <v>0.0</v>
      </c>
      <c r="X38" s="24">
        <v>0.0</v>
      </c>
      <c r="Y38" s="24">
        <v>0.0</v>
      </c>
      <c r="Z38" s="24">
        <v>0.0</v>
      </c>
      <c r="AA38" s="24">
        <v>1.0</v>
      </c>
      <c r="AB38" s="24">
        <v>1.0</v>
      </c>
      <c r="AC38" s="24">
        <v>0.0</v>
      </c>
      <c r="AD38" s="24">
        <v>2.0</v>
      </c>
      <c r="AE38" s="24">
        <v>0.0</v>
      </c>
      <c r="AF38" s="24">
        <v>1.0</v>
      </c>
      <c r="AG38" s="24">
        <v>0.0</v>
      </c>
      <c r="AH38" s="24">
        <v>0.0</v>
      </c>
      <c r="AI38" s="24">
        <v>0.0</v>
      </c>
      <c r="AJ38" s="24">
        <v>0.0</v>
      </c>
      <c r="AK38" s="24">
        <v>1.0</v>
      </c>
      <c r="AL38" s="24">
        <v>0.0</v>
      </c>
      <c r="AM38" s="24">
        <v>0.0</v>
      </c>
      <c r="AN38" s="24">
        <v>0.0</v>
      </c>
      <c r="AO38" s="25">
        <v>18.7</v>
      </c>
      <c r="AP38" s="26"/>
      <c r="AQ38" s="26"/>
      <c r="AR38" s="26"/>
      <c r="AS38" s="26"/>
      <c r="AT38" s="26"/>
      <c r="AU38" s="26"/>
      <c r="AV38" s="26"/>
      <c r="AW38" s="26"/>
      <c r="AX38" s="26"/>
      <c r="AY38" s="26"/>
      <c r="AZ38" s="24">
        <v>19.13</v>
      </c>
      <c r="BA38" s="26"/>
      <c r="BB38" s="26"/>
      <c r="BC38" s="26"/>
      <c r="BD38" s="26"/>
      <c r="BE38" s="26"/>
      <c r="BF38" s="26"/>
      <c r="BG38" s="24">
        <v>9.12</v>
      </c>
      <c r="BH38" s="24">
        <v>15.97</v>
      </c>
      <c r="BI38" s="26"/>
      <c r="BJ38" s="24">
        <v>18.42</v>
      </c>
      <c r="BK38" s="26"/>
      <c r="BL38" s="24">
        <v>11.68</v>
      </c>
      <c r="BM38" s="26"/>
      <c r="BN38" s="26"/>
      <c r="BO38" s="24">
        <v>0.64</v>
      </c>
      <c r="BP38" s="24">
        <v>3.03</v>
      </c>
      <c r="BQ38" s="24">
        <v>4.8</v>
      </c>
      <c r="BR38" s="24">
        <v>7.64</v>
      </c>
      <c r="BS38" s="57">
        <v>1.98</v>
      </c>
      <c r="BT38" s="56">
        <v>17.6</v>
      </c>
      <c r="BU38" s="25">
        <v>6.1</v>
      </c>
      <c r="BV38" s="57">
        <v>4.65</v>
      </c>
      <c r="BW38" s="26"/>
      <c r="BX38" s="24">
        <v>3000.0</v>
      </c>
      <c r="BY38" s="24" t="s">
        <v>123</v>
      </c>
      <c r="BZ38" s="28">
        <v>3000.0</v>
      </c>
      <c r="CA38" s="72"/>
      <c r="CB38" s="30">
        <v>3000.0</v>
      </c>
      <c r="CC38" s="31"/>
      <c r="CD38" s="28">
        <v>3000.0</v>
      </c>
      <c r="CE38" s="32" t="e">
        <v>#REF!</v>
      </c>
      <c r="CF38" s="33"/>
      <c r="CG38" s="34">
        <v>0.0</v>
      </c>
      <c r="CH38" s="35">
        <v>0.0</v>
      </c>
      <c r="CI38" s="36">
        <v>7.0</v>
      </c>
      <c r="CJ38" s="36">
        <v>3637.0</v>
      </c>
      <c r="CK38" s="37">
        <v>-150.0</v>
      </c>
      <c r="CL38" s="36">
        <v>3487.0</v>
      </c>
      <c r="CM38" s="38">
        <v>131.0</v>
      </c>
      <c r="CN38" s="36">
        <v>0.0</v>
      </c>
      <c r="CO38" s="39">
        <v>18.7</v>
      </c>
      <c r="CP38" s="40">
        <v>0.0</v>
      </c>
      <c r="CQ38" s="36">
        <v>21.0</v>
      </c>
      <c r="CR38" s="36">
        <v>21.0</v>
      </c>
      <c r="CS38" s="36">
        <v>14.0</v>
      </c>
      <c r="CT38" s="41"/>
      <c r="CU38" s="42"/>
      <c r="CV38" s="43"/>
      <c r="CW38" s="44">
        <v>10.0</v>
      </c>
      <c r="CX38" s="44" t="s">
        <v>138</v>
      </c>
      <c r="CY38" s="44" t="s">
        <v>139</v>
      </c>
      <c r="CZ38" s="45"/>
      <c r="DA38" s="44">
        <v>3000.0</v>
      </c>
      <c r="DB38" s="44">
        <v>0.0</v>
      </c>
      <c r="DC38" s="46" t="s">
        <v>127</v>
      </c>
      <c r="DD38" s="47">
        <v>46240.0</v>
      </c>
      <c r="DE38" s="43"/>
      <c r="DF38" s="43"/>
      <c r="DG38" s="48" t="s">
        <v>128</v>
      </c>
      <c r="DH38" s="48" t="s">
        <v>128</v>
      </c>
      <c r="DI38" s="48" t="s">
        <v>128</v>
      </c>
      <c r="DJ38" s="49">
        <v>0.0</v>
      </c>
      <c r="DK38" s="48" t="b">
        <v>0</v>
      </c>
      <c r="DL38" s="50" t="s">
        <v>203</v>
      </c>
      <c r="DM38" s="50" t="s">
        <v>131</v>
      </c>
      <c r="DN38" s="50" t="s">
        <v>204</v>
      </c>
      <c r="DO38" s="49">
        <v>0.89</v>
      </c>
      <c r="DP38" s="48" t="s">
        <v>128</v>
      </c>
      <c r="DQ38" s="48" t="s">
        <v>128</v>
      </c>
      <c r="DR38" s="51"/>
      <c r="DS38" s="48" t="s">
        <v>134</v>
      </c>
    </row>
    <row r="39">
      <c r="A39" s="52" t="s">
        <v>118</v>
      </c>
      <c r="B39" s="53">
        <v>3.0</v>
      </c>
      <c r="C39" s="52" t="s">
        <v>119</v>
      </c>
      <c r="D39" s="53">
        <v>648806.0</v>
      </c>
      <c r="E39" s="52" t="s">
        <v>179</v>
      </c>
      <c r="F39" s="52" t="s">
        <v>239</v>
      </c>
      <c r="G39" s="52" t="s">
        <v>240</v>
      </c>
      <c r="H39" s="53">
        <v>33020.0</v>
      </c>
      <c r="I39" s="53">
        <v>3.0</v>
      </c>
      <c r="J39" s="53">
        <v>0.0</v>
      </c>
      <c r="K39" s="53">
        <v>0.0</v>
      </c>
      <c r="L39" s="53">
        <v>0.0</v>
      </c>
      <c r="M39" s="53">
        <v>0.0</v>
      </c>
      <c r="N39" s="53">
        <v>0.0</v>
      </c>
      <c r="O39" s="53">
        <v>0.0</v>
      </c>
      <c r="P39" s="53">
        <v>0.0</v>
      </c>
      <c r="Q39" s="53">
        <v>0.0</v>
      </c>
      <c r="R39" s="53">
        <v>0.0</v>
      </c>
      <c r="S39" s="53">
        <v>0.0</v>
      </c>
      <c r="T39" s="53">
        <v>0.0</v>
      </c>
      <c r="U39" s="53">
        <v>0.0</v>
      </c>
      <c r="V39" s="53">
        <v>0.0</v>
      </c>
      <c r="W39" s="53">
        <v>1.0</v>
      </c>
      <c r="X39" s="53">
        <v>0.0</v>
      </c>
      <c r="Y39" s="53">
        <v>0.0</v>
      </c>
      <c r="Z39" s="53">
        <v>0.0</v>
      </c>
      <c r="AA39" s="53">
        <v>0.0</v>
      </c>
      <c r="AB39" s="53">
        <v>0.0</v>
      </c>
      <c r="AC39" s="53">
        <v>0.0</v>
      </c>
      <c r="AD39" s="53">
        <v>0.0</v>
      </c>
      <c r="AE39" s="53">
        <v>0.0</v>
      </c>
      <c r="AF39" s="53">
        <v>0.0</v>
      </c>
      <c r="AG39" s="53">
        <v>0.0</v>
      </c>
      <c r="AH39" s="53">
        <v>0.0</v>
      </c>
      <c r="AI39" s="53">
        <v>0.0</v>
      </c>
      <c r="AJ39" s="53">
        <v>2.0</v>
      </c>
      <c r="AK39" s="53">
        <v>0.0</v>
      </c>
      <c r="AL39" s="53">
        <v>0.0</v>
      </c>
      <c r="AM39" s="53">
        <v>0.0</v>
      </c>
      <c r="AN39" s="53">
        <v>0.0</v>
      </c>
      <c r="AO39" s="55">
        <v>15.4</v>
      </c>
      <c r="AP39" s="54"/>
      <c r="AQ39" s="54"/>
      <c r="AR39" s="54"/>
      <c r="AS39" s="54"/>
      <c r="AT39" s="54"/>
      <c r="AU39" s="54"/>
      <c r="AV39" s="54"/>
      <c r="AW39" s="54"/>
      <c r="AX39" s="54"/>
      <c r="AY39" s="54"/>
      <c r="AZ39" s="54"/>
      <c r="BA39" s="54"/>
      <c r="BB39" s="54"/>
      <c r="BC39" s="53">
        <v>13.82</v>
      </c>
      <c r="BD39" s="54"/>
      <c r="BE39" s="54"/>
      <c r="BF39" s="54"/>
      <c r="BG39" s="54"/>
      <c r="BH39" s="54"/>
      <c r="BI39" s="54"/>
      <c r="BJ39" s="54"/>
      <c r="BK39" s="54"/>
      <c r="BL39" s="54"/>
      <c r="BM39" s="54"/>
      <c r="BN39" s="54"/>
      <c r="BO39" s="53">
        <v>0.27</v>
      </c>
      <c r="BP39" s="53">
        <v>0.81</v>
      </c>
      <c r="BQ39" s="53">
        <v>5.57</v>
      </c>
      <c r="BR39" s="53">
        <v>6.19</v>
      </c>
      <c r="BS39" s="57">
        <v>1.36</v>
      </c>
      <c r="BT39" s="81"/>
      <c r="BU39" s="54"/>
      <c r="BV39" s="54"/>
      <c r="BW39" s="54"/>
      <c r="BX39" s="53">
        <v>2400.0</v>
      </c>
      <c r="BY39" s="53" t="s">
        <v>123</v>
      </c>
      <c r="BZ39" s="58">
        <v>2700.0</v>
      </c>
      <c r="CA39" s="92" t="s">
        <v>151</v>
      </c>
      <c r="CB39" s="30">
        <v>2700.0</v>
      </c>
      <c r="CC39" s="31"/>
      <c r="CD39" s="58">
        <v>2700.0</v>
      </c>
      <c r="CE39" s="59" t="e">
        <v>#REF!</v>
      </c>
      <c r="CF39" s="79">
        <f>+300</f>
        <v>300</v>
      </c>
      <c r="CG39" s="80">
        <f>+1</f>
        <v>1</v>
      </c>
      <c r="CH39" s="62">
        <v>0.33</v>
      </c>
      <c r="CI39" s="63">
        <v>4.0</v>
      </c>
      <c r="CJ39" s="63">
        <v>3637.0</v>
      </c>
      <c r="CK39" s="64">
        <v>-150.0</v>
      </c>
      <c r="CL39" s="63">
        <v>3487.0</v>
      </c>
      <c r="CM39" s="65">
        <v>46.0</v>
      </c>
      <c r="CN39" s="63">
        <v>-8.0</v>
      </c>
      <c r="CO39" s="66">
        <v>13.6</v>
      </c>
      <c r="CP39" s="67">
        <v>-1.9</v>
      </c>
      <c r="CQ39" s="63">
        <v>2.0</v>
      </c>
      <c r="CR39" s="63">
        <v>3.0</v>
      </c>
      <c r="CS39" s="63">
        <v>5.0</v>
      </c>
      <c r="CT39" s="68"/>
      <c r="CU39" s="69"/>
      <c r="CV39" s="70"/>
      <c r="CW39" s="71">
        <v>9.0</v>
      </c>
      <c r="CX39" s="71" t="s">
        <v>143</v>
      </c>
      <c r="CY39" s="71" t="s">
        <v>144</v>
      </c>
      <c r="CZ39" s="76" t="s">
        <v>151</v>
      </c>
      <c r="DA39" s="44">
        <v>2700.0</v>
      </c>
      <c r="DB39" s="44">
        <v>0.0</v>
      </c>
      <c r="DC39" s="46" t="s">
        <v>127</v>
      </c>
      <c r="DD39" s="47">
        <v>46213.0</v>
      </c>
      <c r="DE39" s="43"/>
      <c r="DF39" s="43"/>
      <c r="DG39" s="48" t="s">
        <v>128</v>
      </c>
      <c r="DH39" s="48" t="s">
        <v>128</v>
      </c>
      <c r="DI39" s="48" t="s">
        <v>129</v>
      </c>
      <c r="DJ39" s="49">
        <v>1.0</v>
      </c>
      <c r="DK39" s="48" t="b">
        <v>0</v>
      </c>
      <c r="DL39" s="50" t="s">
        <v>203</v>
      </c>
      <c r="DM39" s="50" t="s">
        <v>131</v>
      </c>
      <c r="DN39" s="50" t="s">
        <v>204</v>
      </c>
      <c r="DO39" s="49">
        <v>0.89</v>
      </c>
      <c r="DP39" s="48" t="s">
        <v>128</v>
      </c>
      <c r="DQ39" s="48" t="s">
        <v>133</v>
      </c>
      <c r="DR39" s="51"/>
      <c r="DS39" s="48" t="s">
        <v>134</v>
      </c>
    </row>
    <row r="40">
      <c r="A40" s="23" t="s">
        <v>118</v>
      </c>
      <c r="B40" s="24">
        <v>3.0</v>
      </c>
      <c r="C40" s="23" t="s">
        <v>119</v>
      </c>
      <c r="D40" s="24">
        <v>643373.0</v>
      </c>
      <c r="E40" s="23" t="s">
        <v>120</v>
      </c>
      <c r="F40" s="23" t="s">
        <v>241</v>
      </c>
      <c r="G40" s="23" t="s">
        <v>242</v>
      </c>
      <c r="H40" s="24">
        <v>33020.0</v>
      </c>
      <c r="I40" s="24">
        <v>1.0</v>
      </c>
      <c r="J40" s="24">
        <v>0.0</v>
      </c>
      <c r="K40" s="24">
        <v>0.0</v>
      </c>
      <c r="L40" s="24">
        <v>0.0</v>
      </c>
      <c r="M40" s="24">
        <v>0.0</v>
      </c>
      <c r="N40" s="24">
        <v>0.0</v>
      </c>
      <c r="O40" s="24">
        <v>0.0</v>
      </c>
      <c r="P40" s="24">
        <v>0.0</v>
      </c>
      <c r="Q40" s="24">
        <v>0.0</v>
      </c>
      <c r="R40" s="24">
        <v>0.0</v>
      </c>
      <c r="S40" s="24">
        <v>0.0</v>
      </c>
      <c r="T40" s="24">
        <v>0.0</v>
      </c>
      <c r="U40" s="24">
        <v>0.0</v>
      </c>
      <c r="V40" s="24">
        <v>0.0</v>
      </c>
      <c r="W40" s="24">
        <v>0.0</v>
      </c>
      <c r="X40" s="24">
        <v>0.0</v>
      </c>
      <c r="Y40" s="24">
        <v>0.0</v>
      </c>
      <c r="Z40" s="24">
        <v>0.0</v>
      </c>
      <c r="AA40" s="24">
        <v>0.0</v>
      </c>
      <c r="AB40" s="24">
        <v>0.0</v>
      </c>
      <c r="AC40" s="24">
        <v>1.0</v>
      </c>
      <c r="AD40" s="24">
        <v>0.0</v>
      </c>
      <c r="AE40" s="24">
        <v>0.0</v>
      </c>
      <c r="AF40" s="24">
        <v>0.0</v>
      </c>
      <c r="AG40" s="24">
        <v>0.0</v>
      </c>
      <c r="AH40" s="24">
        <v>0.0</v>
      </c>
      <c r="AI40" s="24">
        <v>0.0</v>
      </c>
      <c r="AJ40" s="24">
        <v>0.0</v>
      </c>
      <c r="AK40" s="24">
        <v>0.0</v>
      </c>
      <c r="AL40" s="24">
        <v>0.0</v>
      </c>
      <c r="AM40" s="24">
        <v>0.0</v>
      </c>
      <c r="AN40" s="24">
        <v>0.0</v>
      </c>
      <c r="AO40" s="25">
        <v>21.2</v>
      </c>
      <c r="AP40" s="26"/>
      <c r="AQ40" s="26"/>
      <c r="AR40" s="26"/>
      <c r="AS40" s="26"/>
      <c r="AT40" s="26"/>
      <c r="AU40" s="26"/>
      <c r="AV40" s="26"/>
      <c r="AW40" s="26"/>
      <c r="AX40" s="26"/>
      <c r="AY40" s="26"/>
      <c r="AZ40" s="26"/>
      <c r="BA40" s="26"/>
      <c r="BB40" s="26"/>
      <c r="BC40" s="26"/>
      <c r="BD40" s="26"/>
      <c r="BE40" s="26"/>
      <c r="BF40" s="26"/>
      <c r="BG40" s="26"/>
      <c r="BH40" s="26"/>
      <c r="BI40" s="24">
        <v>21.23</v>
      </c>
      <c r="BJ40" s="26"/>
      <c r="BK40" s="26"/>
      <c r="BL40" s="26"/>
      <c r="BM40" s="26"/>
      <c r="BN40" s="26"/>
      <c r="BO40" s="26"/>
      <c r="BP40" s="24">
        <v>0.83</v>
      </c>
      <c r="BQ40" s="24">
        <v>9.97</v>
      </c>
      <c r="BR40" s="24">
        <v>10.6</v>
      </c>
      <c r="BS40" s="57">
        <v>0.57</v>
      </c>
      <c r="BT40" s="56">
        <v>21.2</v>
      </c>
      <c r="BU40" s="57">
        <v>0.6</v>
      </c>
      <c r="BV40" s="25">
        <v>9.87</v>
      </c>
      <c r="BW40" s="26"/>
      <c r="BX40" s="24">
        <v>2100.0</v>
      </c>
      <c r="BY40" s="24" t="s">
        <v>123</v>
      </c>
      <c r="BZ40" s="28">
        <v>1800.0</v>
      </c>
      <c r="CA40" s="29" t="s">
        <v>124</v>
      </c>
      <c r="CB40" s="30">
        <v>2100.0</v>
      </c>
      <c r="CC40" s="31"/>
      <c r="CD40" s="28">
        <v>2100.0</v>
      </c>
      <c r="CE40" s="32" t="e">
        <v>#REF!</v>
      </c>
      <c r="CF40" s="33"/>
      <c r="CG40" s="34">
        <v>0.0</v>
      </c>
      <c r="CH40" s="35">
        <v>0.0</v>
      </c>
      <c r="CI40" s="36">
        <v>1.0</v>
      </c>
      <c r="CJ40" s="36">
        <v>3637.0</v>
      </c>
      <c r="CK40" s="37">
        <v>-150.0</v>
      </c>
      <c r="CL40" s="36">
        <v>3487.0</v>
      </c>
      <c r="CM40" s="38">
        <v>21.0</v>
      </c>
      <c r="CN40" s="36">
        <v>0.0</v>
      </c>
      <c r="CO40" s="39">
        <v>21.2</v>
      </c>
      <c r="CP40" s="40">
        <v>0.0</v>
      </c>
      <c r="CQ40" s="36">
        <v>1.0</v>
      </c>
      <c r="CR40" s="36">
        <v>1.0</v>
      </c>
      <c r="CS40" s="36">
        <v>1.0</v>
      </c>
      <c r="CT40" s="41"/>
      <c r="CU40" s="42"/>
      <c r="CV40" s="43"/>
      <c r="CW40" s="44">
        <v>7.0</v>
      </c>
      <c r="CX40" s="44" t="s">
        <v>201</v>
      </c>
      <c r="CY40" s="44" t="s">
        <v>202</v>
      </c>
      <c r="CZ40" s="45"/>
      <c r="DA40" s="44">
        <v>2100.0</v>
      </c>
      <c r="DB40" s="44">
        <v>0.0</v>
      </c>
      <c r="DC40" s="43"/>
      <c r="DD40" s="78"/>
      <c r="DE40" s="43"/>
      <c r="DF40" s="43"/>
      <c r="DG40" s="48" t="s">
        <v>128</v>
      </c>
      <c r="DH40" s="48" t="s">
        <v>128</v>
      </c>
      <c r="DI40" s="48" t="s">
        <v>128</v>
      </c>
      <c r="DJ40" s="49">
        <v>1.0</v>
      </c>
      <c r="DK40" s="48" t="b">
        <v>0</v>
      </c>
      <c r="DL40" s="50" t="s">
        <v>203</v>
      </c>
      <c r="DM40" s="50" t="s">
        <v>131</v>
      </c>
      <c r="DN40" s="50" t="s">
        <v>204</v>
      </c>
      <c r="DO40" s="49">
        <v>0.89</v>
      </c>
      <c r="DP40" s="48" t="s">
        <v>128</v>
      </c>
      <c r="DQ40" s="48" t="s">
        <v>128</v>
      </c>
      <c r="DR40" s="51"/>
      <c r="DS40" s="48" t="s">
        <v>134</v>
      </c>
    </row>
    <row r="41">
      <c r="A41" s="52" t="s">
        <v>118</v>
      </c>
      <c r="B41" s="53">
        <v>3.0</v>
      </c>
      <c r="C41" s="52" t="s">
        <v>119</v>
      </c>
      <c r="D41" s="53">
        <v>536832.0</v>
      </c>
      <c r="E41" s="52" t="s">
        <v>158</v>
      </c>
      <c r="F41" s="52" t="s">
        <v>243</v>
      </c>
      <c r="G41" s="52" t="s">
        <v>244</v>
      </c>
      <c r="H41" s="53">
        <v>33020.0</v>
      </c>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81"/>
      <c r="BU41" s="54"/>
      <c r="BV41" s="54"/>
      <c r="BW41" s="54"/>
      <c r="BX41" s="53">
        <v>2400.0</v>
      </c>
      <c r="BY41" s="53" t="s">
        <v>123</v>
      </c>
      <c r="BZ41" s="58">
        <v>2400.0</v>
      </c>
      <c r="CA41" s="72"/>
      <c r="CB41" s="82"/>
      <c r="CC41" s="31"/>
      <c r="CD41" s="58">
        <v>2400.0</v>
      </c>
      <c r="CE41" s="83" t="s">
        <v>185</v>
      </c>
      <c r="CF41" s="60"/>
      <c r="CG41" s="61">
        <v>0.0</v>
      </c>
      <c r="CH41" s="84"/>
      <c r="CI41" s="63">
        <v>0.0</v>
      </c>
      <c r="CJ41" s="63">
        <v>3637.0</v>
      </c>
      <c r="CK41" s="64">
        <v>-150.0</v>
      </c>
      <c r="CL41" s="63">
        <v>3487.0</v>
      </c>
      <c r="CM41" s="65">
        <v>0.0</v>
      </c>
      <c r="CN41" s="63">
        <v>0.0</v>
      </c>
      <c r="CO41" s="66">
        <v>0.0</v>
      </c>
      <c r="CP41" s="67">
        <v>0.0</v>
      </c>
      <c r="CQ41" s="63">
        <v>0.0</v>
      </c>
      <c r="CR41" s="63">
        <v>0.0</v>
      </c>
      <c r="CS41" s="63">
        <v>0.0</v>
      </c>
      <c r="CT41" s="68"/>
      <c r="CU41" s="69"/>
      <c r="CV41" s="70"/>
      <c r="CW41" s="71">
        <v>8.0</v>
      </c>
      <c r="CX41" s="71" t="s">
        <v>125</v>
      </c>
      <c r="CY41" s="71" t="s">
        <v>126</v>
      </c>
      <c r="CZ41" s="45"/>
      <c r="DA41" s="43"/>
      <c r="DB41" s="44">
        <v>0.0</v>
      </c>
      <c r="DC41" s="43"/>
      <c r="DD41" s="78"/>
      <c r="DE41" s="43"/>
      <c r="DF41" s="43"/>
      <c r="DG41" s="48" t="s">
        <v>128</v>
      </c>
      <c r="DH41" s="48" t="s">
        <v>128</v>
      </c>
      <c r="DI41" s="48" t="s">
        <v>196</v>
      </c>
      <c r="DJ41" s="49">
        <v>1.0</v>
      </c>
      <c r="DK41" s="48" t="b">
        <v>0</v>
      </c>
      <c r="DL41" s="50" t="s">
        <v>203</v>
      </c>
      <c r="DM41" s="50" t="s">
        <v>131</v>
      </c>
      <c r="DN41" s="50" t="s">
        <v>204</v>
      </c>
      <c r="DO41" s="49">
        <v>0.89</v>
      </c>
      <c r="DP41" s="48" t="s">
        <v>245</v>
      </c>
      <c r="DQ41" s="48" t="s">
        <v>196</v>
      </c>
      <c r="DR41" s="51"/>
      <c r="DS41" s="48" t="s">
        <v>134</v>
      </c>
    </row>
    <row r="42">
      <c r="A42" s="23" t="s">
        <v>118</v>
      </c>
      <c r="B42" s="24">
        <v>3.0</v>
      </c>
      <c r="C42" s="23" t="s">
        <v>119</v>
      </c>
      <c r="D42" s="24">
        <v>680607.0</v>
      </c>
      <c r="E42" s="23" t="s">
        <v>246</v>
      </c>
      <c r="F42" s="23" t="s">
        <v>247</v>
      </c>
      <c r="G42" s="23" t="s">
        <v>248</v>
      </c>
      <c r="H42" s="24">
        <v>33034.0</v>
      </c>
      <c r="I42" s="24">
        <v>5.0</v>
      </c>
      <c r="J42" s="24">
        <v>0.0</v>
      </c>
      <c r="K42" s="24">
        <v>0.0</v>
      </c>
      <c r="L42" s="24">
        <v>0.0</v>
      </c>
      <c r="M42" s="24">
        <v>0.0</v>
      </c>
      <c r="N42" s="24">
        <v>0.0</v>
      </c>
      <c r="O42" s="24">
        <v>0.0</v>
      </c>
      <c r="P42" s="24">
        <v>0.0</v>
      </c>
      <c r="Q42" s="24">
        <v>0.0</v>
      </c>
      <c r="R42" s="24">
        <v>0.0</v>
      </c>
      <c r="S42" s="24">
        <v>0.0</v>
      </c>
      <c r="T42" s="24">
        <v>0.0</v>
      </c>
      <c r="U42" s="24">
        <v>0.0</v>
      </c>
      <c r="V42" s="24">
        <v>0.0</v>
      </c>
      <c r="W42" s="24">
        <v>0.0</v>
      </c>
      <c r="X42" s="24">
        <v>1.0</v>
      </c>
      <c r="Y42" s="24">
        <v>0.0</v>
      </c>
      <c r="Z42" s="24">
        <v>0.0</v>
      </c>
      <c r="AA42" s="24">
        <v>0.0</v>
      </c>
      <c r="AB42" s="24">
        <v>0.0</v>
      </c>
      <c r="AC42" s="24">
        <v>0.0</v>
      </c>
      <c r="AD42" s="24">
        <v>0.0</v>
      </c>
      <c r="AE42" s="24">
        <v>0.0</v>
      </c>
      <c r="AF42" s="24">
        <v>0.0</v>
      </c>
      <c r="AG42" s="24">
        <v>1.0</v>
      </c>
      <c r="AH42" s="24">
        <v>3.0</v>
      </c>
      <c r="AI42" s="24">
        <v>0.0</v>
      </c>
      <c r="AJ42" s="24">
        <v>0.0</v>
      </c>
      <c r="AK42" s="24">
        <v>0.0</v>
      </c>
      <c r="AL42" s="24">
        <v>0.0</v>
      </c>
      <c r="AM42" s="24">
        <v>0.0</v>
      </c>
      <c r="AN42" s="24">
        <v>0.0</v>
      </c>
      <c r="AO42" s="25">
        <v>28.8</v>
      </c>
      <c r="AP42" s="26"/>
      <c r="AQ42" s="26"/>
      <c r="AR42" s="26"/>
      <c r="AS42" s="26"/>
      <c r="AT42" s="26"/>
      <c r="AU42" s="26"/>
      <c r="AV42" s="26"/>
      <c r="AW42" s="26"/>
      <c r="AX42" s="26"/>
      <c r="AY42" s="26"/>
      <c r="AZ42" s="26"/>
      <c r="BA42" s="26"/>
      <c r="BB42" s="26"/>
      <c r="BC42" s="26"/>
      <c r="BD42" s="24">
        <v>21.92</v>
      </c>
      <c r="BE42" s="26"/>
      <c r="BF42" s="26"/>
      <c r="BG42" s="26"/>
      <c r="BH42" s="26"/>
      <c r="BI42" s="26"/>
      <c r="BJ42" s="26"/>
      <c r="BK42" s="26"/>
      <c r="BL42" s="26"/>
      <c r="BM42" s="24">
        <v>27.52</v>
      </c>
      <c r="BN42" s="24">
        <v>31.51</v>
      </c>
      <c r="BO42" s="26"/>
      <c r="BP42" s="24">
        <v>1.78</v>
      </c>
      <c r="BQ42" s="24">
        <v>6.69</v>
      </c>
      <c r="BR42" s="24">
        <v>8.28</v>
      </c>
      <c r="BS42" s="25">
        <v>7.88</v>
      </c>
      <c r="BT42" s="56">
        <v>38.3</v>
      </c>
      <c r="BU42" s="25">
        <v>12.0</v>
      </c>
      <c r="BV42" s="25">
        <v>16.85</v>
      </c>
      <c r="BW42" s="26"/>
      <c r="BX42" s="24">
        <v>2700.0</v>
      </c>
      <c r="BY42" s="24" t="s">
        <v>123</v>
      </c>
      <c r="BZ42" s="28">
        <v>2400.0</v>
      </c>
      <c r="CA42" s="29" t="s">
        <v>124</v>
      </c>
      <c r="CB42" s="30">
        <v>2700.0</v>
      </c>
      <c r="CC42" s="31"/>
      <c r="CD42" s="28">
        <v>2700.0</v>
      </c>
      <c r="CE42" s="32" t="e">
        <v>#REF!</v>
      </c>
      <c r="CF42" s="33"/>
      <c r="CG42" s="34">
        <v>0.0</v>
      </c>
      <c r="CH42" s="35">
        <v>0.0</v>
      </c>
      <c r="CI42" s="36">
        <v>5.0</v>
      </c>
      <c r="CJ42" s="36">
        <v>1790.0</v>
      </c>
      <c r="CK42" s="93">
        <f t="shared" ref="CK42:CK64" si="2">+20</f>
        <v>20</v>
      </c>
      <c r="CL42" s="36">
        <v>1810.0</v>
      </c>
      <c r="CM42" s="38">
        <v>144.0</v>
      </c>
      <c r="CN42" s="36">
        <v>0.0</v>
      </c>
      <c r="CO42" s="39">
        <v>28.8</v>
      </c>
      <c r="CP42" s="40">
        <v>0.0</v>
      </c>
      <c r="CQ42" s="36">
        <v>9.0</v>
      </c>
      <c r="CR42" s="36">
        <v>9.0</v>
      </c>
      <c r="CS42" s="36">
        <v>39.0</v>
      </c>
      <c r="CT42" s="41"/>
      <c r="CU42" s="42"/>
      <c r="CV42" s="43"/>
      <c r="CW42" s="44">
        <v>9.0</v>
      </c>
      <c r="CX42" s="44" t="s">
        <v>143</v>
      </c>
      <c r="CY42" s="44" t="s">
        <v>144</v>
      </c>
      <c r="CZ42" s="45"/>
      <c r="DA42" s="44">
        <v>2700.0</v>
      </c>
      <c r="DB42" s="44">
        <v>0.0</v>
      </c>
      <c r="DC42" s="46" t="s">
        <v>127</v>
      </c>
      <c r="DD42" s="47">
        <v>46240.0</v>
      </c>
      <c r="DE42" s="43"/>
      <c r="DF42" s="43"/>
      <c r="DG42" s="48" t="s">
        <v>128</v>
      </c>
      <c r="DH42" s="48" t="s">
        <v>128</v>
      </c>
      <c r="DI42" s="48" t="s">
        <v>128</v>
      </c>
      <c r="DJ42" s="51"/>
      <c r="DK42" s="48" t="b">
        <v>0</v>
      </c>
      <c r="DL42" s="50" t="s">
        <v>249</v>
      </c>
      <c r="DM42" s="50" t="s">
        <v>131</v>
      </c>
      <c r="DN42" s="50" t="s">
        <v>250</v>
      </c>
      <c r="DO42" s="49">
        <v>0.85</v>
      </c>
      <c r="DP42" s="48" t="s">
        <v>128</v>
      </c>
      <c r="DQ42" s="48" t="s">
        <v>128</v>
      </c>
      <c r="DR42" s="51"/>
      <c r="DS42" s="48" t="s">
        <v>134</v>
      </c>
    </row>
    <row r="43">
      <c r="A43" s="52" t="s">
        <v>118</v>
      </c>
      <c r="B43" s="53">
        <v>3.0</v>
      </c>
      <c r="C43" s="52" t="s">
        <v>119</v>
      </c>
      <c r="D43" s="53">
        <v>680588.0</v>
      </c>
      <c r="E43" s="52" t="s">
        <v>251</v>
      </c>
      <c r="F43" s="52" t="s">
        <v>252</v>
      </c>
      <c r="G43" s="52" t="s">
        <v>253</v>
      </c>
      <c r="H43" s="53">
        <v>33034.0</v>
      </c>
      <c r="I43" s="53">
        <v>4.0</v>
      </c>
      <c r="J43" s="53">
        <v>0.0</v>
      </c>
      <c r="K43" s="53">
        <v>0.0</v>
      </c>
      <c r="L43" s="53">
        <v>0.0</v>
      </c>
      <c r="M43" s="53">
        <v>0.0</v>
      </c>
      <c r="N43" s="53">
        <v>0.0</v>
      </c>
      <c r="O43" s="53">
        <v>0.0</v>
      </c>
      <c r="P43" s="53">
        <v>1.0</v>
      </c>
      <c r="Q43" s="53">
        <v>0.0</v>
      </c>
      <c r="R43" s="53">
        <v>0.0</v>
      </c>
      <c r="S43" s="53">
        <v>0.0</v>
      </c>
      <c r="T43" s="53">
        <v>0.0</v>
      </c>
      <c r="U43" s="53">
        <v>0.0</v>
      </c>
      <c r="V43" s="53">
        <v>0.0</v>
      </c>
      <c r="W43" s="53">
        <v>0.0</v>
      </c>
      <c r="X43" s="53">
        <v>0.0</v>
      </c>
      <c r="Y43" s="53">
        <v>0.0</v>
      </c>
      <c r="Z43" s="53">
        <v>0.0</v>
      </c>
      <c r="AA43" s="53">
        <v>0.0</v>
      </c>
      <c r="AB43" s="53">
        <v>0.0</v>
      </c>
      <c r="AC43" s="53">
        <v>1.0</v>
      </c>
      <c r="AD43" s="53">
        <v>0.0</v>
      </c>
      <c r="AE43" s="53">
        <v>0.0</v>
      </c>
      <c r="AF43" s="53">
        <v>0.0</v>
      </c>
      <c r="AG43" s="53">
        <v>0.0</v>
      </c>
      <c r="AH43" s="53">
        <v>0.0</v>
      </c>
      <c r="AI43" s="53">
        <v>1.0</v>
      </c>
      <c r="AJ43" s="53">
        <v>0.0</v>
      </c>
      <c r="AK43" s="53">
        <v>1.0</v>
      </c>
      <c r="AL43" s="53">
        <v>0.0</v>
      </c>
      <c r="AM43" s="53">
        <v>0.0</v>
      </c>
      <c r="AN43" s="53">
        <v>0.0</v>
      </c>
      <c r="AO43" s="25">
        <v>25.8</v>
      </c>
      <c r="AP43" s="54"/>
      <c r="AQ43" s="54"/>
      <c r="AR43" s="54"/>
      <c r="AS43" s="54"/>
      <c r="AT43" s="54"/>
      <c r="AU43" s="54"/>
      <c r="AV43" s="53">
        <v>20.12</v>
      </c>
      <c r="AW43" s="54"/>
      <c r="AX43" s="54"/>
      <c r="AY43" s="54"/>
      <c r="AZ43" s="54"/>
      <c r="BA43" s="54"/>
      <c r="BB43" s="54"/>
      <c r="BC43" s="54"/>
      <c r="BD43" s="54"/>
      <c r="BE43" s="54"/>
      <c r="BF43" s="54"/>
      <c r="BG43" s="54"/>
      <c r="BH43" s="54"/>
      <c r="BI43" s="53">
        <v>25.92</v>
      </c>
      <c r="BJ43" s="54"/>
      <c r="BK43" s="54"/>
      <c r="BL43" s="54"/>
      <c r="BM43" s="54"/>
      <c r="BN43" s="54"/>
      <c r="BO43" s="53">
        <v>0.48</v>
      </c>
      <c r="BP43" s="53">
        <v>1.04</v>
      </c>
      <c r="BQ43" s="53">
        <v>7.8</v>
      </c>
      <c r="BR43" s="53">
        <v>8.63</v>
      </c>
      <c r="BS43" s="25">
        <v>5.73</v>
      </c>
      <c r="BT43" s="81"/>
      <c r="BU43" s="54"/>
      <c r="BV43" s="54"/>
      <c r="BW43" s="54"/>
      <c r="BX43" s="53">
        <v>2700.0</v>
      </c>
      <c r="BY43" s="53" t="s">
        <v>123</v>
      </c>
      <c r="BZ43" s="58">
        <v>2400.0</v>
      </c>
      <c r="CA43" s="29" t="s">
        <v>124</v>
      </c>
      <c r="CB43" s="30">
        <v>2700.0</v>
      </c>
      <c r="CC43" s="31"/>
      <c r="CD43" s="58">
        <v>2700.0</v>
      </c>
      <c r="CE43" s="59" t="e">
        <v>#REF!</v>
      </c>
      <c r="CF43" s="60"/>
      <c r="CG43" s="61">
        <v>0.0</v>
      </c>
      <c r="CH43" s="62">
        <v>0.0</v>
      </c>
      <c r="CI43" s="63">
        <v>4.0</v>
      </c>
      <c r="CJ43" s="63">
        <v>1790.0</v>
      </c>
      <c r="CK43" s="94">
        <f t="shared" si="2"/>
        <v>20</v>
      </c>
      <c r="CL43" s="63">
        <v>1810.0</v>
      </c>
      <c r="CM43" s="65">
        <v>103.0</v>
      </c>
      <c r="CN43" s="63">
        <v>0.0</v>
      </c>
      <c r="CO43" s="66">
        <v>25.8</v>
      </c>
      <c r="CP43" s="67">
        <v>0.0</v>
      </c>
      <c r="CQ43" s="63">
        <v>4.0</v>
      </c>
      <c r="CR43" s="63">
        <v>4.0</v>
      </c>
      <c r="CS43" s="63">
        <v>23.0</v>
      </c>
      <c r="CT43" s="68"/>
      <c r="CU43" s="69"/>
      <c r="CV43" s="70"/>
      <c r="CW43" s="71">
        <v>9.0</v>
      </c>
      <c r="CX43" s="71" t="s">
        <v>143</v>
      </c>
      <c r="CY43" s="71" t="s">
        <v>144</v>
      </c>
      <c r="CZ43" s="45"/>
      <c r="DA43" s="44">
        <v>2700.0</v>
      </c>
      <c r="DB43" s="95">
        <v>0.0</v>
      </c>
      <c r="DC43" s="43"/>
      <c r="DD43" s="78"/>
      <c r="DE43" s="43"/>
      <c r="DF43" s="43"/>
      <c r="DG43" s="48" t="s">
        <v>128</v>
      </c>
      <c r="DH43" s="48" t="s">
        <v>128</v>
      </c>
      <c r="DI43" s="48" t="s">
        <v>129</v>
      </c>
      <c r="DJ43" s="51"/>
      <c r="DK43" s="48" t="b">
        <v>0</v>
      </c>
      <c r="DL43" s="50" t="s">
        <v>249</v>
      </c>
      <c r="DM43" s="50" t="s">
        <v>131</v>
      </c>
      <c r="DN43" s="50" t="s">
        <v>250</v>
      </c>
      <c r="DO43" s="49">
        <v>0.85</v>
      </c>
      <c r="DP43" s="48" t="s">
        <v>128</v>
      </c>
      <c r="DQ43" s="48" t="s">
        <v>133</v>
      </c>
      <c r="DR43" s="51"/>
      <c r="DS43" s="48" t="s">
        <v>134</v>
      </c>
    </row>
    <row r="44">
      <c r="A44" s="23" t="s">
        <v>118</v>
      </c>
      <c r="B44" s="24">
        <v>3.0</v>
      </c>
      <c r="C44" s="23" t="s">
        <v>119</v>
      </c>
      <c r="D44" s="24">
        <v>648803.0</v>
      </c>
      <c r="E44" s="23" t="s">
        <v>189</v>
      </c>
      <c r="F44" s="23" t="s">
        <v>254</v>
      </c>
      <c r="G44" s="23" t="s">
        <v>255</v>
      </c>
      <c r="H44" s="24">
        <v>33034.0</v>
      </c>
      <c r="I44" s="24">
        <v>6.0</v>
      </c>
      <c r="J44" s="24">
        <v>0.0</v>
      </c>
      <c r="K44" s="24">
        <v>0.0</v>
      </c>
      <c r="L44" s="24">
        <v>0.0</v>
      </c>
      <c r="M44" s="24">
        <v>0.0</v>
      </c>
      <c r="N44" s="24">
        <v>0.0</v>
      </c>
      <c r="O44" s="24">
        <v>0.0</v>
      </c>
      <c r="P44" s="24">
        <v>0.0</v>
      </c>
      <c r="Q44" s="24">
        <v>0.0</v>
      </c>
      <c r="R44" s="24">
        <v>0.0</v>
      </c>
      <c r="S44" s="24">
        <v>0.0</v>
      </c>
      <c r="T44" s="24">
        <v>1.0</v>
      </c>
      <c r="U44" s="24">
        <v>0.0</v>
      </c>
      <c r="V44" s="24">
        <v>0.0</v>
      </c>
      <c r="W44" s="24">
        <v>0.0</v>
      </c>
      <c r="X44" s="24">
        <v>1.0</v>
      </c>
      <c r="Y44" s="24">
        <v>0.0</v>
      </c>
      <c r="Z44" s="24">
        <v>0.0</v>
      </c>
      <c r="AA44" s="24">
        <v>3.0</v>
      </c>
      <c r="AB44" s="24">
        <v>1.0</v>
      </c>
      <c r="AC44" s="24">
        <v>0.0</v>
      </c>
      <c r="AD44" s="24">
        <v>0.0</v>
      </c>
      <c r="AE44" s="24">
        <v>0.0</v>
      </c>
      <c r="AF44" s="24">
        <v>0.0</v>
      </c>
      <c r="AG44" s="24">
        <v>0.0</v>
      </c>
      <c r="AH44" s="24">
        <v>0.0</v>
      </c>
      <c r="AI44" s="24">
        <v>0.0</v>
      </c>
      <c r="AJ44" s="24">
        <v>0.0</v>
      </c>
      <c r="AK44" s="24">
        <v>0.0</v>
      </c>
      <c r="AL44" s="24">
        <v>0.0</v>
      </c>
      <c r="AM44" s="24">
        <v>0.0</v>
      </c>
      <c r="AN44" s="24">
        <v>0.0</v>
      </c>
      <c r="AO44" s="25">
        <v>26.7</v>
      </c>
      <c r="AP44" s="26"/>
      <c r="AQ44" s="26"/>
      <c r="AR44" s="26"/>
      <c r="AS44" s="26"/>
      <c r="AT44" s="26"/>
      <c r="AU44" s="26"/>
      <c r="AV44" s="26"/>
      <c r="AW44" s="26"/>
      <c r="AX44" s="26"/>
      <c r="AY44" s="26"/>
      <c r="AZ44" s="24">
        <v>19.3</v>
      </c>
      <c r="BA44" s="26"/>
      <c r="BB44" s="26"/>
      <c r="BC44" s="26"/>
      <c r="BD44" s="24">
        <v>16.55</v>
      </c>
      <c r="BE44" s="26"/>
      <c r="BF44" s="26"/>
      <c r="BG44" s="24">
        <v>31.97</v>
      </c>
      <c r="BH44" s="24">
        <v>28.4</v>
      </c>
      <c r="BI44" s="26"/>
      <c r="BJ44" s="26"/>
      <c r="BK44" s="26"/>
      <c r="BL44" s="26"/>
      <c r="BM44" s="26"/>
      <c r="BN44" s="26"/>
      <c r="BO44" s="26"/>
      <c r="BP44" s="24">
        <v>5.07</v>
      </c>
      <c r="BQ44" s="24">
        <v>8.35</v>
      </c>
      <c r="BR44" s="24">
        <v>13.21</v>
      </c>
      <c r="BS44" s="25">
        <v>5.69</v>
      </c>
      <c r="BT44" s="56">
        <v>28.5</v>
      </c>
      <c r="BU44" s="25">
        <v>4.1</v>
      </c>
      <c r="BV44" s="25">
        <v>7.32</v>
      </c>
      <c r="BW44" s="26"/>
      <c r="BX44" s="24">
        <v>2100.0</v>
      </c>
      <c r="BY44" s="24" t="s">
        <v>123</v>
      </c>
      <c r="BZ44" s="28">
        <v>1800.0</v>
      </c>
      <c r="CA44" s="29" t="s">
        <v>124</v>
      </c>
      <c r="CB44" s="30">
        <v>2100.0</v>
      </c>
      <c r="CC44" s="31"/>
      <c r="CD44" s="28">
        <v>2100.0</v>
      </c>
      <c r="CE44" s="32" t="e">
        <v>#REF!</v>
      </c>
      <c r="CF44" s="33"/>
      <c r="CG44" s="34">
        <v>0.0</v>
      </c>
      <c r="CH44" s="35">
        <v>0.0</v>
      </c>
      <c r="CI44" s="36">
        <v>6.0</v>
      </c>
      <c r="CJ44" s="36">
        <v>1790.0</v>
      </c>
      <c r="CK44" s="93">
        <f t="shared" si="2"/>
        <v>20</v>
      </c>
      <c r="CL44" s="36">
        <v>1810.0</v>
      </c>
      <c r="CM44" s="38">
        <v>160.0</v>
      </c>
      <c r="CN44" s="36">
        <v>0.0</v>
      </c>
      <c r="CO44" s="39">
        <v>26.7</v>
      </c>
      <c r="CP44" s="40">
        <v>0.0</v>
      </c>
      <c r="CQ44" s="36">
        <v>30.0</v>
      </c>
      <c r="CR44" s="36">
        <v>30.0</v>
      </c>
      <c r="CS44" s="36">
        <v>34.0</v>
      </c>
      <c r="CT44" s="41"/>
      <c r="CU44" s="42"/>
      <c r="CV44" s="43"/>
      <c r="CW44" s="44">
        <v>7.0</v>
      </c>
      <c r="CX44" s="44" t="s">
        <v>201</v>
      </c>
      <c r="CY44" s="44" t="s">
        <v>202</v>
      </c>
      <c r="CZ44" s="45"/>
      <c r="DA44" s="44">
        <v>2100.0</v>
      </c>
      <c r="DB44" s="44">
        <v>0.0</v>
      </c>
      <c r="DC44" s="43"/>
      <c r="DD44" s="78"/>
      <c r="DE44" s="43"/>
      <c r="DF44" s="43"/>
      <c r="DG44" s="48" t="s">
        <v>128</v>
      </c>
      <c r="DH44" s="48" t="s">
        <v>128</v>
      </c>
      <c r="DI44" s="48" t="s">
        <v>128</v>
      </c>
      <c r="DJ44" s="49">
        <v>0.0</v>
      </c>
      <c r="DK44" s="48" t="b">
        <v>0</v>
      </c>
      <c r="DL44" s="50" t="s">
        <v>249</v>
      </c>
      <c r="DM44" s="50" t="s">
        <v>131</v>
      </c>
      <c r="DN44" s="50" t="s">
        <v>250</v>
      </c>
      <c r="DO44" s="49">
        <v>0.85</v>
      </c>
      <c r="DP44" s="48" t="s">
        <v>128</v>
      </c>
      <c r="DQ44" s="48" t="s">
        <v>128</v>
      </c>
      <c r="DR44" s="51"/>
      <c r="DS44" s="48" t="s">
        <v>134</v>
      </c>
    </row>
    <row r="45">
      <c r="A45" s="52" t="s">
        <v>118</v>
      </c>
      <c r="B45" s="53">
        <v>3.0</v>
      </c>
      <c r="C45" s="52" t="s">
        <v>119</v>
      </c>
      <c r="D45" s="53">
        <v>641645.0</v>
      </c>
      <c r="E45" s="52" t="s">
        <v>145</v>
      </c>
      <c r="F45" s="52" t="s">
        <v>256</v>
      </c>
      <c r="G45" s="52" t="s">
        <v>257</v>
      </c>
      <c r="H45" s="53">
        <v>33034.0</v>
      </c>
      <c r="I45" s="53">
        <v>25.0</v>
      </c>
      <c r="J45" s="53">
        <v>0.0</v>
      </c>
      <c r="K45" s="53">
        <v>0.0</v>
      </c>
      <c r="L45" s="53">
        <v>0.0</v>
      </c>
      <c r="M45" s="53">
        <v>0.0</v>
      </c>
      <c r="N45" s="53">
        <v>1.0</v>
      </c>
      <c r="O45" s="53">
        <v>0.0</v>
      </c>
      <c r="P45" s="53">
        <v>0.0</v>
      </c>
      <c r="Q45" s="53">
        <v>0.0</v>
      </c>
      <c r="R45" s="53">
        <v>0.0</v>
      </c>
      <c r="S45" s="53">
        <v>0.0</v>
      </c>
      <c r="T45" s="53">
        <v>2.0</v>
      </c>
      <c r="U45" s="53">
        <v>2.0</v>
      </c>
      <c r="V45" s="53">
        <v>1.0</v>
      </c>
      <c r="W45" s="53">
        <v>2.0</v>
      </c>
      <c r="X45" s="53">
        <v>3.0</v>
      </c>
      <c r="Y45" s="53">
        <v>1.0</v>
      </c>
      <c r="Z45" s="53">
        <v>1.0</v>
      </c>
      <c r="AA45" s="53">
        <v>1.0</v>
      </c>
      <c r="AB45" s="53">
        <v>0.0</v>
      </c>
      <c r="AC45" s="53">
        <v>1.0</v>
      </c>
      <c r="AD45" s="53">
        <v>3.0</v>
      </c>
      <c r="AE45" s="53">
        <v>1.0</v>
      </c>
      <c r="AF45" s="53">
        <v>1.0</v>
      </c>
      <c r="AG45" s="53">
        <v>2.0</v>
      </c>
      <c r="AH45" s="53">
        <v>2.0</v>
      </c>
      <c r="AI45" s="53">
        <v>0.0</v>
      </c>
      <c r="AJ45" s="53">
        <v>0.0</v>
      </c>
      <c r="AK45" s="53">
        <v>0.0</v>
      </c>
      <c r="AL45" s="53">
        <v>0.0</v>
      </c>
      <c r="AM45" s="53">
        <v>0.0</v>
      </c>
      <c r="AN45" s="53">
        <v>1.0</v>
      </c>
      <c r="AO45" s="25">
        <v>22.2</v>
      </c>
      <c r="AP45" s="54"/>
      <c r="AQ45" s="54"/>
      <c r="AR45" s="54"/>
      <c r="AS45" s="54"/>
      <c r="AT45" s="53">
        <v>0.0</v>
      </c>
      <c r="AU45" s="54"/>
      <c r="AV45" s="54"/>
      <c r="AW45" s="54"/>
      <c r="AX45" s="54"/>
      <c r="AY45" s="54"/>
      <c r="AZ45" s="53">
        <v>26.04</v>
      </c>
      <c r="BA45" s="53">
        <v>16.86</v>
      </c>
      <c r="BB45" s="53">
        <v>15.02</v>
      </c>
      <c r="BC45" s="53">
        <v>24.88</v>
      </c>
      <c r="BD45" s="53">
        <v>20.33</v>
      </c>
      <c r="BE45" s="53">
        <v>20.0</v>
      </c>
      <c r="BF45" s="53">
        <v>22.32</v>
      </c>
      <c r="BG45" s="53">
        <v>16.0</v>
      </c>
      <c r="BH45" s="54"/>
      <c r="BI45" s="53">
        <v>20.6</v>
      </c>
      <c r="BJ45" s="53">
        <v>31.24</v>
      </c>
      <c r="BK45" s="53">
        <v>17.37</v>
      </c>
      <c r="BL45" s="53">
        <v>20.28</v>
      </c>
      <c r="BM45" s="53">
        <v>24.02</v>
      </c>
      <c r="BN45" s="53">
        <v>21.63</v>
      </c>
      <c r="BO45" s="53">
        <v>0.43</v>
      </c>
      <c r="BP45" s="53">
        <v>1.79</v>
      </c>
      <c r="BQ45" s="53">
        <v>6.88</v>
      </c>
      <c r="BR45" s="53">
        <v>8.47</v>
      </c>
      <c r="BS45" s="25">
        <v>4.93</v>
      </c>
      <c r="BT45" s="56">
        <v>22.4</v>
      </c>
      <c r="BU45" s="25">
        <v>5.5</v>
      </c>
      <c r="BV45" s="25">
        <v>7.93</v>
      </c>
      <c r="BW45" s="53">
        <v>1300.0</v>
      </c>
      <c r="BX45" s="53">
        <v>2400.0</v>
      </c>
      <c r="BY45" s="53" t="s">
        <v>123</v>
      </c>
      <c r="BZ45" s="58">
        <v>2100.0</v>
      </c>
      <c r="CA45" s="29" t="s">
        <v>124</v>
      </c>
      <c r="CB45" s="30">
        <v>2400.0</v>
      </c>
      <c r="CC45" s="31"/>
      <c r="CD45" s="58">
        <v>2400.0</v>
      </c>
      <c r="CE45" s="59" t="e">
        <v>#REF!</v>
      </c>
      <c r="CF45" s="60"/>
      <c r="CG45" s="61">
        <v>0.0</v>
      </c>
      <c r="CH45" s="62">
        <v>0.0</v>
      </c>
      <c r="CI45" s="63">
        <v>25.0</v>
      </c>
      <c r="CJ45" s="63">
        <v>1790.0</v>
      </c>
      <c r="CK45" s="94">
        <f t="shared" si="2"/>
        <v>20</v>
      </c>
      <c r="CL45" s="63">
        <v>1810.0</v>
      </c>
      <c r="CM45" s="65">
        <v>555.0</v>
      </c>
      <c r="CN45" s="63">
        <v>0.0</v>
      </c>
      <c r="CO45" s="66">
        <v>22.2</v>
      </c>
      <c r="CP45" s="67">
        <v>0.0</v>
      </c>
      <c r="CQ45" s="63">
        <v>45.0</v>
      </c>
      <c r="CR45" s="63">
        <v>45.0</v>
      </c>
      <c r="CS45" s="63">
        <v>123.0</v>
      </c>
      <c r="CT45" s="68"/>
      <c r="CU45" s="69"/>
      <c r="CV45" s="70"/>
      <c r="CW45" s="71">
        <v>8.0</v>
      </c>
      <c r="CX45" s="71" t="s">
        <v>125</v>
      </c>
      <c r="CY45" s="71" t="s">
        <v>126</v>
      </c>
      <c r="CZ45" s="45"/>
      <c r="DA45" s="44">
        <v>2400.0</v>
      </c>
      <c r="DB45" s="44">
        <v>0.0</v>
      </c>
      <c r="DC45" s="46" t="s">
        <v>127</v>
      </c>
      <c r="DD45" s="47">
        <v>46240.0</v>
      </c>
      <c r="DE45" s="43"/>
      <c r="DF45" s="43"/>
      <c r="DG45" s="48" t="s">
        <v>128</v>
      </c>
      <c r="DH45" s="48" t="s">
        <v>128</v>
      </c>
      <c r="DI45" s="48" t="s">
        <v>128</v>
      </c>
      <c r="DJ45" s="49">
        <v>1.0</v>
      </c>
      <c r="DK45" s="48" t="b">
        <v>0</v>
      </c>
      <c r="DL45" s="50" t="s">
        <v>249</v>
      </c>
      <c r="DM45" s="50" t="s">
        <v>131</v>
      </c>
      <c r="DN45" s="50" t="s">
        <v>250</v>
      </c>
      <c r="DO45" s="49">
        <v>0.85</v>
      </c>
      <c r="DP45" s="48" t="s">
        <v>128</v>
      </c>
      <c r="DQ45" s="48" t="s">
        <v>128</v>
      </c>
      <c r="DR45" s="51"/>
      <c r="DS45" s="48" t="s">
        <v>134</v>
      </c>
    </row>
    <row r="46">
      <c r="A46" s="23" t="s">
        <v>118</v>
      </c>
      <c r="B46" s="24">
        <v>3.0</v>
      </c>
      <c r="C46" s="23" t="s">
        <v>119</v>
      </c>
      <c r="D46" s="24">
        <v>642178.0</v>
      </c>
      <c r="E46" s="23" t="s">
        <v>205</v>
      </c>
      <c r="F46" s="23" t="s">
        <v>258</v>
      </c>
      <c r="G46" s="23" t="s">
        <v>259</v>
      </c>
      <c r="H46" s="24">
        <v>33034.0</v>
      </c>
      <c r="I46" s="24">
        <v>25.0</v>
      </c>
      <c r="J46" s="24">
        <v>0.0</v>
      </c>
      <c r="K46" s="24">
        <v>1.0</v>
      </c>
      <c r="L46" s="24">
        <v>0.0</v>
      </c>
      <c r="M46" s="24">
        <v>0.0</v>
      </c>
      <c r="N46" s="24">
        <v>0.0</v>
      </c>
      <c r="O46" s="24">
        <v>0.0</v>
      </c>
      <c r="P46" s="24">
        <v>0.0</v>
      </c>
      <c r="Q46" s="24">
        <v>1.0</v>
      </c>
      <c r="R46" s="24">
        <v>0.0</v>
      </c>
      <c r="S46" s="24">
        <v>0.0</v>
      </c>
      <c r="T46" s="24">
        <v>0.0</v>
      </c>
      <c r="U46" s="24">
        <v>0.0</v>
      </c>
      <c r="V46" s="24">
        <v>0.0</v>
      </c>
      <c r="W46" s="24">
        <v>0.0</v>
      </c>
      <c r="X46" s="24">
        <v>1.0</v>
      </c>
      <c r="Y46" s="24">
        <v>0.0</v>
      </c>
      <c r="Z46" s="24">
        <v>0.0</v>
      </c>
      <c r="AA46" s="24">
        <v>2.0</v>
      </c>
      <c r="AB46" s="24">
        <v>1.0</v>
      </c>
      <c r="AC46" s="24">
        <v>0.0</v>
      </c>
      <c r="AD46" s="24">
        <v>0.0</v>
      </c>
      <c r="AE46" s="24">
        <v>2.0</v>
      </c>
      <c r="AF46" s="24">
        <v>3.0</v>
      </c>
      <c r="AG46" s="24">
        <v>6.0</v>
      </c>
      <c r="AH46" s="24">
        <v>2.0</v>
      </c>
      <c r="AI46" s="24">
        <v>1.0</v>
      </c>
      <c r="AJ46" s="24">
        <v>2.0</v>
      </c>
      <c r="AK46" s="24">
        <v>0.0</v>
      </c>
      <c r="AL46" s="24">
        <v>1.0</v>
      </c>
      <c r="AM46" s="24">
        <v>0.0</v>
      </c>
      <c r="AN46" s="24">
        <v>2.0</v>
      </c>
      <c r="AO46" s="25">
        <v>24.9</v>
      </c>
      <c r="AP46" s="26"/>
      <c r="AQ46" s="24">
        <v>11.37</v>
      </c>
      <c r="AR46" s="26"/>
      <c r="AS46" s="26"/>
      <c r="AT46" s="26"/>
      <c r="AU46" s="26"/>
      <c r="AV46" s="26"/>
      <c r="AW46" s="24">
        <v>20.27</v>
      </c>
      <c r="AX46" s="26"/>
      <c r="AY46" s="26"/>
      <c r="AZ46" s="26"/>
      <c r="BA46" s="26"/>
      <c r="BB46" s="26"/>
      <c r="BC46" s="26"/>
      <c r="BD46" s="24">
        <v>20.85</v>
      </c>
      <c r="BE46" s="26"/>
      <c r="BF46" s="26"/>
      <c r="BG46" s="24">
        <v>27.24</v>
      </c>
      <c r="BH46" s="24">
        <v>26.08</v>
      </c>
      <c r="BI46" s="26"/>
      <c r="BJ46" s="26"/>
      <c r="BK46" s="24">
        <v>24.11</v>
      </c>
      <c r="BL46" s="24">
        <v>20.41</v>
      </c>
      <c r="BM46" s="24">
        <v>28.66</v>
      </c>
      <c r="BN46" s="24">
        <v>24.58</v>
      </c>
      <c r="BO46" s="24">
        <v>0.44</v>
      </c>
      <c r="BP46" s="24">
        <v>2.12</v>
      </c>
      <c r="BQ46" s="24">
        <v>6.68</v>
      </c>
      <c r="BR46" s="24">
        <v>8.6</v>
      </c>
      <c r="BS46" s="25">
        <v>4.69</v>
      </c>
      <c r="BT46" s="56">
        <v>23.9</v>
      </c>
      <c r="BU46" s="57">
        <v>2.9</v>
      </c>
      <c r="BV46" s="25">
        <v>11.18</v>
      </c>
      <c r="BW46" s="24">
        <v>2100.0</v>
      </c>
      <c r="BX46" s="24">
        <v>2400.0</v>
      </c>
      <c r="BY46" s="24" t="s">
        <v>123</v>
      </c>
      <c r="BZ46" s="28">
        <v>2100.0</v>
      </c>
      <c r="CA46" s="29" t="s">
        <v>124</v>
      </c>
      <c r="CB46" s="30">
        <v>2400.0</v>
      </c>
      <c r="CC46" s="31"/>
      <c r="CD46" s="28">
        <v>2400.0</v>
      </c>
      <c r="CE46" s="32" t="e">
        <v>#REF!</v>
      </c>
      <c r="CF46" s="33"/>
      <c r="CG46" s="34">
        <v>0.0</v>
      </c>
      <c r="CH46" s="35">
        <v>0.0</v>
      </c>
      <c r="CI46" s="36">
        <v>25.0</v>
      </c>
      <c r="CJ46" s="36">
        <v>1790.0</v>
      </c>
      <c r="CK46" s="93">
        <f t="shared" si="2"/>
        <v>20</v>
      </c>
      <c r="CL46" s="36">
        <v>1810.0</v>
      </c>
      <c r="CM46" s="38">
        <v>623.0</v>
      </c>
      <c r="CN46" s="36">
        <v>0.0</v>
      </c>
      <c r="CO46" s="39">
        <v>24.9</v>
      </c>
      <c r="CP46" s="40">
        <v>0.0</v>
      </c>
      <c r="CQ46" s="36">
        <v>53.0</v>
      </c>
      <c r="CR46" s="36">
        <v>53.0</v>
      </c>
      <c r="CS46" s="36">
        <v>117.0</v>
      </c>
      <c r="CT46" s="41"/>
      <c r="CU46" s="42"/>
      <c r="CV46" s="43"/>
      <c r="CW46" s="44">
        <v>8.0</v>
      </c>
      <c r="CX46" s="44" t="s">
        <v>125</v>
      </c>
      <c r="CY46" s="44" t="s">
        <v>126</v>
      </c>
      <c r="CZ46" s="45"/>
      <c r="DA46" s="44">
        <v>2400.0</v>
      </c>
      <c r="DB46" s="44">
        <v>0.0</v>
      </c>
      <c r="DC46" s="43"/>
      <c r="DD46" s="78"/>
      <c r="DE46" s="43"/>
      <c r="DF46" s="43"/>
      <c r="DG46" s="48" t="s">
        <v>128</v>
      </c>
      <c r="DH46" s="48" t="s">
        <v>128</v>
      </c>
      <c r="DI46" s="48" t="s">
        <v>128</v>
      </c>
      <c r="DJ46" s="49">
        <v>1.0</v>
      </c>
      <c r="DK46" s="48" t="b">
        <v>0</v>
      </c>
      <c r="DL46" s="50" t="s">
        <v>249</v>
      </c>
      <c r="DM46" s="50" t="s">
        <v>131</v>
      </c>
      <c r="DN46" s="50" t="s">
        <v>250</v>
      </c>
      <c r="DO46" s="49">
        <v>0.85</v>
      </c>
      <c r="DP46" s="48" t="s">
        <v>128</v>
      </c>
      <c r="DQ46" s="48" t="s">
        <v>128</v>
      </c>
      <c r="DR46" s="51"/>
      <c r="DS46" s="48" t="s">
        <v>134</v>
      </c>
    </row>
    <row r="47">
      <c r="A47" s="52" t="s">
        <v>118</v>
      </c>
      <c r="B47" s="53">
        <v>3.0</v>
      </c>
      <c r="C47" s="52" t="s">
        <v>119</v>
      </c>
      <c r="D47" s="53">
        <v>536832.0</v>
      </c>
      <c r="E47" s="52" t="s">
        <v>158</v>
      </c>
      <c r="F47" s="52" t="s">
        <v>260</v>
      </c>
      <c r="G47" s="52" t="s">
        <v>261</v>
      </c>
      <c r="H47" s="53">
        <v>33034.0</v>
      </c>
      <c r="I47" s="53">
        <v>63.0</v>
      </c>
      <c r="J47" s="53">
        <v>0.0</v>
      </c>
      <c r="K47" s="53">
        <v>0.0</v>
      </c>
      <c r="L47" s="53">
        <v>0.0</v>
      </c>
      <c r="M47" s="53">
        <v>0.0</v>
      </c>
      <c r="N47" s="53">
        <v>0.0</v>
      </c>
      <c r="O47" s="53">
        <v>1.0</v>
      </c>
      <c r="P47" s="53">
        <v>2.0</v>
      </c>
      <c r="Q47" s="53">
        <v>3.0</v>
      </c>
      <c r="R47" s="53">
        <v>2.0</v>
      </c>
      <c r="S47" s="53">
        <v>4.0</v>
      </c>
      <c r="T47" s="53">
        <v>2.0</v>
      </c>
      <c r="U47" s="53">
        <v>4.0</v>
      </c>
      <c r="V47" s="53">
        <v>2.0</v>
      </c>
      <c r="W47" s="53">
        <v>5.0</v>
      </c>
      <c r="X47" s="53">
        <v>5.0</v>
      </c>
      <c r="Y47" s="53">
        <v>2.0</v>
      </c>
      <c r="Z47" s="53">
        <v>3.0</v>
      </c>
      <c r="AA47" s="53">
        <v>0.0</v>
      </c>
      <c r="AB47" s="53">
        <v>2.0</v>
      </c>
      <c r="AC47" s="53">
        <v>7.0</v>
      </c>
      <c r="AD47" s="53">
        <v>3.0</v>
      </c>
      <c r="AE47" s="53">
        <v>6.0</v>
      </c>
      <c r="AF47" s="53">
        <v>5.0</v>
      </c>
      <c r="AG47" s="53">
        <v>1.0</v>
      </c>
      <c r="AH47" s="53">
        <v>1.0</v>
      </c>
      <c r="AI47" s="53">
        <v>1.0</v>
      </c>
      <c r="AJ47" s="53">
        <v>0.0</v>
      </c>
      <c r="AK47" s="53">
        <v>1.0</v>
      </c>
      <c r="AL47" s="53">
        <v>0.0</v>
      </c>
      <c r="AM47" s="53">
        <v>0.0</v>
      </c>
      <c r="AN47" s="53">
        <v>1.0</v>
      </c>
      <c r="AO47" s="25">
        <v>21.5</v>
      </c>
      <c r="AP47" s="54"/>
      <c r="AQ47" s="54"/>
      <c r="AR47" s="54"/>
      <c r="AS47" s="54"/>
      <c r="AT47" s="54"/>
      <c r="AU47" s="53">
        <v>15.77</v>
      </c>
      <c r="AV47" s="53">
        <v>16.54</v>
      </c>
      <c r="AW47" s="53">
        <v>14.74</v>
      </c>
      <c r="AX47" s="53">
        <v>15.63</v>
      </c>
      <c r="AY47" s="53">
        <v>21.79</v>
      </c>
      <c r="AZ47" s="53">
        <v>25.16</v>
      </c>
      <c r="BA47" s="53">
        <v>15.73</v>
      </c>
      <c r="BB47" s="53">
        <v>18.12</v>
      </c>
      <c r="BC47" s="53">
        <v>19.31</v>
      </c>
      <c r="BD47" s="53">
        <v>21.79</v>
      </c>
      <c r="BE47" s="53">
        <v>17.55</v>
      </c>
      <c r="BF47" s="53">
        <v>18.9</v>
      </c>
      <c r="BG47" s="54"/>
      <c r="BH47" s="53">
        <v>20.27</v>
      </c>
      <c r="BI47" s="53">
        <v>26.9</v>
      </c>
      <c r="BJ47" s="53">
        <v>27.45</v>
      </c>
      <c r="BK47" s="53">
        <v>23.09</v>
      </c>
      <c r="BL47" s="53">
        <v>25.03</v>
      </c>
      <c r="BM47" s="53">
        <v>26.13</v>
      </c>
      <c r="BN47" s="53">
        <v>17.47</v>
      </c>
      <c r="BO47" s="53">
        <v>0.43</v>
      </c>
      <c r="BP47" s="53">
        <v>1.79</v>
      </c>
      <c r="BQ47" s="53">
        <v>7.58</v>
      </c>
      <c r="BR47" s="53">
        <v>9.16</v>
      </c>
      <c r="BS47" s="25">
        <v>4.57</v>
      </c>
      <c r="BT47" s="56">
        <v>28.6</v>
      </c>
      <c r="BU47" s="25">
        <v>9.3</v>
      </c>
      <c r="BV47" s="25">
        <v>10.47</v>
      </c>
      <c r="BW47" s="53">
        <v>1200.0</v>
      </c>
      <c r="BX47" s="53">
        <v>2400.0</v>
      </c>
      <c r="BY47" s="53" t="s">
        <v>123</v>
      </c>
      <c r="BZ47" s="58">
        <v>2100.0</v>
      </c>
      <c r="CA47" s="96" t="s">
        <v>124</v>
      </c>
      <c r="CB47" s="53">
        <v>2400.0</v>
      </c>
      <c r="CC47" s="97"/>
      <c r="CD47" s="58">
        <v>2400.0</v>
      </c>
      <c r="CE47" s="59" t="e">
        <v>#REF!</v>
      </c>
      <c r="CF47" s="60"/>
      <c r="CG47" s="61">
        <v>0.0</v>
      </c>
      <c r="CH47" s="62">
        <v>0.0</v>
      </c>
      <c r="CI47" s="63">
        <v>63.0</v>
      </c>
      <c r="CJ47" s="63">
        <v>1790.0</v>
      </c>
      <c r="CK47" s="94">
        <f t="shared" si="2"/>
        <v>20</v>
      </c>
      <c r="CL47" s="63">
        <v>1810.0</v>
      </c>
      <c r="CM47" s="65">
        <v>1355.0</v>
      </c>
      <c r="CN47" s="63">
        <v>0.0</v>
      </c>
      <c r="CO47" s="66">
        <v>21.5</v>
      </c>
      <c r="CP47" s="67">
        <v>0.0</v>
      </c>
      <c r="CQ47" s="63">
        <v>113.0</v>
      </c>
      <c r="CR47" s="63">
        <v>113.0</v>
      </c>
      <c r="CS47" s="63">
        <v>288.0</v>
      </c>
      <c r="CT47" s="68"/>
      <c r="CU47" s="69"/>
      <c r="CV47" s="70"/>
      <c r="CW47" s="71">
        <v>8.0</v>
      </c>
      <c r="CX47" s="71" t="s">
        <v>125</v>
      </c>
      <c r="CY47" s="71" t="s">
        <v>126</v>
      </c>
      <c r="CZ47" s="98"/>
      <c r="DA47" s="44">
        <v>2400.0</v>
      </c>
      <c r="DB47" s="71">
        <v>0.0</v>
      </c>
      <c r="DC47" s="70"/>
      <c r="DD47" s="99"/>
      <c r="DE47" s="70"/>
      <c r="DF47" s="70"/>
      <c r="DG47" s="100" t="s">
        <v>128</v>
      </c>
      <c r="DH47" s="100" t="s">
        <v>128</v>
      </c>
      <c r="DI47" s="100" t="s">
        <v>128</v>
      </c>
      <c r="DJ47" s="101">
        <v>1.0</v>
      </c>
      <c r="DK47" s="100" t="b">
        <v>0</v>
      </c>
      <c r="DL47" s="102" t="s">
        <v>249</v>
      </c>
      <c r="DM47" s="102" t="s">
        <v>131</v>
      </c>
      <c r="DN47" s="102" t="s">
        <v>250</v>
      </c>
      <c r="DO47" s="101">
        <v>0.85</v>
      </c>
      <c r="DP47" s="100" t="s">
        <v>128</v>
      </c>
      <c r="DQ47" s="100" t="s">
        <v>128</v>
      </c>
      <c r="DR47" s="103"/>
      <c r="DS47" s="100" t="s">
        <v>134</v>
      </c>
    </row>
    <row r="48">
      <c r="A48" s="23" t="s">
        <v>118</v>
      </c>
      <c r="B48" s="24">
        <v>3.0</v>
      </c>
      <c r="C48" s="23" t="s">
        <v>119</v>
      </c>
      <c r="D48" s="24">
        <v>627274.0</v>
      </c>
      <c r="E48" s="23" t="s">
        <v>173</v>
      </c>
      <c r="F48" s="23" t="s">
        <v>262</v>
      </c>
      <c r="G48" s="23" t="s">
        <v>263</v>
      </c>
      <c r="H48" s="24">
        <v>33034.0</v>
      </c>
      <c r="I48" s="24">
        <v>12.0</v>
      </c>
      <c r="J48" s="24">
        <v>0.0</v>
      </c>
      <c r="K48" s="24">
        <v>0.0</v>
      </c>
      <c r="L48" s="24">
        <v>0.0</v>
      </c>
      <c r="M48" s="24">
        <v>2.0</v>
      </c>
      <c r="N48" s="24">
        <v>0.0</v>
      </c>
      <c r="O48" s="24">
        <v>0.0</v>
      </c>
      <c r="P48" s="24">
        <v>0.0</v>
      </c>
      <c r="Q48" s="24">
        <v>2.0</v>
      </c>
      <c r="R48" s="24">
        <v>0.0</v>
      </c>
      <c r="S48" s="24">
        <v>0.0</v>
      </c>
      <c r="T48" s="24">
        <v>1.0</v>
      </c>
      <c r="U48" s="24">
        <v>1.0</v>
      </c>
      <c r="V48" s="24">
        <v>0.0</v>
      </c>
      <c r="W48" s="24">
        <v>0.0</v>
      </c>
      <c r="X48" s="24">
        <v>1.0</v>
      </c>
      <c r="Y48" s="24">
        <v>1.0</v>
      </c>
      <c r="Z48" s="24">
        <v>1.0</v>
      </c>
      <c r="AA48" s="24">
        <v>1.0</v>
      </c>
      <c r="AB48" s="24">
        <v>0.0</v>
      </c>
      <c r="AC48" s="24">
        <v>1.0</v>
      </c>
      <c r="AD48" s="24">
        <v>1.0</v>
      </c>
      <c r="AE48" s="24">
        <v>0.0</v>
      </c>
      <c r="AF48" s="24">
        <v>0.0</v>
      </c>
      <c r="AG48" s="24">
        <v>0.0</v>
      </c>
      <c r="AH48" s="24">
        <v>0.0</v>
      </c>
      <c r="AI48" s="24">
        <v>0.0</v>
      </c>
      <c r="AJ48" s="24">
        <v>0.0</v>
      </c>
      <c r="AK48" s="24">
        <v>0.0</v>
      </c>
      <c r="AL48" s="24">
        <v>0.0</v>
      </c>
      <c r="AM48" s="24">
        <v>0.0</v>
      </c>
      <c r="AN48" s="24">
        <v>0.0</v>
      </c>
      <c r="AO48" s="25">
        <v>18.8</v>
      </c>
      <c r="AP48" s="26"/>
      <c r="AQ48" s="26"/>
      <c r="AR48" s="26"/>
      <c r="AS48" s="24">
        <v>17.57</v>
      </c>
      <c r="AT48" s="26"/>
      <c r="AU48" s="26"/>
      <c r="AV48" s="26"/>
      <c r="AW48" s="24">
        <v>13.83</v>
      </c>
      <c r="AX48" s="26"/>
      <c r="AY48" s="26"/>
      <c r="AZ48" s="24">
        <v>18.47</v>
      </c>
      <c r="BA48" s="24">
        <v>20.2</v>
      </c>
      <c r="BB48" s="26"/>
      <c r="BC48" s="26"/>
      <c r="BD48" s="24">
        <v>35.28</v>
      </c>
      <c r="BE48" s="24">
        <v>15.48</v>
      </c>
      <c r="BF48" s="24">
        <v>20.37</v>
      </c>
      <c r="BG48" s="24">
        <v>20.3</v>
      </c>
      <c r="BH48" s="26"/>
      <c r="BI48" s="24">
        <v>16.77</v>
      </c>
      <c r="BJ48" s="24">
        <v>16.43</v>
      </c>
      <c r="BK48" s="26"/>
      <c r="BL48" s="26"/>
      <c r="BM48" s="26"/>
      <c r="BN48" s="26"/>
      <c r="BO48" s="26"/>
      <c r="BP48" s="24">
        <v>1.92</v>
      </c>
      <c r="BQ48" s="24">
        <v>6.63</v>
      </c>
      <c r="BR48" s="24">
        <v>8.36</v>
      </c>
      <c r="BS48" s="55">
        <v>3.95</v>
      </c>
      <c r="BT48" s="56">
        <v>18.5</v>
      </c>
      <c r="BU48" s="25">
        <v>5.2</v>
      </c>
      <c r="BV48" s="57">
        <v>5.6</v>
      </c>
      <c r="BW48" s="26"/>
      <c r="BX48" s="24">
        <v>2400.0</v>
      </c>
      <c r="BY48" s="24" t="s">
        <v>123</v>
      </c>
      <c r="BZ48" s="28">
        <v>2400.0</v>
      </c>
      <c r="CA48" s="72"/>
      <c r="CB48" s="30">
        <v>2700.0</v>
      </c>
      <c r="CC48" s="31"/>
      <c r="CD48" s="28">
        <v>2700.0</v>
      </c>
      <c r="CE48" s="32" t="e">
        <v>#REF!</v>
      </c>
      <c r="CF48" s="73">
        <f>+300</f>
        <v>300</v>
      </c>
      <c r="CG48" s="74">
        <f>+2</f>
        <v>2</v>
      </c>
      <c r="CH48" s="35">
        <v>0.17</v>
      </c>
      <c r="CI48" s="36">
        <v>14.0</v>
      </c>
      <c r="CJ48" s="36">
        <v>1790.0</v>
      </c>
      <c r="CK48" s="93">
        <f t="shared" si="2"/>
        <v>20</v>
      </c>
      <c r="CL48" s="36">
        <v>1810.0</v>
      </c>
      <c r="CM48" s="38">
        <v>226.0</v>
      </c>
      <c r="CN48" s="36">
        <v>-55.0</v>
      </c>
      <c r="CO48" s="39">
        <v>20.0</v>
      </c>
      <c r="CP48" s="75">
        <f>+1.2</f>
        <v>1.2</v>
      </c>
      <c r="CQ48" s="36">
        <v>23.0</v>
      </c>
      <c r="CR48" s="36">
        <v>27.0</v>
      </c>
      <c r="CS48" s="36">
        <v>55.0</v>
      </c>
      <c r="CT48" s="41"/>
      <c r="CU48" s="42"/>
      <c r="CV48" s="43"/>
      <c r="CW48" s="44">
        <v>9.0</v>
      </c>
      <c r="CX48" s="44" t="s">
        <v>143</v>
      </c>
      <c r="CY48" s="44" t="s">
        <v>144</v>
      </c>
      <c r="CZ48" s="76" t="s">
        <v>151</v>
      </c>
      <c r="DA48" s="44">
        <v>2700.0</v>
      </c>
      <c r="DB48" s="44">
        <v>0.0</v>
      </c>
      <c r="DC48" s="46" t="s">
        <v>127</v>
      </c>
      <c r="DD48" s="47">
        <v>46240.0</v>
      </c>
      <c r="DE48" s="43"/>
      <c r="DF48" s="43"/>
      <c r="DG48" s="48" t="s">
        <v>128</v>
      </c>
      <c r="DH48" s="48" t="s">
        <v>128</v>
      </c>
      <c r="DI48" s="48" t="s">
        <v>128</v>
      </c>
      <c r="DJ48" s="49">
        <v>1.0</v>
      </c>
      <c r="DK48" s="48" t="b">
        <v>0</v>
      </c>
      <c r="DL48" s="50" t="s">
        <v>249</v>
      </c>
      <c r="DM48" s="50" t="s">
        <v>131</v>
      </c>
      <c r="DN48" s="50" t="s">
        <v>250</v>
      </c>
      <c r="DO48" s="49">
        <v>0.85</v>
      </c>
      <c r="DP48" s="48" t="s">
        <v>128</v>
      </c>
      <c r="DQ48" s="48" t="s">
        <v>128</v>
      </c>
      <c r="DR48" s="51"/>
      <c r="DS48" s="48" t="s">
        <v>134</v>
      </c>
    </row>
    <row r="49">
      <c r="A49" s="52" t="s">
        <v>118</v>
      </c>
      <c r="B49" s="53">
        <v>3.0</v>
      </c>
      <c r="C49" s="52" t="s">
        <v>119</v>
      </c>
      <c r="D49" s="53">
        <v>669823.0</v>
      </c>
      <c r="E49" s="52" t="s">
        <v>214</v>
      </c>
      <c r="F49" s="52" t="s">
        <v>264</v>
      </c>
      <c r="G49" s="52" t="s">
        <v>265</v>
      </c>
      <c r="H49" s="53">
        <v>33034.0</v>
      </c>
      <c r="I49" s="53">
        <v>30.0</v>
      </c>
      <c r="J49" s="53">
        <v>0.0</v>
      </c>
      <c r="K49" s="53">
        <v>0.0</v>
      </c>
      <c r="L49" s="53">
        <v>0.0</v>
      </c>
      <c r="M49" s="53">
        <v>0.0</v>
      </c>
      <c r="N49" s="53">
        <v>0.0</v>
      </c>
      <c r="O49" s="53">
        <v>0.0</v>
      </c>
      <c r="P49" s="53">
        <v>0.0</v>
      </c>
      <c r="Q49" s="53">
        <v>0.0</v>
      </c>
      <c r="R49" s="53">
        <v>0.0</v>
      </c>
      <c r="S49" s="53">
        <v>0.0</v>
      </c>
      <c r="T49" s="53">
        <v>1.0</v>
      </c>
      <c r="U49" s="53">
        <v>2.0</v>
      </c>
      <c r="V49" s="53">
        <v>1.0</v>
      </c>
      <c r="W49" s="53">
        <v>0.0</v>
      </c>
      <c r="X49" s="53">
        <v>2.0</v>
      </c>
      <c r="Y49" s="53">
        <v>1.0</v>
      </c>
      <c r="Z49" s="53">
        <v>2.0</v>
      </c>
      <c r="AA49" s="53">
        <v>0.0</v>
      </c>
      <c r="AB49" s="53">
        <v>2.0</v>
      </c>
      <c r="AC49" s="53">
        <v>2.0</v>
      </c>
      <c r="AD49" s="53">
        <v>1.0</v>
      </c>
      <c r="AE49" s="53">
        <v>1.0</v>
      </c>
      <c r="AF49" s="53">
        <v>0.0</v>
      </c>
      <c r="AG49" s="53">
        <v>3.0</v>
      </c>
      <c r="AH49" s="53">
        <v>4.0</v>
      </c>
      <c r="AI49" s="53">
        <v>1.0</v>
      </c>
      <c r="AJ49" s="53">
        <v>3.0</v>
      </c>
      <c r="AK49" s="53">
        <v>1.0</v>
      </c>
      <c r="AL49" s="53">
        <v>0.0</v>
      </c>
      <c r="AM49" s="53">
        <v>0.0</v>
      </c>
      <c r="AN49" s="53">
        <v>3.0</v>
      </c>
      <c r="AO49" s="25">
        <v>26.1</v>
      </c>
      <c r="AP49" s="54"/>
      <c r="AQ49" s="54"/>
      <c r="AR49" s="54"/>
      <c r="AS49" s="54"/>
      <c r="AT49" s="54"/>
      <c r="AU49" s="54"/>
      <c r="AV49" s="54"/>
      <c r="AW49" s="54"/>
      <c r="AX49" s="54"/>
      <c r="AY49" s="54"/>
      <c r="AZ49" s="53">
        <v>21.08</v>
      </c>
      <c r="BA49" s="53">
        <v>17.63</v>
      </c>
      <c r="BB49" s="53">
        <v>19.28</v>
      </c>
      <c r="BC49" s="54"/>
      <c r="BD49" s="53">
        <v>19.77</v>
      </c>
      <c r="BE49" s="53">
        <v>21.8</v>
      </c>
      <c r="BF49" s="53">
        <v>27.61</v>
      </c>
      <c r="BG49" s="54"/>
      <c r="BH49" s="53">
        <v>28.4</v>
      </c>
      <c r="BI49" s="53">
        <v>16.23</v>
      </c>
      <c r="BJ49" s="53">
        <v>20.97</v>
      </c>
      <c r="BK49" s="53">
        <v>34.58</v>
      </c>
      <c r="BL49" s="54"/>
      <c r="BM49" s="53">
        <v>23.28</v>
      </c>
      <c r="BN49" s="53">
        <v>28.3</v>
      </c>
      <c r="BO49" s="53">
        <v>0.55</v>
      </c>
      <c r="BP49" s="53">
        <v>3.97</v>
      </c>
      <c r="BQ49" s="53">
        <v>7.75</v>
      </c>
      <c r="BR49" s="53">
        <v>11.52</v>
      </c>
      <c r="BS49" s="55">
        <v>3.87</v>
      </c>
      <c r="BT49" s="56">
        <v>23.2</v>
      </c>
      <c r="BU49" s="25">
        <v>4.9</v>
      </c>
      <c r="BV49" s="25">
        <v>8.71</v>
      </c>
      <c r="BW49" s="53">
        <v>1000.0</v>
      </c>
      <c r="BX49" s="53">
        <v>2700.0</v>
      </c>
      <c r="BY49" s="53" t="s">
        <v>123</v>
      </c>
      <c r="BZ49" s="58">
        <v>2400.0</v>
      </c>
      <c r="CA49" s="29" t="s">
        <v>124</v>
      </c>
      <c r="CB49" s="30">
        <v>2700.0</v>
      </c>
      <c r="CC49" s="31"/>
      <c r="CD49" s="58">
        <v>2700.0</v>
      </c>
      <c r="CE49" s="59" t="e">
        <v>#REF!</v>
      </c>
      <c r="CF49" s="60"/>
      <c r="CG49" s="61">
        <v>0.0</v>
      </c>
      <c r="CH49" s="62">
        <v>0.0</v>
      </c>
      <c r="CI49" s="63">
        <v>30.0</v>
      </c>
      <c r="CJ49" s="63">
        <v>1790.0</v>
      </c>
      <c r="CK49" s="94">
        <f t="shared" si="2"/>
        <v>20</v>
      </c>
      <c r="CL49" s="63">
        <v>1810.0</v>
      </c>
      <c r="CM49" s="65">
        <v>783.0</v>
      </c>
      <c r="CN49" s="63">
        <v>0.0</v>
      </c>
      <c r="CO49" s="66">
        <v>26.1</v>
      </c>
      <c r="CP49" s="67">
        <v>0.0</v>
      </c>
      <c r="CQ49" s="63">
        <v>119.0</v>
      </c>
      <c r="CR49" s="63">
        <v>119.0</v>
      </c>
      <c r="CS49" s="63">
        <v>116.0</v>
      </c>
      <c r="CT49" s="68"/>
      <c r="CU49" s="69"/>
      <c r="CV49" s="70"/>
      <c r="CW49" s="71">
        <v>9.0</v>
      </c>
      <c r="CX49" s="71" t="s">
        <v>143</v>
      </c>
      <c r="CY49" s="71" t="s">
        <v>144</v>
      </c>
      <c r="CZ49" s="45"/>
      <c r="DA49" s="44">
        <v>2700.0</v>
      </c>
      <c r="DB49" s="44">
        <v>0.0</v>
      </c>
      <c r="DC49" s="43"/>
      <c r="DD49" s="78"/>
      <c r="DE49" s="43"/>
      <c r="DF49" s="43"/>
      <c r="DG49" s="48" t="s">
        <v>128</v>
      </c>
      <c r="DH49" s="48" t="s">
        <v>128</v>
      </c>
      <c r="DI49" s="48" t="s">
        <v>128</v>
      </c>
      <c r="DJ49" s="49">
        <v>1.0</v>
      </c>
      <c r="DK49" s="48" t="b">
        <v>0</v>
      </c>
      <c r="DL49" s="50" t="s">
        <v>249</v>
      </c>
      <c r="DM49" s="50" t="s">
        <v>131</v>
      </c>
      <c r="DN49" s="50" t="s">
        <v>250</v>
      </c>
      <c r="DO49" s="49">
        <v>0.85</v>
      </c>
      <c r="DP49" s="48" t="s">
        <v>128</v>
      </c>
      <c r="DQ49" s="48" t="s">
        <v>128</v>
      </c>
      <c r="DR49" s="51"/>
      <c r="DS49" s="48" t="s">
        <v>134</v>
      </c>
    </row>
    <row r="50">
      <c r="A50" s="23" t="s">
        <v>118</v>
      </c>
      <c r="B50" s="24">
        <v>3.0</v>
      </c>
      <c r="C50" s="23" t="s">
        <v>119</v>
      </c>
      <c r="D50" s="24">
        <v>576393.0</v>
      </c>
      <c r="E50" s="23" t="s">
        <v>164</v>
      </c>
      <c r="F50" s="23" t="s">
        <v>266</v>
      </c>
      <c r="G50" s="23" t="s">
        <v>267</v>
      </c>
      <c r="H50" s="24">
        <v>33034.0</v>
      </c>
      <c r="I50" s="24">
        <v>32.0</v>
      </c>
      <c r="J50" s="24">
        <v>0.0</v>
      </c>
      <c r="K50" s="24">
        <v>1.0</v>
      </c>
      <c r="L50" s="24">
        <v>0.0</v>
      </c>
      <c r="M50" s="24">
        <v>0.0</v>
      </c>
      <c r="N50" s="24">
        <v>0.0</v>
      </c>
      <c r="O50" s="24">
        <v>0.0</v>
      </c>
      <c r="P50" s="24">
        <v>0.0</v>
      </c>
      <c r="Q50" s="24">
        <v>0.0</v>
      </c>
      <c r="R50" s="24">
        <v>0.0</v>
      </c>
      <c r="S50" s="24">
        <v>2.0</v>
      </c>
      <c r="T50" s="24">
        <v>0.0</v>
      </c>
      <c r="U50" s="24">
        <v>0.0</v>
      </c>
      <c r="V50" s="24">
        <v>2.0</v>
      </c>
      <c r="W50" s="24">
        <v>2.0</v>
      </c>
      <c r="X50" s="24">
        <v>4.0</v>
      </c>
      <c r="Y50" s="24">
        <v>3.0</v>
      </c>
      <c r="Z50" s="24">
        <v>3.0</v>
      </c>
      <c r="AA50" s="24">
        <v>5.0</v>
      </c>
      <c r="AB50" s="24">
        <v>0.0</v>
      </c>
      <c r="AC50" s="24">
        <v>3.0</v>
      </c>
      <c r="AD50" s="24">
        <v>3.0</v>
      </c>
      <c r="AE50" s="24">
        <v>2.0</v>
      </c>
      <c r="AF50" s="24">
        <v>1.0</v>
      </c>
      <c r="AG50" s="24">
        <v>1.0</v>
      </c>
      <c r="AH50" s="24">
        <v>0.0</v>
      </c>
      <c r="AI50" s="24">
        <v>0.0</v>
      </c>
      <c r="AJ50" s="24">
        <v>0.0</v>
      </c>
      <c r="AK50" s="24">
        <v>0.0</v>
      </c>
      <c r="AL50" s="24">
        <v>0.0</v>
      </c>
      <c r="AM50" s="24">
        <v>0.0</v>
      </c>
      <c r="AN50" s="24">
        <v>0.0</v>
      </c>
      <c r="AO50" s="25">
        <v>21.3</v>
      </c>
      <c r="AP50" s="26"/>
      <c r="AQ50" s="24">
        <v>7.35</v>
      </c>
      <c r="AR50" s="26"/>
      <c r="AS50" s="26"/>
      <c r="AT50" s="26"/>
      <c r="AU50" s="26"/>
      <c r="AV50" s="26"/>
      <c r="AW50" s="26"/>
      <c r="AX50" s="26"/>
      <c r="AY50" s="24">
        <v>19.33</v>
      </c>
      <c r="AZ50" s="26"/>
      <c r="BA50" s="26"/>
      <c r="BB50" s="24">
        <v>19.41</v>
      </c>
      <c r="BC50" s="24">
        <v>24.01</v>
      </c>
      <c r="BD50" s="24">
        <v>18.61</v>
      </c>
      <c r="BE50" s="24">
        <v>18.33</v>
      </c>
      <c r="BF50" s="24">
        <v>18.98</v>
      </c>
      <c r="BG50" s="24">
        <v>21.33</v>
      </c>
      <c r="BH50" s="26"/>
      <c r="BI50" s="24">
        <v>24.04</v>
      </c>
      <c r="BJ50" s="24">
        <v>30.24</v>
      </c>
      <c r="BK50" s="24">
        <v>22.66</v>
      </c>
      <c r="BL50" s="24">
        <v>20.35</v>
      </c>
      <c r="BM50" s="24">
        <v>26.63</v>
      </c>
      <c r="BN50" s="26"/>
      <c r="BO50" s="26"/>
      <c r="BP50" s="24">
        <v>2.36</v>
      </c>
      <c r="BQ50" s="24">
        <v>7.05</v>
      </c>
      <c r="BR50" s="24">
        <v>9.2</v>
      </c>
      <c r="BS50" s="55">
        <v>3.82</v>
      </c>
      <c r="BT50" s="56">
        <v>20.0</v>
      </c>
      <c r="BU50" s="57">
        <v>2.7</v>
      </c>
      <c r="BV50" s="25">
        <v>8.32</v>
      </c>
      <c r="BW50" s="24">
        <v>1200.0</v>
      </c>
      <c r="BX50" s="24">
        <v>2100.0</v>
      </c>
      <c r="BY50" s="24" t="s">
        <v>123</v>
      </c>
      <c r="BZ50" s="28">
        <v>1800.0</v>
      </c>
      <c r="CA50" s="29" t="s">
        <v>124</v>
      </c>
      <c r="CB50" s="30">
        <v>2100.0</v>
      </c>
      <c r="CC50" s="31"/>
      <c r="CD50" s="28">
        <v>2100.0</v>
      </c>
      <c r="CE50" s="32" t="e">
        <v>#REF!</v>
      </c>
      <c r="CF50" s="33"/>
      <c r="CG50" s="34">
        <v>0.0</v>
      </c>
      <c r="CH50" s="35">
        <v>0.0</v>
      </c>
      <c r="CI50" s="36">
        <v>32.0</v>
      </c>
      <c r="CJ50" s="36">
        <v>1790.0</v>
      </c>
      <c r="CK50" s="93">
        <f t="shared" si="2"/>
        <v>20</v>
      </c>
      <c r="CL50" s="36">
        <v>1810.0</v>
      </c>
      <c r="CM50" s="38">
        <v>682.0</v>
      </c>
      <c r="CN50" s="36">
        <v>0.0</v>
      </c>
      <c r="CO50" s="39">
        <v>21.3</v>
      </c>
      <c r="CP50" s="40">
        <v>0.0</v>
      </c>
      <c r="CQ50" s="36">
        <v>76.0</v>
      </c>
      <c r="CR50" s="36">
        <v>76.0</v>
      </c>
      <c r="CS50" s="36">
        <v>122.0</v>
      </c>
      <c r="CT50" s="41"/>
      <c r="CU50" s="42"/>
      <c r="CV50" s="43"/>
      <c r="CW50" s="44">
        <v>7.0</v>
      </c>
      <c r="CX50" s="44" t="s">
        <v>201</v>
      </c>
      <c r="CY50" s="44" t="s">
        <v>202</v>
      </c>
      <c r="CZ50" s="45"/>
      <c r="DA50" s="44">
        <v>2100.0</v>
      </c>
      <c r="DB50" s="44">
        <v>0.0</v>
      </c>
      <c r="DC50" s="46" t="s">
        <v>127</v>
      </c>
      <c r="DD50" s="47">
        <v>46240.0</v>
      </c>
      <c r="DE50" s="43"/>
      <c r="DF50" s="43"/>
      <c r="DG50" s="48" t="s">
        <v>128</v>
      </c>
      <c r="DH50" s="48" t="s">
        <v>128</v>
      </c>
      <c r="DI50" s="48" t="s">
        <v>128</v>
      </c>
      <c r="DJ50" s="49">
        <v>1.0</v>
      </c>
      <c r="DK50" s="48" t="b">
        <v>0</v>
      </c>
      <c r="DL50" s="50" t="s">
        <v>249</v>
      </c>
      <c r="DM50" s="50" t="s">
        <v>131</v>
      </c>
      <c r="DN50" s="50" t="s">
        <v>250</v>
      </c>
      <c r="DO50" s="49">
        <v>0.85</v>
      </c>
      <c r="DP50" s="48" t="s">
        <v>128</v>
      </c>
      <c r="DQ50" s="48" t="s">
        <v>128</v>
      </c>
      <c r="DR50" s="51"/>
      <c r="DS50" s="48" t="s">
        <v>134</v>
      </c>
    </row>
    <row r="51">
      <c r="A51" s="52" t="s">
        <v>118</v>
      </c>
      <c r="B51" s="53">
        <v>3.0</v>
      </c>
      <c r="C51" s="52" t="s">
        <v>119</v>
      </c>
      <c r="D51" s="53">
        <v>643373.0</v>
      </c>
      <c r="E51" s="52" t="s">
        <v>120</v>
      </c>
      <c r="F51" s="52" t="s">
        <v>268</v>
      </c>
      <c r="G51" s="52" t="s">
        <v>269</v>
      </c>
      <c r="H51" s="53">
        <v>33034.0</v>
      </c>
      <c r="I51" s="53">
        <v>5.0</v>
      </c>
      <c r="J51" s="53">
        <v>0.0</v>
      </c>
      <c r="K51" s="53">
        <v>0.0</v>
      </c>
      <c r="L51" s="53">
        <v>0.0</v>
      </c>
      <c r="M51" s="53">
        <v>1.0</v>
      </c>
      <c r="N51" s="53">
        <v>0.0</v>
      </c>
      <c r="O51" s="53">
        <v>0.0</v>
      </c>
      <c r="P51" s="53">
        <v>0.0</v>
      </c>
      <c r="Q51" s="53">
        <v>0.0</v>
      </c>
      <c r="R51" s="53">
        <v>0.0</v>
      </c>
      <c r="S51" s="53">
        <v>0.0</v>
      </c>
      <c r="T51" s="53">
        <v>1.0</v>
      </c>
      <c r="U51" s="53">
        <v>0.0</v>
      </c>
      <c r="V51" s="53">
        <v>0.0</v>
      </c>
      <c r="W51" s="53">
        <v>0.0</v>
      </c>
      <c r="X51" s="53">
        <v>1.0</v>
      </c>
      <c r="Y51" s="53">
        <v>0.0</v>
      </c>
      <c r="Z51" s="53">
        <v>1.0</v>
      </c>
      <c r="AA51" s="53">
        <v>0.0</v>
      </c>
      <c r="AB51" s="53">
        <v>0.0</v>
      </c>
      <c r="AC51" s="53">
        <v>0.0</v>
      </c>
      <c r="AD51" s="53">
        <v>0.0</v>
      </c>
      <c r="AE51" s="53">
        <v>0.0</v>
      </c>
      <c r="AF51" s="53">
        <v>0.0</v>
      </c>
      <c r="AG51" s="53">
        <v>0.0</v>
      </c>
      <c r="AH51" s="53">
        <v>1.0</v>
      </c>
      <c r="AI51" s="53">
        <v>0.0</v>
      </c>
      <c r="AJ51" s="53">
        <v>0.0</v>
      </c>
      <c r="AK51" s="53">
        <v>0.0</v>
      </c>
      <c r="AL51" s="53">
        <v>0.0</v>
      </c>
      <c r="AM51" s="53">
        <v>0.0</v>
      </c>
      <c r="AN51" s="53">
        <v>0.0</v>
      </c>
      <c r="AO51" s="25">
        <v>21.3</v>
      </c>
      <c r="AP51" s="54"/>
      <c r="AQ51" s="54"/>
      <c r="AR51" s="54"/>
      <c r="AS51" s="53">
        <v>21.32</v>
      </c>
      <c r="AT51" s="54"/>
      <c r="AU51" s="54"/>
      <c r="AV51" s="54"/>
      <c r="AW51" s="54"/>
      <c r="AX51" s="54"/>
      <c r="AY51" s="54"/>
      <c r="AZ51" s="53">
        <v>17.23</v>
      </c>
      <c r="BA51" s="54"/>
      <c r="BB51" s="54"/>
      <c r="BC51" s="54"/>
      <c r="BD51" s="53">
        <v>15.7</v>
      </c>
      <c r="BE51" s="54"/>
      <c r="BF51" s="53">
        <v>25.92</v>
      </c>
      <c r="BG51" s="54"/>
      <c r="BH51" s="54"/>
      <c r="BI51" s="54"/>
      <c r="BJ51" s="54"/>
      <c r="BK51" s="54"/>
      <c r="BL51" s="54"/>
      <c r="BM51" s="54"/>
      <c r="BN51" s="53">
        <v>26.28</v>
      </c>
      <c r="BO51" s="54"/>
      <c r="BP51" s="53">
        <v>0.91</v>
      </c>
      <c r="BQ51" s="53">
        <v>8.46</v>
      </c>
      <c r="BR51" s="53">
        <v>9.16</v>
      </c>
      <c r="BS51" s="55">
        <v>3.71</v>
      </c>
      <c r="BT51" s="81"/>
      <c r="BU51" s="54"/>
      <c r="BV51" s="54"/>
      <c r="BW51" s="54"/>
      <c r="BX51" s="53">
        <v>2100.0</v>
      </c>
      <c r="BY51" s="53" t="s">
        <v>123</v>
      </c>
      <c r="BZ51" s="58">
        <v>1800.0</v>
      </c>
      <c r="CA51" s="29" t="s">
        <v>124</v>
      </c>
      <c r="CB51" s="30">
        <v>2100.0</v>
      </c>
      <c r="CC51" s="31"/>
      <c r="CD51" s="58">
        <v>2100.0</v>
      </c>
      <c r="CE51" s="59" t="e">
        <v>#REF!</v>
      </c>
      <c r="CF51" s="60"/>
      <c r="CG51" s="61">
        <v>0.0</v>
      </c>
      <c r="CH51" s="62">
        <v>0.0</v>
      </c>
      <c r="CI51" s="63">
        <v>5.0</v>
      </c>
      <c r="CJ51" s="63">
        <v>1790.0</v>
      </c>
      <c r="CK51" s="94">
        <f t="shared" si="2"/>
        <v>20</v>
      </c>
      <c r="CL51" s="63">
        <v>1810.0</v>
      </c>
      <c r="CM51" s="65">
        <v>107.0</v>
      </c>
      <c r="CN51" s="63">
        <v>0.0</v>
      </c>
      <c r="CO51" s="66">
        <v>21.3</v>
      </c>
      <c r="CP51" s="67">
        <v>0.0</v>
      </c>
      <c r="CQ51" s="63">
        <v>5.0</v>
      </c>
      <c r="CR51" s="63">
        <v>5.0</v>
      </c>
      <c r="CS51" s="63">
        <v>19.0</v>
      </c>
      <c r="CT51" s="68"/>
      <c r="CU51" s="69"/>
      <c r="CV51" s="70"/>
      <c r="CW51" s="71">
        <v>7.0</v>
      </c>
      <c r="CX51" s="71" t="s">
        <v>201</v>
      </c>
      <c r="CY51" s="71" t="s">
        <v>202</v>
      </c>
      <c r="CZ51" s="45"/>
      <c r="DA51" s="44">
        <v>2100.0</v>
      </c>
      <c r="DB51" s="44">
        <v>0.0</v>
      </c>
      <c r="DC51" s="43"/>
      <c r="DD51" s="78"/>
      <c r="DE51" s="43"/>
      <c r="DF51" s="43"/>
      <c r="DG51" s="48" t="s">
        <v>128</v>
      </c>
      <c r="DH51" s="48" t="s">
        <v>128</v>
      </c>
      <c r="DI51" s="48" t="s">
        <v>129</v>
      </c>
      <c r="DJ51" s="49">
        <v>1.0</v>
      </c>
      <c r="DK51" s="48" t="b">
        <v>0</v>
      </c>
      <c r="DL51" s="50" t="s">
        <v>249</v>
      </c>
      <c r="DM51" s="50" t="s">
        <v>131</v>
      </c>
      <c r="DN51" s="50" t="s">
        <v>250</v>
      </c>
      <c r="DO51" s="49">
        <v>0.85</v>
      </c>
      <c r="DP51" s="48" t="s">
        <v>128</v>
      </c>
      <c r="DQ51" s="48" t="s">
        <v>133</v>
      </c>
      <c r="DR51" s="51"/>
      <c r="DS51" s="48" t="s">
        <v>134</v>
      </c>
    </row>
    <row r="52">
      <c r="A52" s="23" t="s">
        <v>118</v>
      </c>
      <c r="B52" s="24">
        <v>3.0</v>
      </c>
      <c r="C52" s="23" t="s">
        <v>119</v>
      </c>
      <c r="D52" s="24">
        <v>639495.0</v>
      </c>
      <c r="E52" s="23" t="s">
        <v>155</v>
      </c>
      <c r="F52" s="23" t="s">
        <v>270</v>
      </c>
      <c r="G52" s="23" t="s">
        <v>271</v>
      </c>
      <c r="H52" s="24">
        <v>33034.0</v>
      </c>
      <c r="I52" s="24">
        <v>48.0</v>
      </c>
      <c r="J52" s="24">
        <v>0.0</v>
      </c>
      <c r="K52" s="24">
        <v>0.0</v>
      </c>
      <c r="L52" s="24">
        <v>0.0</v>
      </c>
      <c r="M52" s="24">
        <v>0.0</v>
      </c>
      <c r="N52" s="24">
        <v>1.0</v>
      </c>
      <c r="O52" s="24">
        <v>3.0</v>
      </c>
      <c r="P52" s="24">
        <v>0.0</v>
      </c>
      <c r="Q52" s="24">
        <v>1.0</v>
      </c>
      <c r="R52" s="24">
        <v>3.0</v>
      </c>
      <c r="S52" s="24">
        <v>2.0</v>
      </c>
      <c r="T52" s="24">
        <v>0.0</v>
      </c>
      <c r="U52" s="24">
        <v>1.0</v>
      </c>
      <c r="V52" s="24">
        <v>2.0</v>
      </c>
      <c r="W52" s="24">
        <v>4.0</v>
      </c>
      <c r="X52" s="24">
        <v>3.0</v>
      </c>
      <c r="Y52" s="24">
        <v>5.0</v>
      </c>
      <c r="Z52" s="24">
        <v>1.0</v>
      </c>
      <c r="AA52" s="24">
        <v>9.0</v>
      </c>
      <c r="AB52" s="24">
        <v>8.0</v>
      </c>
      <c r="AC52" s="24">
        <v>0.0</v>
      </c>
      <c r="AD52" s="24">
        <v>0.0</v>
      </c>
      <c r="AE52" s="24">
        <v>1.0</v>
      </c>
      <c r="AF52" s="24">
        <v>2.0</v>
      </c>
      <c r="AG52" s="24">
        <v>1.0</v>
      </c>
      <c r="AH52" s="24">
        <v>0.0</v>
      </c>
      <c r="AI52" s="24">
        <v>0.0</v>
      </c>
      <c r="AJ52" s="24">
        <v>0.0</v>
      </c>
      <c r="AK52" s="24">
        <v>0.0</v>
      </c>
      <c r="AL52" s="24">
        <v>0.0</v>
      </c>
      <c r="AM52" s="24">
        <v>0.0</v>
      </c>
      <c r="AN52" s="24">
        <v>1.0</v>
      </c>
      <c r="AO52" s="25">
        <v>21.9</v>
      </c>
      <c r="AP52" s="26"/>
      <c r="AQ52" s="26"/>
      <c r="AR52" s="26"/>
      <c r="AS52" s="26"/>
      <c r="AT52" s="24">
        <v>0.0</v>
      </c>
      <c r="AU52" s="24">
        <v>16.63</v>
      </c>
      <c r="AV52" s="26"/>
      <c r="AW52" s="24">
        <v>22.85</v>
      </c>
      <c r="AX52" s="24">
        <v>18.86</v>
      </c>
      <c r="AY52" s="24">
        <v>23.16</v>
      </c>
      <c r="AZ52" s="26"/>
      <c r="BA52" s="24">
        <v>14.45</v>
      </c>
      <c r="BB52" s="24">
        <v>21.58</v>
      </c>
      <c r="BC52" s="24">
        <v>20.38</v>
      </c>
      <c r="BD52" s="24">
        <v>20.49</v>
      </c>
      <c r="BE52" s="24">
        <v>27.22</v>
      </c>
      <c r="BF52" s="24">
        <v>22.9</v>
      </c>
      <c r="BG52" s="24">
        <v>25.77</v>
      </c>
      <c r="BH52" s="24">
        <v>19.72</v>
      </c>
      <c r="BI52" s="26"/>
      <c r="BJ52" s="26"/>
      <c r="BK52" s="24">
        <v>20.43</v>
      </c>
      <c r="BL52" s="24">
        <v>23.19</v>
      </c>
      <c r="BM52" s="24">
        <v>21.07</v>
      </c>
      <c r="BN52" s="26"/>
      <c r="BO52" s="24">
        <v>0.44</v>
      </c>
      <c r="BP52" s="24">
        <v>2.56</v>
      </c>
      <c r="BQ52" s="24">
        <v>7.79</v>
      </c>
      <c r="BR52" s="24">
        <v>10.15</v>
      </c>
      <c r="BS52" s="55">
        <v>3.58</v>
      </c>
      <c r="BT52" s="56">
        <v>20.5</v>
      </c>
      <c r="BU52" s="25">
        <v>4.5</v>
      </c>
      <c r="BV52" s="57">
        <v>5.91</v>
      </c>
      <c r="BW52" s="24">
        <v>700.0</v>
      </c>
      <c r="BX52" s="24">
        <v>2100.0</v>
      </c>
      <c r="BY52" s="24" t="s">
        <v>123</v>
      </c>
      <c r="BZ52" s="28">
        <v>1800.0</v>
      </c>
      <c r="CA52" s="29" t="s">
        <v>124</v>
      </c>
      <c r="CB52" s="30">
        <v>2100.0</v>
      </c>
      <c r="CC52" s="31"/>
      <c r="CD52" s="28">
        <v>2100.0</v>
      </c>
      <c r="CE52" s="32" t="e">
        <v>#REF!</v>
      </c>
      <c r="CF52" s="33"/>
      <c r="CG52" s="34">
        <v>0.0</v>
      </c>
      <c r="CH52" s="35">
        <v>0.0</v>
      </c>
      <c r="CI52" s="36">
        <v>48.0</v>
      </c>
      <c r="CJ52" s="36">
        <v>1790.0</v>
      </c>
      <c r="CK52" s="93">
        <f t="shared" si="2"/>
        <v>20</v>
      </c>
      <c r="CL52" s="36">
        <v>1810.0</v>
      </c>
      <c r="CM52" s="38">
        <v>1051.0</v>
      </c>
      <c r="CN52" s="36">
        <v>0.0</v>
      </c>
      <c r="CO52" s="39">
        <v>21.9</v>
      </c>
      <c r="CP52" s="40">
        <v>0.0</v>
      </c>
      <c r="CQ52" s="36">
        <v>123.0</v>
      </c>
      <c r="CR52" s="36">
        <v>123.0</v>
      </c>
      <c r="CS52" s="36">
        <v>172.0</v>
      </c>
      <c r="CT52" s="41"/>
      <c r="CU52" s="42"/>
      <c r="CV52" s="43"/>
      <c r="CW52" s="44">
        <v>7.0</v>
      </c>
      <c r="CX52" s="44" t="s">
        <v>201</v>
      </c>
      <c r="CY52" s="44" t="s">
        <v>202</v>
      </c>
      <c r="CZ52" s="45"/>
      <c r="DA52" s="44">
        <v>2100.0</v>
      </c>
      <c r="DB52" s="44">
        <v>0.0</v>
      </c>
      <c r="DC52" s="43"/>
      <c r="DD52" s="78"/>
      <c r="DE52" s="43"/>
      <c r="DF52" s="43"/>
      <c r="DG52" s="48" t="s">
        <v>128</v>
      </c>
      <c r="DH52" s="48" t="s">
        <v>128</v>
      </c>
      <c r="DI52" s="48" t="s">
        <v>128</v>
      </c>
      <c r="DJ52" s="49">
        <v>1.0</v>
      </c>
      <c r="DK52" s="48" t="b">
        <v>0</v>
      </c>
      <c r="DL52" s="50" t="s">
        <v>249</v>
      </c>
      <c r="DM52" s="50" t="s">
        <v>131</v>
      </c>
      <c r="DN52" s="50" t="s">
        <v>250</v>
      </c>
      <c r="DO52" s="49">
        <v>0.85</v>
      </c>
      <c r="DP52" s="48" t="s">
        <v>128</v>
      </c>
      <c r="DQ52" s="48" t="s">
        <v>128</v>
      </c>
      <c r="DR52" s="51"/>
      <c r="DS52" s="48" t="s">
        <v>134</v>
      </c>
    </row>
    <row r="53">
      <c r="A53" s="52" t="s">
        <v>118</v>
      </c>
      <c r="B53" s="53">
        <v>3.0</v>
      </c>
      <c r="C53" s="52" t="s">
        <v>119</v>
      </c>
      <c r="D53" s="53">
        <v>610881.0</v>
      </c>
      <c r="E53" s="52" t="s">
        <v>167</v>
      </c>
      <c r="F53" s="52" t="s">
        <v>272</v>
      </c>
      <c r="G53" s="52" t="s">
        <v>273</v>
      </c>
      <c r="H53" s="53">
        <v>33034.0</v>
      </c>
      <c r="I53" s="53">
        <v>10.0</v>
      </c>
      <c r="J53" s="53">
        <v>0.0</v>
      </c>
      <c r="K53" s="53">
        <v>0.0</v>
      </c>
      <c r="L53" s="53">
        <v>0.0</v>
      </c>
      <c r="M53" s="53">
        <v>0.0</v>
      </c>
      <c r="N53" s="53">
        <v>0.0</v>
      </c>
      <c r="O53" s="53">
        <v>0.0</v>
      </c>
      <c r="P53" s="53">
        <v>0.0</v>
      </c>
      <c r="Q53" s="53">
        <v>0.0</v>
      </c>
      <c r="R53" s="53">
        <v>3.0</v>
      </c>
      <c r="S53" s="53">
        <v>0.0</v>
      </c>
      <c r="T53" s="53">
        <v>0.0</v>
      </c>
      <c r="U53" s="53">
        <v>0.0</v>
      </c>
      <c r="V53" s="53">
        <v>0.0</v>
      </c>
      <c r="W53" s="53">
        <v>0.0</v>
      </c>
      <c r="X53" s="53">
        <v>0.0</v>
      </c>
      <c r="Y53" s="53">
        <v>1.0</v>
      </c>
      <c r="Z53" s="53">
        <v>1.0</v>
      </c>
      <c r="AA53" s="53">
        <v>0.0</v>
      </c>
      <c r="AB53" s="53">
        <v>0.0</v>
      </c>
      <c r="AC53" s="53">
        <v>0.0</v>
      </c>
      <c r="AD53" s="53">
        <v>1.0</v>
      </c>
      <c r="AE53" s="53">
        <v>1.0</v>
      </c>
      <c r="AF53" s="53">
        <v>1.0</v>
      </c>
      <c r="AG53" s="53">
        <v>1.0</v>
      </c>
      <c r="AH53" s="53">
        <v>0.0</v>
      </c>
      <c r="AI53" s="53">
        <v>0.0</v>
      </c>
      <c r="AJ53" s="53">
        <v>1.0</v>
      </c>
      <c r="AK53" s="53">
        <v>0.0</v>
      </c>
      <c r="AL53" s="53">
        <v>0.0</v>
      </c>
      <c r="AM53" s="53">
        <v>0.0</v>
      </c>
      <c r="AN53" s="53">
        <v>0.0</v>
      </c>
      <c r="AO53" s="25">
        <v>23.3</v>
      </c>
      <c r="AP53" s="54"/>
      <c r="AQ53" s="54"/>
      <c r="AR53" s="54"/>
      <c r="AS53" s="54"/>
      <c r="AT53" s="54"/>
      <c r="AU53" s="54"/>
      <c r="AV53" s="54"/>
      <c r="AW53" s="54"/>
      <c r="AX53" s="53">
        <v>18.57</v>
      </c>
      <c r="AY53" s="54"/>
      <c r="AZ53" s="54"/>
      <c r="BA53" s="54"/>
      <c r="BB53" s="54"/>
      <c r="BC53" s="54"/>
      <c r="BD53" s="54"/>
      <c r="BE53" s="53">
        <v>24.7</v>
      </c>
      <c r="BF53" s="53">
        <v>13.62</v>
      </c>
      <c r="BG53" s="54"/>
      <c r="BH53" s="54"/>
      <c r="BI53" s="54"/>
      <c r="BJ53" s="53">
        <v>30.25</v>
      </c>
      <c r="BK53" s="53">
        <v>24.15</v>
      </c>
      <c r="BL53" s="53">
        <v>25.03</v>
      </c>
      <c r="BM53" s="53">
        <v>38.35</v>
      </c>
      <c r="BN53" s="54"/>
      <c r="BO53" s="53">
        <v>0.35</v>
      </c>
      <c r="BP53" s="53">
        <v>0.86</v>
      </c>
      <c r="BQ53" s="53">
        <v>8.67</v>
      </c>
      <c r="BR53" s="53">
        <v>9.32</v>
      </c>
      <c r="BS53" s="55">
        <v>3.57</v>
      </c>
      <c r="BT53" s="81"/>
      <c r="BU53" s="54"/>
      <c r="BV53" s="54"/>
      <c r="BW53" s="53">
        <v>2000.0</v>
      </c>
      <c r="BX53" s="53">
        <v>2700.0</v>
      </c>
      <c r="BY53" s="53" t="s">
        <v>123</v>
      </c>
      <c r="BZ53" s="58">
        <v>2400.0</v>
      </c>
      <c r="CA53" s="29" t="s">
        <v>124</v>
      </c>
      <c r="CB53" s="30">
        <v>2700.0</v>
      </c>
      <c r="CC53" s="31"/>
      <c r="CD53" s="58">
        <v>2700.0</v>
      </c>
      <c r="CE53" s="59" t="e">
        <v>#REF!</v>
      </c>
      <c r="CF53" s="60"/>
      <c r="CG53" s="61">
        <v>0.0</v>
      </c>
      <c r="CH53" s="62">
        <v>0.0</v>
      </c>
      <c r="CI53" s="63">
        <v>10.0</v>
      </c>
      <c r="CJ53" s="63">
        <v>1790.0</v>
      </c>
      <c r="CK53" s="94">
        <f t="shared" si="2"/>
        <v>20</v>
      </c>
      <c r="CL53" s="63">
        <v>1810.0</v>
      </c>
      <c r="CM53" s="65">
        <v>233.0</v>
      </c>
      <c r="CN53" s="63">
        <v>0.0</v>
      </c>
      <c r="CO53" s="66">
        <v>23.3</v>
      </c>
      <c r="CP53" s="67">
        <v>0.0</v>
      </c>
      <c r="CQ53" s="63">
        <v>9.0</v>
      </c>
      <c r="CR53" s="63">
        <v>9.0</v>
      </c>
      <c r="CS53" s="63">
        <v>36.0</v>
      </c>
      <c r="CT53" s="68"/>
      <c r="CU53" s="69"/>
      <c r="CV53" s="70"/>
      <c r="CW53" s="71">
        <v>9.0</v>
      </c>
      <c r="CX53" s="71" t="s">
        <v>143</v>
      </c>
      <c r="CY53" s="71" t="s">
        <v>144</v>
      </c>
      <c r="CZ53" s="45"/>
      <c r="DA53" s="44">
        <v>2700.0</v>
      </c>
      <c r="DB53" s="44">
        <v>0.0</v>
      </c>
      <c r="DC53" s="46" t="s">
        <v>127</v>
      </c>
      <c r="DD53" s="47">
        <v>46218.0</v>
      </c>
      <c r="DE53" s="43"/>
      <c r="DF53" s="43"/>
      <c r="DG53" s="48" t="s">
        <v>128</v>
      </c>
      <c r="DH53" s="48" t="s">
        <v>128</v>
      </c>
      <c r="DI53" s="48" t="s">
        <v>129</v>
      </c>
      <c r="DJ53" s="49">
        <v>1.0</v>
      </c>
      <c r="DK53" s="48" t="b">
        <v>0</v>
      </c>
      <c r="DL53" s="50" t="s">
        <v>249</v>
      </c>
      <c r="DM53" s="50" t="s">
        <v>131</v>
      </c>
      <c r="DN53" s="50" t="s">
        <v>250</v>
      </c>
      <c r="DO53" s="49">
        <v>0.85</v>
      </c>
      <c r="DP53" s="48" t="s">
        <v>128</v>
      </c>
      <c r="DQ53" s="48" t="s">
        <v>133</v>
      </c>
      <c r="DR53" s="51"/>
      <c r="DS53" s="48" t="s">
        <v>134</v>
      </c>
    </row>
    <row r="54">
      <c r="A54" s="23" t="s">
        <v>118</v>
      </c>
      <c r="B54" s="24">
        <v>3.0</v>
      </c>
      <c r="C54" s="23" t="s">
        <v>119</v>
      </c>
      <c r="D54" s="24">
        <v>631195.0</v>
      </c>
      <c r="E54" s="23" t="s">
        <v>140</v>
      </c>
      <c r="F54" s="23" t="s">
        <v>274</v>
      </c>
      <c r="G54" s="23" t="s">
        <v>275</v>
      </c>
      <c r="H54" s="24">
        <v>33034.0</v>
      </c>
      <c r="I54" s="24">
        <v>4.0</v>
      </c>
      <c r="J54" s="24">
        <v>0.0</v>
      </c>
      <c r="K54" s="24">
        <v>0.0</v>
      </c>
      <c r="L54" s="24">
        <v>0.0</v>
      </c>
      <c r="M54" s="24">
        <v>0.0</v>
      </c>
      <c r="N54" s="24">
        <v>0.0</v>
      </c>
      <c r="O54" s="24">
        <v>0.0</v>
      </c>
      <c r="P54" s="24">
        <v>0.0</v>
      </c>
      <c r="Q54" s="24">
        <v>0.0</v>
      </c>
      <c r="R54" s="24">
        <v>0.0</v>
      </c>
      <c r="S54" s="24">
        <v>0.0</v>
      </c>
      <c r="T54" s="24">
        <v>0.0</v>
      </c>
      <c r="U54" s="24">
        <v>0.0</v>
      </c>
      <c r="V54" s="24">
        <v>1.0</v>
      </c>
      <c r="W54" s="24">
        <v>0.0</v>
      </c>
      <c r="X54" s="24">
        <v>0.0</v>
      </c>
      <c r="Y54" s="24">
        <v>2.0</v>
      </c>
      <c r="Z54" s="24">
        <v>0.0</v>
      </c>
      <c r="AA54" s="24">
        <v>0.0</v>
      </c>
      <c r="AB54" s="24">
        <v>0.0</v>
      </c>
      <c r="AC54" s="24">
        <v>1.0</v>
      </c>
      <c r="AD54" s="24">
        <v>0.0</v>
      </c>
      <c r="AE54" s="24">
        <v>0.0</v>
      </c>
      <c r="AF54" s="24">
        <v>0.0</v>
      </c>
      <c r="AG54" s="24">
        <v>0.0</v>
      </c>
      <c r="AH54" s="24">
        <v>0.0</v>
      </c>
      <c r="AI54" s="24">
        <v>0.0</v>
      </c>
      <c r="AJ54" s="24">
        <v>0.0</v>
      </c>
      <c r="AK54" s="24">
        <v>0.0</v>
      </c>
      <c r="AL54" s="24">
        <v>0.0</v>
      </c>
      <c r="AM54" s="24">
        <v>0.0</v>
      </c>
      <c r="AN54" s="24">
        <v>0.0</v>
      </c>
      <c r="AO54" s="25">
        <v>24.1</v>
      </c>
      <c r="AP54" s="26"/>
      <c r="AQ54" s="26"/>
      <c r="AR54" s="26"/>
      <c r="AS54" s="26"/>
      <c r="AT54" s="26"/>
      <c r="AU54" s="26"/>
      <c r="AV54" s="26"/>
      <c r="AW54" s="26"/>
      <c r="AX54" s="26"/>
      <c r="AY54" s="26"/>
      <c r="AZ54" s="26"/>
      <c r="BA54" s="26"/>
      <c r="BB54" s="24">
        <v>20.08</v>
      </c>
      <c r="BC54" s="26"/>
      <c r="BD54" s="26"/>
      <c r="BE54" s="24">
        <v>21.21</v>
      </c>
      <c r="BF54" s="26"/>
      <c r="BG54" s="26"/>
      <c r="BH54" s="26"/>
      <c r="BI54" s="24">
        <v>33.83</v>
      </c>
      <c r="BJ54" s="26"/>
      <c r="BK54" s="26"/>
      <c r="BL54" s="26"/>
      <c r="BM54" s="26"/>
      <c r="BN54" s="26"/>
      <c r="BO54" s="26"/>
      <c r="BP54" s="24">
        <v>0.92</v>
      </c>
      <c r="BQ54" s="24">
        <v>10.15</v>
      </c>
      <c r="BR54" s="24">
        <v>10.88</v>
      </c>
      <c r="BS54" s="55">
        <v>3.53</v>
      </c>
      <c r="BT54" s="27"/>
      <c r="BU54" s="26"/>
      <c r="BV54" s="26"/>
      <c r="BW54" s="26"/>
      <c r="BX54" s="24">
        <v>2400.0</v>
      </c>
      <c r="BY54" s="24" t="s">
        <v>123</v>
      </c>
      <c r="BZ54" s="28">
        <v>2100.0</v>
      </c>
      <c r="CA54" s="29" t="s">
        <v>124</v>
      </c>
      <c r="CB54" s="30">
        <v>2400.0</v>
      </c>
      <c r="CC54" s="31"/>
      <c r="CD54" s="28">
        <v>2400.0</v>
      </c>
      <c r="CE54" s="32" t="e">
        <v>#REF!</v>
      </c>
      <c r="CF54" s="33"/>
      <c r="CG54" s="34">
        <v>0.0</v>
      </c>
      <c r="CH54" s="35">
        <v>0.0</v>
      </c>
      <c r="CI54" s="36">
        <v>4.0</v>
      </c>
      <c r="CJ54" s="36">
        <v>1790.0</v>
      </c>
      <c r="CK54" s="93">
        <f t="shared" si="2"/>
        <v>20</v>
      </c>
      <c r="CL54" s="36">
        <v>1810.0</v>
      </c>
      <c r="CM54" s="38">
        <v>96.0</v>
      </c>
      <c r="CN54" s="36">
        <v>0.0</v>
      </c>
      <c r="CO54" s="39">
        <v>24.1</v>
      </c>
      <c r="CP54" s="40">
        <v>0.0</v>
      </c>
      <c r="CQ54" s="36">
        <v>4.0</v>
      </c>
      <c r="CR54" s="36">
        <v>4.0</v>
      </c>
      <c r="CS54" s="36">
        <v>14.0</v>
      </c>
      <c r="CT54" s="41"/>
      <c r="CU54" s="42"/>
      <c r="CV54" s="43"/>
      <c r="CW54" s="44">
        <v>8.0</v>
      </c>
      <c r="CX54" s="44" t="s">
        <v>125</v>
      </c>
      <c r="CY54" s="44" t="s">
        <v>126</v>
      </c>
      <c r="CZ54" s="45"/>
      <c r="DA54" s="44">
        <v>2400.0</v>
      </c>
      <c r="DB54" s="44">
        <v>0.0</v>
      </c>
      <c r="DC54" s="43"/>
      <c r="DD54" s="78"/>
      <c r="DE54" s="43"/>
      <c r="DF54" s="43"/>
      <c r="DG54" s="48" t="s">
        <v>128</v>
      </c>
      <c r="DH54" s="48" t="s">
        <v>128</v>
      </c>
      <c r="DI54" s="48" t="s">
        <v>129</v>
      </c>
      <c r="DJ54" s="49">
        <v>1.0</v>
      </c>
      <c r="DK54" s="48" t="b">
        <v>0</v>
      </c>
      <c r="DL54" s="50" t="s">
        <v>249</v>
      </c>
      <c r="DM54" s="50" t="s">
        <v>131</v>
      </c>
      <c r="DN54" s="50" t="s">
        <v>250</v>
      </c>
      <c r="DO54" s="49">
        <v>0.85</v>
      </c>
      <c r="DP54" s="48" t="s">
        <v>128</v>
      </c>
      <c r="DQ54" s="48" t="s">
        <v>133</v>
      </c>
      <c r="DR54" s="51"/>
      <c r="DS54" s="48" t="s">
        <v>134</v>
      </c>
    </row>
    <row r="55">
      <c r="A55" s="52" t="s">
        <v>118</v>
      </c>
      <c r="B55" s="53">
        <v>3.0</v>
      </c>
      <c r="C55" s="52" t="s">
        <v>119</v>
      </c>
      <c r="D55" s="53">
        <v>588071.0</v>
      </c>
      <c r="E55" s="52" t="s">
        <v>152</v>
      </c>
      <c r="F55" s="52" t="s">
        <v>276</v>
      </c>
      <c r="G55" s="52" t="s">
        <v>277</v>
      </c>
      <c r="H55" s="53">
        <v>33034.0</v>
      </c>
      <c r="I55" s="53">
        <v>13.0</v>
      </c>
      <c r="J55" s="53">
        <v>0.0</v>
      </c>
      <c r="K55" s="53">
        <v>0.0</v>
      </c>
      <c r="L55" s="53">
        <v>0.0</v>
      </c>
      <c r="M55" s="53">
        <v>0.0</v>
      </c>
      <c r="N55" s="53">
        <v>0.0</v>
      </c>
      <c r="O55" s="53">
        <v>0.0</v>
      </c>
      <c r="P55" s="53">
        <v>1.0</v>
      </c>
      <c r="Q55" s="53">
        <v>0.0</v>
      </c>
      <c r="R55" s="53">
        <v>0.0</v>
      </c>
      <c r="S55" s="53">
        <v>1.0</v>
      </c>
      <c r="T55" s="53">
        <v>0.0</v>
      </c>
      <c r="U55" s="53">
        <v>2.0</v>
      </c>
      <c r="V55" s="53">
        <v>1.0</v>
      </c>
      <c r="W55" s="53">
        <v>0.0</v>
      </c>
      <c r="X55" s="53">
        <v>1.0</v>
      </c>
      <c r="Y55" s="53">
        <v>3.0</v>
      </c>
      <c r="Z55" s="53">
        <v>0.0</v>
      </c>
      <c r="AA55" s="53">
        <v>0.0</v>
      </c>
      <c r="AB55" s="53">
        <v>1.0</v>
      </c>
      <c r="AC55" s="53">
        <v>0.0</v>
      </c>
      <c r="AD55" s="53">
        <v>3.0</v>
      </c>
      <c r="AE55" s="53">
        <v>0.0</v>
      </c>
      <c r="AF55" s="53">
        <v>0.0</v>
      </c>
      <c r="AG55" s="53">
        <v>0.0</v>
      </c>
      <c r="AH55" s="53">
        <v>0.0</v>
      </c>
      <c r="AI55" s="53">
        <v>0.0</v>
      </c>
      <c r="AJ55" s="53">
        <v>0.0</v>
      </c>
      <c r="AK55" s="53">
        <v>0.0</v>
      </c>
      <c r="AL55" s="53">
        <v>0.0</v>
      </c>
      <c r="AM55" s="53">
        <v>0.0</v>
      </c>
      <c r="AN55" s="53">
        <v>0.0</v>
      </c>
      <c r="AO55" s="25">
        <v>19.5</v>
      </c>
      <c r="AP55" s="54"/>
      <c r="AQ55" s="54"/>
      <c r="AR55" s="54"/>
      <c r="AS55" s="54"/>
      <c r="AT55" s="54"/>
      <c r="AU55" s="54"/>
      <c r="AV55" s="53">
        <v>16.23</v>
      </c>
      <c r="AW55" s="54"/>
      <c r="AX55" s="54"/>
      <c r="AY55" s="53">
        <v>24.58</v>
      </c>
      <c r="AZ55" s="54"/>
      <c r="BA55" s="53">
        <v>16.02</v>
      </c>
      <c r="BB55" s="53">
        <v>22.47</v>
      </c>
      <c r="BC55" s="54"/>
      <c r="BD55" s="53">
        <v>27.28</v>
      </c>
      <c r="BE55" s="53">
        <v>17.53</v>
      </c>
      <c r="BF55" s="54"/>
      <c r="BG55" s="54"/>
      <c r="BH55" s="53">
        <v>21.55</v>
      </c>
      <c r="BI55" s="54"/>
      <c r="BJ55" s="53">
        <v>18.73</v>
      </c>
      <c r="BK55" s="54"/>
      <c r="BL55" s="54"/>
      <c r="BM55" s="54"/>
      <c r="BN55" s="54"/>
      <c r="BO55" s="54"/>
      <c r="BP55" s="53">
        <v>0.96</v>
      </c>
      <c r="BQ55" s="53">
        <v>7.93</v>
      </c>
      <c r="BR55" s="53">
        <v>8.69</v>
      </c>
      <c r="BS55" s="55">
        <v>3.4</v>
      </c>
      <c r="BT55" s="56">
        <v>18.2</v>
      </c>
      <c r="BU55" s="57">
        <v>1.8</v>
      </c>
      <c r="BV55" s="55">
        <v>6.4</v>
      </c>
      <c r="BW55" s="54"/>
      <c r="BX55" s="53">
        <v>2100.0</v>
      </c>
      <c r="BY55" s="53" t="s">
        <v>123</v>
      </c>
      <c r="BZ55" s="58">
        <v>2100.0</v>
      </c>
      <c r="CA55" s="72"/>
      <c r="CB55" s="30">
        <v>2400.0</v>
      </c>
      <c r="CC55" s="31"/>
      <c r="CD55" s="58">
        <v>2400.0</v>
      </c>
      <c r="CE55" s="59" t="e">
        <v>#REF!</v>
      </c>
      <c r="CF55" s="79">
        <f>+300</f>
        <v>300</v>
      </c>
      <c r="CG55" s="80">
        <f>+2</f>
        <v>2</v>
      </c>
      <c r="CH55" s="62">
        <v>0.15</v>
      </c>
      <c r="CI55" s="63">
        <v>15.0</v>
      </c>
      <c r="CJ55" s="63">
        <v>1790.0</v>
      </c>
      <c r="CK55" s="94">
        <f t="shared" si="2"/>
        <v>20</v>
      </c>
      <c r="CL55" s="63">
        <v>1810.0</v>
      </c>
      <c r="CM55" s="65">
        <v>254.0</v>
      </c>
      <c r="CN55" s="63">
        <v>-53.0</v>
      </c>
      <c r="CO55" s="66">
        <v>20.4</v>
      </c>
      <c r="CP55" s="67">
        <v>0.9</v>
      </c>
      <c r="CQ55" s="63">
        <v>12.0</v>
      </c>
      <c r="CR55" s="63">
        <v>14.0</v>
      </c>
      <c r="CS55" s="63">
        <v>51.0</v>
      </c>
      <c r="CT55" s="68"/>
      <c r="CU55" s="69"/>
      <c r="CV55" s="70"/>
      <c r="CW55" s="71">
        <v>8.0</v>
      </c>
      <c r="CX55" s="71" t="s">
        <v>125</v>
      </c>
      <c r="CY55" s="71" t="s">
        <v>126</v>
      </c>
      <c r="CZ55" s="76" t="s">
        <v>151</v>
      </c>
      <c r="DA55" s="44">
        <v>2400.0</v>
      </c>
      <c r="DB55" s="44">
        <v>0.0</v>
      </c>
      <c r="DC55" s="46" t="s">
        <v>127</v>
      </c>
      <c r="DD55" s="47">
        <v>46245.0</v>
      </c>
      <c r="DE55" s="43"/>
      <c r="DF55" s="43"/>
      <c r="DG55" s="48" t="s">
        <v>128</v>
      </c>
      <c r="DH55" s="48" t="s">
        <v>128</v>
      </c>
      <c r="DI55" s="48" t="s">
        <v>128</v>
      </c>
      <c r="DJ55" s="49">
        <v>1.0</v>
      </c>
      <c r="DK55" s="48" t="b">
        <v>0</v>
      </c>
      <c r="DL55" s="50" t="s">
        <v>249</v>
      </c>
      <c r="DM55" s="50" t="s">
        <v>131</v>
      </c>
      <c r="DN55" s="50" t="s">
        <v>250</v>
      </c>
      <c r="DO55" s="49">
        <v>0.85</v>
      </c>
      <c r="DP55" s="48" t="s">
        <v>128</v>
      </c>
      <c r="DQ55" s="48" t="s">
        <v>128</v>
      </c>
      <c r="DR55" s="51"/>
      <c r="DS55" s="48" t="s">
        <v>134</v>
      </c>
    </row>
    <row r="56">
      <c r="A56" s="23" t="s">
        <v>118</v>
      </c>
      <c r="B56" s="24">
        <v>3.0</v>
      </c>
      <c r="C56" s="23" t="s">
        <v>119</v>
      </c>
      <c r="D56" s="24">
        <v>626041.0</v>
      </c>
      <c r="E56" s="23" t="s">
        <v>135</v>
      </c>
      <c r="F56" s="23" t="s">
        <v>278</v>
      </c>
      <c r="G56" s="23" t="s">
        <v>279</v>
      </c>
      <c r="H56" s="24">
        <v>33034.0</v>
      </c>
      <c r="I56" s="24">
        <v>13.0</v>
      </c>
      <c r="J56" s="24">
        <v>0.0</v>
      </c>
      <c r="K56" s="24">
        <v>0.0</v>
      </c>
      <c r="L56" s="24">
        <v>0.0</v>
      </c>
      <c r="M56" s="24">
        <v>0.0</v>
      </c>
      <c r="N56" s="24">
        <v>0.0</v>
      </c>
      <c r="O56" s="24">
        <v>0.0</v>
      </c>
      <c r="P56" s="24">
        <v>0.0</v>
      </c>
      <c r="Q56" s="24">
        <v>0.0</v>
      </c>
      <c r="R56" s="24">
        <v>0.0</v>
      </c>
      <c r="S56" s="24">
        <v>3.0</v>
      </c>
      <c r="T56" s="24">
        <v>1.0</v>
      </c>
      <c r="U56" s="24">
        <v>0.0</v>
      </c>
      <c r="V56" s="24">
        <v>0.0</v>
      </c>
      <c r="W56" s="24">
        <v>0.0</v>
      </c>
      <c r="X56" s="24">
        <v>2.0</v>
      </c>
      <c r="Y56" s="24">
        <v>0.0</v>
      </c>
      <c r="Z56" s="24">
        <v>3.0</v>
      </c>
      <c r="AA56" s="24">
        <v>0.0</v>
      </c>
      <c r="AB56" s="24">
        <v>1.0</v>
      </c>
      <c r="AC56" s="24">
        <v>0.0</v>
      </c>
      <c r="AD56" s="24">
        <v>2.0</v>
      </c>
      <c r="AE56" s="24">
        <v>0.0</v>
      </c>
      <c r="AF56" s="24">
        <v>0.0</v>
      </c>
      <c r="AG56" s="24">
        <v>0.0</v>
      </c>
      <c r="AH56" s="24">
        <v>0.0</v>
      </c>
      <c r="AI56" s="24">
        <v>0.0</v>
      </c>
      <c r="AJ56" s="24">
        <v>0.0</v>
      </c>
      <c r="AK56" s="24">
        <v>0.0</v>
      </c>
      <c r="AL56" s="24">
        <v>0.0</v>
      </c>
      <c r="AM56" s="24">
        <v>0.0</v>
      </c>
      <c r="AN56" s="24">
        <v>1.0</v>
      </c>
      <c r="AO56" s="25">
        <v>20.8</v>
      </c>
      <c r="AP56" s="26"/>
      <c r="AQ56" s="26"/>
      <c r="AR56" s="26"/>
      <c r="AS56" s="26"/>
      <c r="AT56" s="26"/>
      <c r="AU56" s="26"/>
      <c r="AV56" s="26"/>
      <c r="AW56" s="26"/>
      <c r="AX56" s="26"/>
      <c r="AY56" s="24">
        <v>19.66</v>
      </c>
      <c r="AZ56" s="24">
        <v>17.8</v>
      </c>
      <c r="BA56" s="26"/>
      <c r="BB56" s="26"/>
      <c r="BC56" s="26"/>
      <c r="BD56" s="24">
        <v>19.63</v>
      </c>
      <c r="BE56" s="26"/>
      <c r="BF56" s="24">
        <v>27.87</v>
      </c>
      <c r="BG56" s="26"/>
      <c r="BH56" s="24">
        <v>17.55</v>
      </c>
      <c r="BI56" s="26"/>
      <c r="BJ56" s="24">
        <v>18.95</v>
      </c>
      <c r="BK56" s="26"/>
      <c r="BL56" s="26"/>
      <c r="BM56" s="26"/>
      <c r="BN56" s="26"/>
      <c r="BO56" s="24">
        <v>0.26</v>
      </c>
      <c r="BP56" s="24">
        <v>2.47</v>
      </c>
      <c r="BQ56" s="24">
        <v>8.34</v>
      </c>
      <c r="BR56" s="24">
        <v>10.61</v>
      </c>
      <c r="BS56" s="55">
        <v>3.38</v>
      </c>
      <c r="BT56" s="56">
        <v>18.1</v>
      </c>
      <c r="BU56" s="57">
        <v>1.8</v>
      </c>
      <c r="BV56" s="57">
        <v>5.95</v>
      </c>
      <c r="BW56" s="26"/>
      <c r="BX56" s="24">
        <v>2100.0</v>
      </c>
      <c r="BY56" s="24" t="s">
        <v>123</v>
      </c>
      <c r="BZ56" s="28">
        <v>1800.0</v>
      </c>
      <c r="CA56" s="29" t="s">
        <v>124</v>
      </c>
      <c r="CB56" s="30">
        <v>2100.0</v>
      </c>
      <c r="CC56" s="31"/>
      <c r="CD56" s="28">
        <v>2100.0</v>
      </c>
      <c r="CE56" s="32" t="e">
        <v>#REF!</v>
      </c>
      <c r="CF56" s="33"/>
      <c r="CG56" s="34">
        <v>0.0</v>
      </c>
      <c r="CH56" s="35">
        <v>0.0</v>
      </c>
      <c r="CI56" s="36">
        <v>13.0</v>
      </c>
      <c r="CJ56" s="36">
        <v>1790.0</v>
      </c>
      <c r="CK56" s="93">
        <f t="shared" si="2"/>
        <v>20</v>
      </c>
      <c r="CL56" s="36">
        <v>1810.0</v>
      </c>
      <c r="CM56" s="38">
        <v>270.0</v>
      </c>
      <c r="CN56" s="36">
        <v>0.0</v>
      </c>
      <c r="CO56" s="39">
        <v>20.8</v>
      </c>
      <c r="CP56" s="40">
        <v>0.0</v>
      </c>
      <c r="CQ56" s="36">
        <v>32.0</v>
      </c>
      <c r="CR56" s="36">
        <v>32.0</v>
      </c>
      <c r="CS56" s="36">
        <v>44.0</v>
      </c>
      <c r="CT56" s="41"/>
      <c r="CU56" s="42"/>
      <c r="CV56" s="43"/>
      <c r="CW56" s="44">
        <v>7.0</v>
      </c>
      <c r="CX56" s="44" t="s">
        <v>201</v>
      </c>
      <c r="CY56" s="44" t="s">
        <v>202</v>
      </c>
      <c r="CZ56" s="45"/>
      <c r="DA56" s="44">
        <v>2100.0</v>
      </c>
      <c r="DB56" s="44">
        <v>0.0</v>
      </c>
      <c r="DC56" s="43"/>
      <c r="DD56" s="78"/>
      <c r="DE56" s="43"/>
      <c r="DF56" s="43"/>
      <c r="DG56" s="48" t="s">
        <v>128</v>
      </c>
      <c r="DH56" s="48" t="s">
        <v>128</v>
      </c>
      <c r="DI56" s="48" t="s">
        <v>128</v>
      </c>
      <c r="DJ56" s="49">
        <v>1.0</v>
      </c>
      <c r="DK56" s="48" t="b">
        <v>0</v>
      </c>
      <c r="DL56" s="50" t="s">
        <v>249</v>
      </c>
      <c r="DM56" s="50" t="s">
        <v>131</v>
      </c>
      <c r="DN56" s="50" t="s">
        <v>250</v>
      </c>
      <c r="DO56" s="49">
        <v>0.85</v>
      </c>
      <c r="DP56" s="48" t="s">
        <v>128</v>
      </c>
      <c r="DQ56" s="48" t="s">
        <v>128</v>
      </c>
      <c r="DR56" s="51"/>
      <c r="DS56" s="48" t="s">
        <v>134</v>
      </c>
    </row>
    <row r="57">
      <c r="A57" s="52" t="s">
        <v>118</v>
      </c>
      <c r="B57" s="53">
        <v>3.0</v>
      </c>
      <c r="C57" s="52" t="s">
        <v>119</v>
      </c>
      <c r="D57" s="53">
        <v>648801.0</v>
      </c>
      <c r="E57" s="52" t="s">
        <v>198</v>
      </c>
      <c r="F57" s="52" t="s">
        <v>280</v>
      </c>
      <c r="G57" s="52" t="s">
        <v>281</v>
      </c>
      <c r="H57" s="53">
        <v>33034.0</v>
      </c>
      <c r="I57" s="53">
        <v>13.0</v>
      </c>
      <c r="J57" s="53">
        <v>0.0</v>
      </c>
      <c r="K57" s="53">
        <v>0.0</v>
      </c>
      <c r="L57" s="53">
        <v>0.0</v>
      </c>
      <c r="M57" s="53">
        <v>1.0</v>
      </c>
      <c r="N57" s="53">
        <v>0.0</v>
      </c>
      <c r="O57" s="53">
        <v>1.0</v>
      </c>
      <c r="P57" s="53">
        <v>0.0</v>
      </c>
      <c r="Q57" s="53">
        <v>0.0</v>
      </c>
      <c r="R57" s="53">
        <v>0.0</v>
      </c>
      <c r="S57" s="53">
        <v>2.0</v>
      </c>
      <c r="T57" s="53">
        <v>0.0</v>
      </c>
      <c r="U57" s="53">
        <v>0.0</v>
      </c>
      <c r="V57" s="53">
        <v>0.0</v>
      </c>
      <c r="W57" s="53">
        <v>0.0</v>
      </c>
      <c r="X57" s="53">
        <v>0.0</v>
      </c>
      <c r="Y57" s="53">
        <v>0.0</v>
      </c>
      <c r="Z57" s="53">
        <v>0.0</v>
      </c>
      <c r="AA57" s="53">
        <v>1.0</v>
      </c>
      <c r="AB57" s="53">
        <v>1.0</v>
      </c>
      <c r="AC57" s="53">
        <v>1.0</v>
      </c>
      <c r="AD57" s="53">
        <v>1.0</v>
      </c>
      <c r="AE57" s="53">
        <v>2.0</v>
      </c>
      <c r="AF57" s="53">
        <v>2.0</v>
      </c>
      <c r="AG57" s="53">
        <v>1.0</v>
      </c>
      <c r="AH57" s="53">
        <v>0.0</v>
      </c>
      <c r="AI57" s="53">
        <v>0.0</v>
      </c>
      <c r="AJ57" s="53">
        <v>0.0</v>
      </c>
      <c r="AK57" s="53">
        <v>0.0</v>
      </c>
      <c r="AL57" s="53">
        <v>0.0</v>
      </c>
      <c r="AM57" s="53">
        <v>0.0</v>
      </c>
      <c r="AN57" s="53">
        <v>0.0</v>
      </c>
      <c r="AO57" s="25">
        <v>21.5</v>
      </c>
      <c r="AP57" s="54"/>
      <c r="AQ57" s="54"/>
      <c r="AR57" s="54"/>
      <c r="AS57" s="53">
        <v>43.45</v>
      </c>
      <c r="AT57" s="54"/>
      <c r="AU57" s="53">
        <v>14.07</v>
      </c>
      <c r="AV57" s="54"/>
      <c r="AW57" s="54"/>
      <c r="AX57" s="54"/>
      <c r="AY57" s="53">
        <v>15.68</v>
      </c>
      <c r="AZ57" s="54"/>
      <c r="BA57" s="54"/>
      <c r="BB57" s="54"/>
      <c r="BC57" s="54"/>
      <c r="BD57" s="54"/>
      <c r="BE57" s="54"/>
      <c r="BF57" s="54"/>
      <c r="BG57" s="53">
        <v>18.08</v>
      </c>
      <c r="BH57" s="53">
        <v>18.98</v>
      </c>
      <c r="BI57" s="53">
        <v>22.82</v>
      </c>
      <c r="BJ57" s="53">
        <v>16.1</v>
      </c>
      <c r="BK57" s="53">
        <v>22.37</v>
      </c>
      <c r="BL57" s="53">
        <v>20.93</v>
      </c>
      <c r="BM57" s="53">
        <v>27.72</v>
      </c>
      <c r="BN57" s="54"/>
      <c r="BO57" s="54"/>
      <c r="BP57" s="53">
        <v>2.29</v>
      </c>
      <c r="BQ57" s="53">
        <v>7.34</v>
      </c>
      <c r="BR57" s="53">
        <v>9.43</v>
      </c>
      <c r="BS57" s="55">
        <v>3.23</v>
      </c>
      <c r="BT57" s="56">
        <v>20.9</v>
      </c>
      <c r="BU57" s="57">
        <v>2.0</v>
      </c>
      <c r="BV57" s="25">
        <v>9.21</v>
      </c>
      <c r="BW57" s="53">
        <v>1700.0</v>
      </c>
      <c r="BX57" s="53">
        <v>2400.0</v>
      </c>
      <c r="BY57" s="53" t="s">
        <v>123</v>
      </c>
      <c r="BZ57" s="58">
        <v>2100.0</v>
      </c>
      <c r="CA57" s="29" t="s">
        <v>124</v>
      </c>
      <c r="CB57" s="30">
        <v>2400.0</v>
      </c>
      <c r="CC57" s="31"/>
      <c r="CD57" s="58">
        <v>2400.0</v>
      </c>
      <c r="CE57" s="59" t="e">
        <v>#REF!</v>
      </c>
      <c r="CF57" s="60"/>
      <c r="CG57" s="61">
        <v>0.0</v>
      </c>
      <c r="CH57" s="62">
        <v>0.0</v>
      </c>
      <c r="CI57" s="63">
        <v>13.0</v>
      </c>
      <c r="CJ57" s="63">
        <v>1790.0</v>
      </c>
      <c r="CK57" s="94">
        <f t="shared" si="2"/>
        <v>20</v>
      </c>
      <c r="CL57" s="63">
        <v>1810.0</v>
      </c>
      <c r="CM57" s="65">
        <v>280.0</v>
      </c>
      <c r="CN57" s="63">
        <v>0.0</v>
      </c>
      <c r="CO57" s="66">
        <v>21.5</v>
      </c>
      <c r="CP57" s="67">
        <v>0.0</v>
      </c>
      <c r="CQ57" s="63">
        <v>30.0</v>
      </c>
      <c r="CR57" s="63">
        <v>30.0</v>
      </c>
      <c r="CS57" s="63">
        <v>42.0</v>
      </c>
      <c r="CT57" s="68"/>
      <c r="CU57" s="69"/>
      <c r="CV57" s="70"/>
      <c r="CW57" s="71">
        <v>8.0</v>
      </c>
      <c r="CX57" s="71" t="s">
        <v>125</v>
      </c>
      <c r="CY57" s="71" t="s">
        <v>126</v>
      </c>
      <c r="CZ57" s="45"/>
      <c r="DA57" s="44">
        <v>2400.0</v>
      </c>
      <c r="DB57" s="44">
        <v>0.0</v>
      </c>
      <c r="DC57" s="46" t="s">
        <v>127</v>
      </c>
      <c r="DD57" s="47">
        <v>46245.0</v>
      </c>
      <c r="DE57" s="43"/>
      <c r="DF57" s="43"/>
      <c r="DG57" s="48" t="s">
        <v>128</v>
      </c>
      <c r="DH57" s="48" t="s">
        <v>128</v>
      </c>
      <c r="DI57" s="48" t="s">
        <v>128</v>
      </c>
      <c r="DJ57" s="49">
        <v>1.0</v>
      </c>
      <c r="DK57" s="48" t="b">
        <v>0</v>
      </c>
      <c r="DL57" s="50" t="s">
        <v>249</v>
      </c>
      <c r="DM57" s="50" t="s">
        <v>131</v>
      </c>
      <c r="DN57" s="50" t="s">
        <v>250</v>
      </c>
      <c r="DO57" s="49">
        <v>0.85</v>
      </c>
      <c r="DP57" s="48" t="s">
        <v>128</v>
      </c>
      <c r="DQ57" s="48" t="s">
        <v>128</v>
      </c>
      <c r="DR57" s="51"/>
      <c r="DS57" s="48" t="s">
        <v>134</v>
      </c>
    </row>
    <row r="58">
      <c r="A58" s="23" t="s">
        <v>118</v>
      </c>
      <c r="B58" s="24">
        <v>3.0</v>
      </c>
      <c r="C58" s="23" t="s">
        <v>119</v>
      </c>
      <c r="D58" s="24">
        <v>558730.0</v>
      </c>
      <c r="E58" s="23" t="s">
        <v>148</v>
      </c>
      <c r="F58" s="23" t="s">
        <v>282</v>
      </c>
      <c r="G58" s="23" t="s">
        <v>283</v>
      </c>
      <c r="H58" s="24">
        <v>33034.0</v>
      </c>
      <c r="I58" s="24">
        <v>10.0</v>
      </c>
      <c r="J58" s="24">
        <v>0.0</v>
      </c>
      <c r="K58" s="24">
        <v>0.0</v>
      </c>
      <c r="L58" s="24">
        <v>0.0</v>
      </c>
      <c r="M58" s="24">
        <v>0.0</v>
      </c>
      <c r="N58" s="24">
        <v>0.0</v>
      </c>
      <c r="O58" s="24">
        <v>0.0</v>
      </c>
      <c r="P58" s="24">
        <v>0.0</v>
      </c>
      <c r="Q58" s="24">
        <v>0.0</v>
      </c>
      <c r="R58" s="24">
        <v>0.0</v>
      </c>
      <c r="S58" s="24">
        <v>0.0</v>
      </c>
      <c r="T58" s="24">
        <v>0.0</v>
      </c>
      <c r="U58" s="24">
        <v>0.0</v>
      </c>
      <c r="V58" s="24">
        <v>1.0</v>
      </c>
      <c r="W58" s="24">
        <v>0.0</v>
      </c>
      <c r="X58" s="24">
        <v>0.0</v>
      </c>
      <c r="Y58" s="24">
        <v>1.0</v>
      </c>
      <c r="Z58" s="24">
        <v>1.0</v>
      </c>
      <c r="AA58" s="24">
        <v>0.0</v>
      </c>
      <c r="AB58" s="24">
        <v>1.0</v>
      </c>
      <c r="AC58" s="24">
        <v>1.0</v>
      </c>
      <c r="AD58" s="24">
        <v>3.0</v>
      </c>
      <c r="AE58" s="24">
        <v>1.0</v>
      </c>
      <c r="AF58" s="24">
        <v>0.0</v>
      </c>
      <c r="AG58" s="24">
        <v>1.0</v>
      </c>
      <c r="AH58" s="24">
        <v>0.0</v>
      </c>
      <c r="AI58" s="24">
        <v>0.0</v>
      </c>
      <c r="AJ58" s="24">
        <v>0.0</v>
      </c>
      <c r="AK58" s="24">
        <v>0.0</v>
      </c>
      <c r="AL58" s="24">
        <v>0.0</v>
      </c>
      <c r="AM58" s="24">
        <v>0.0</v>
      </c>
      <c r="AN58" s="24">
        <v>0.0</v>
      </c>
      <c r="AO58" s="25">
        <v>22.2</v>
      </c>
      <c r="AP58" s="26"/>
      <c r="AQ58" s="26"/>
      <c r="AR58" s="26"/>
      <c r="AS58" s="26"/>
      <c r="AT58" s="26"/>
      <c r="AU58" s="26"/>
      <c r="AV58" s="26"/>
      <c r="AW58" s="26"/>
      <c r="AX58" s="26"/>
      <c r="AY58" s="26"/>
      <c r="AZ58" s="26"/>
      <c r="BA58" s="26"/>
      <c r="BB58" s="24">
        <v>18.48</v>
      </c>
      <c r="BC58" s="26"/>
      <c r="BD58" s="26"/>
      <c r="BE58" s="24">
        <v>19.07</v>
      </c>
      <c r="BF58" s="24">
        <v>31.67</v>
      </c>
      <c r="BG58" s="26"/>
      <c r="BH58" s="24">
        <v>20.0</v>
      </c>
      <c r="BI58" s="24">
        <v>21.58</v>
      </c>
      <c r="BJ58" s="24">
        <v>25.24</v>
      </c>
      <c r="BK58" s="24">
        <v>17.93</v>
      </c>
      <c r="BL58" s="26"/>
      <c r="BM58" s="24">
        <v>17.6</v>
      </c>
      <c r="BN58" s="26"/>
      <c r="BO58" s="26"/>
      <c r="BP58" s="24">
        <v>3.06</v>
      </c>
      <c r="BQ58" s="24">
        <v>8.36</v>
      </c>
      <c r="BR58" s="24">
        <v>11.21</v>
      </c>
      <c r="BS58" s="57">
        <v>2.82</v>
      </c>
      <c r="BT58" s="56">
        <v>19.0</v>
      </c>
      <c r="BU58" s="57">
        <v>2.7</v>
      </c>
      <c r="BV58" s="25">
        <v>7.12</v>
      </c>
      <c r="BW58" s="24">
        <v>1800.0</v>
      </c>
      <c r="BX58" s="24">
        <v>2400.0</v>
      </c>
      <c r="BY58" s="24" t="s">
        <v>123</v>
      </c>
      <c r="BZ58" s="28">
        <v>2100.0</v>
      </c>
      <c r="CA58" s="29" t="s">
        <v>124</v>
      </c>
      <c r="CB58" s="30">
        <v>2400.0</v>
      </c>
      <c r="CC58" s="31"/>
      <c r="CD58" s="28">
        <v>2400.0</v>
      </c>
      <c r="CE58" s="32" t="e">
        <v>#REF!</v>
      </c>
      <c r="CF58" s="33"/>
      <c r="CG58" s="34">
        <v>0.0</v>
      </c>
      <c r="CH58" s="35">
        <v>0.0</v>
      </c>
      <c r="CI58" s="36">
        <v>10.0</v>
      </c>
      <c r="CJ58" s="36">
        <v>1790.0</v>
      </c>
      <c r="CK58" s="93">
        <f t="shared" si="2"/>
        <v>20</v>
      </c>
      <c r="CL58" s="36">
        <v>1810.0</v>
      </c>
      <c r="CM58" s="38">
        <v>222.0</v>
      </c>
      <c r="CN58" s="36">
        <v>0.0</v>
      </c>
      <c r="CO58" s="39">
        <v>22.2</v>
      </c>
      <c r="CP58" s="40">
        <v>0.0</v>
      </c>
      <c r="CQ58" s="36">
        <v>31.0</v>
      </c>
      <c r="CR58" s="36">
        <v>31.0</v>
      </c>
      <c r="CS58" s="36">
        <v>28.0</v>
      </c>
      <c r="CT58" s="41"/>
      <c r="CU58" s="42"/>
      <c r="CV58" s="43"/>
      <c r="CW58" s="44">
        <v>8.0</v>
      </c>
      <c r="CX58" s="44" t="s">
        <v>125</v>
      </c>
      <c r="CY58" s="44" t="s">
        <v>126</v>
      </c>
      <c r="CZ58" s="45"/>
      <c r="DA58" s="44">
        <v>2400.0</v>
      </c>
      <c r="DB58" s="44">
        <v>0.0</v>
      </c>
      <c r="DC58" s="43"/>
      <c r="DD58" s="78"/>
      <c r="DE58" s="43"/>
      <c r="DF58" s="43"/>
      <c r="DG58" s="48" t="s">
        <v>128</v>
      </c>
      <c r="DH58" s="48" t="s">
        <v>128</v>
      </c>
      <c r="DI58" s="48" t="s">
        <v>128</v>
      </c>
      <c r="DJ58" s="49">
        <v>1.0</v>
      </c>
      <c r="DK58" s="48" t="b">
        <v>0</v>
      </c>
      <c r="DL58" s="50" t="s">
        <v>249</v>
      </c>
      <c r="DM58" s="50" t="s">
        <v>131</v>
      </c>
      <c r="DN58" s="50" t="s">
        <v>250</v>
      </c>
      <c r="DO58" s="49">
        <v>0.85</v>
      </c>
      <c r="DP58" s="48" t="s">
        <v>128</v>
      </c>
      <c r="DQ58" s="48" t="s">
        <v>128</v>
      </c>
      <c r="DR58" s="51"/>
      <c r="DS58" s="48" t="s">
        <v>134</v>
      </c>
    </row>
    <row r="59">
      <c r="A59" s="52" t="s">
        <v>118</v>
      </c>
      <c r="B59" s="53">
        <v>3.0</v>
      </c>
      <c r="C59" s="52" t="s">
        <v>119</v>
      </c>
      <c r="D59" s="53">
        <v>604008.0</v>
      </c>
      <c r="E59" s="52" t="s">
        <v>176</v>
      </c>
      <c r="F59" s="52" t="s">
        <v>284</v>
      </c>
      <c r="G59" s="52" t="s">
        <v>285</v>
      </c>
      <c r="H59" s="53">
        <v>33034.0</v>
      </c>
      <c r="I59" s="53">
        <v>9.0</v>
      </c>
      <c r="J59" s="53">
        <v>0.0</v>
      </c>
      <c r="K59" s="53">
        <v>0.0</v>
      </c>
      <c r="L59" s="53">
        <v>0.0</v>
      </c>
      <c r="M59" s="53">
        <v>0.0</v>
      </c>
      <c r="N59" s="53">
        <v>0.0</v>
      </c>
      <c r="O59" s="53">
        <v>0.0</v>
      </c>
      <c r="P59" s="53">
        <v>0.0</v>
      </c>
      <c r="Q59" s="53">
        <v>0.0</v>
      </c>
      <c r="R59" s="53">
        <v>0.0</v>
      </c>
      <c r="S59" s="53">
        <v>3.0</v>
      </c>
      <c r="T59" s="53">
        <v>1.0</v>
      </c>
      <c r="U59" s="53">
        <v>0.0</v>
      </c>
      <c r="V59" s="53">
        <v>0.0</v>
      </c>
      <c r="W59" s="53">
        <v>0.0</v>
      </c>
      <c r="X59" s="53">
        <v>0.0</v>
      </c>
      <c r="Y59" s="53">
        <v>0.0</v>
      </c>
      <c r="Z59" s="53">
        <v>0.0</v>
      </c>
      <c r="AA59" s="53">
        <v>0.0</v>
      </c>
      <c r="AB59" s="53">
        <v>0.0</v>
      </c>
      <c r="AC59" s="53">
        <v>0.0</v>
      </c>
      <c r="AD59" s="53">
        <v>2.0</v>
      </c>
      <c r="AE59" s="53">
        <v>0.0</v>
      </c>
      <c r="AF59" s="53">
        <v>0.0</v>
      </c>
      <c r="AG59" s="53">
        <v>0.0</v>
      </c>
      <c r="AH59" s="53">
        <v>1.0</v>
      </c>
      <c r="AI59" s="53">
        <v>2.0</v>
      </c>
      <c r="AJ59" s="53">
        <v>0.0</v>
      </c>
      <c r="AK59" s="53">
        <v>0.0</v>
      </c>
      <c r="AL59" s="53">
        <v>0.0</v>
      </c>
      <c r="AM59" s="53">
        <v>0.0</v>
      </c>
      <c r="AN59" s="53">
        <v>0.0</v>
      </c>
      <c r="AO59" s="25">
        <v>19.9</v>
      </c>
      <c r="AP59" s="54"/>
      <c r="AQ59" s="54"/>
      <c r="AR59" s="54"/>
      <c r="AS59" s="54"/>
      <c r="AT59" s="54"/>
      <c r="AU59" s="54"/>
      <c r="AV59" s="54"/>
      <c r="AW59" s="54"/>
      <c r="AX59" s="54"/>
      <c r="AY59" s="53">
        <v>18.62</v>
      </c>
      <c r="AZ59" s="53">
        <v>12.8</v>
      </c>
      <c r="BA59" s="54"/>
      <c r="BB59" s="54"/>
      <c r="BC59" s="54"/>
      <c r="BD59" s="54"/>
      <c r="BE59" s="54"/>
      <c r="BF59" s="54"/>
      <c r="BG59" s="54"/>
      <c r="BH59" s="54"/>
      <c r="BI59" s="54"/>
      <c r="BJ59" s="53">
        <v>19.32</v>
      </c>
      <c r="BK59" s="54"/>
      <c r="BL59" s="54"/>
      <c r="BM59" s="54"/>
      <c r="BN59" s="53">
        <v>21.85</v>
      </c>
      <c r="BO59" s="53">
        <v>0.42</v>
      </c>
      <c r="BP59" s="53">
        <v>0.96</v>
      </c>
      <c r="BQ59" s="53">
        <v>7.33</v>
      </c>
      <c r="BR59" s="53">
        <v>8.08</v>
      </c>
      <c r="BS59" s="57">
        <v>2.69</v>
      </c>
      <c r="BT59" s="56">
        <v>20.6</v>
      </c>
      <c r="BU59" s="57">
        <v>1.5</v>
      </c>
      <c r="BV59" s="25">
        <v>10.39</v>
      </c>
      <c r="BW59" s="54"/>
      <c r="BX59" s="53">
        <v>2700.0</v>
      </c>
      <c r="BY59" s="53" t="s">
        <v>123</v>
      </c>
      <c r="BZ59" s="58">
        <v>2400.0</v>
      </c>
      <c r="CA59" s="29" t="s">
        <v>124</v>
      </c>
      <c r="CB59" s="30">
        <v>3000.0</v>
      </c>
      <c r="CC59" s="31"/>
      <c r="CD59" s="58">
        <v>3000.0</v>
      </c>
      <c r="CE59" s="59" t="e">
        <v>#REF!</v>
      </c>
      <c r="CF59" s="79">
        <f>+300</f>
        <v>300</v>
      </c>
      <c r="CG59" s="80">
        <f>+1</f>
        <v>1</v>
      </c>
      <c r="CH59" s="62">
        <v>0.11</v>
      </c>
      <c r="CI59" s="63">
        <v>10.0</v>
      </c>
      <c r="CJ59" s="63">
        <v>1790.0</v>
      </c>
      <c r="CK59" s="94">
        <f t="shared" si="2"/>
        <v>20</v>
      </c>
      <c r="CL59" s="63">
        <v>1810.0</v>
      </c>
      <c r="CM59" s="65">
        <v>179.0</v>
      </c>
      <c r="CN59" s="63">
        <v>-24.0</v>
      </c>
      <c r="CO59" s="66">
        <v>20.3</v>
      </c>
      <c r="CP59" s="67">
        <v>0.4</v>
      </c>
      <c r="CQ59" s="63">
        <v>9.0</v>
      </c>
      <c r="CR59" s="63">
        <v>10.0</v>
      </c>
      <c r="CS59" s="63">
        <v>27.0</v>
      </c>
      <c r="CT59" s="68"/>
      <c r="CU59" s="69"/>
      <c r="CV59" s="70"/>
      <c r="CW59" s="71">
        <v>10.0</v>
      </c>
      <c r="CX59" s="71" t="s">
        <v>138</v>
      </c>
      <c r="CY59" s="71" t="s">
        <v>139</v>
      </c>
      <c r="CZ59" s="76" t="s">
        <v>151</v>
      </c>
      <c r="DA59" s="44">
        <v>3000.0</v>
      </c>
      <c r="DB59" s="44">
        <v>0.0</v>
      </c>
      <c r="DC59" s="46" t="s">
        <v>127</v>
      </c>
      <c r="DD59" s="47">
        <v>46233.0</v>
      </c>
      <c r="DE59" s="43"/>
      <c r="DF59" s="43"/>
      <c r="DG59" s="48" t="s">
        <v>128</v>
      </c>
      <c r="DH59" s="48" t="s">
        <v>128</v>
      </c>
      <c r="DI59" s="48" t="s">
        <v>128</v>
      </c>
      <c r="DJ59" s="49">
        <v>1.0</v>
      </c>
      <c r="DK59" s="48" t="b">
        <v>0</v>
      </c>
      <c r="DL59" s="50" t="s">
        <v>249</v>
      </c>
      <c r="DM59" s="50" t="s">
        <v>131</v>
      </c>
      <c r="DN59" s="50" t="s">
        <v>250</v>
      </c>
      <c r="DO59" s="49">
        <v>0.85</v>
      </c>
      <c r="DP59" s="48" t="s">
        <v>128</v>
      </c>
      <c r="DQ59" s="48" t="s">
        <v>128</v>
      </c>
      <c r="DR59" s="51"/>
      <c r="DS59" s="48" t="s">
        <v>134</v>
      </c>
    </row>
    <row r="60">
      <c r="A60" s="23" t="s">
        <v>118</v>
      </c>
      <c r="B60" s="24">
        <v>3.0</v>
      </c>
      <c r="C60" s="23" t="s">
        <v>119</v>
      </c>
      <c r="D60" s="24">
        <v>648806.0</v>
      </c>
      <c r="E60" s="23" t="s">
        <v>179</v>
      </c>
      <c r="F60" s="23" t="s">
        <v>286</v>
      </c>
      <c r="G60" s="23" t="s">
        <v>287</v>
      </c>
      <c r="H60" s="24">
        <v>33034.0</v>
      </c>
      <c r="I60" s="24">
        <v>5.0</v>
      </c>
      <c r="J60" s="24">
        <v>0.0</v>
      </c>
      <c r="K60" s="24">
        <v>0.0</v>
      </c>
      <c r="L60" s="24">
        <v>0.0</v>
      </c>
      <c r="M60" s="24">
        <v>0.0</v>
      </c>
      <c r="N60" s="24">
        <v>0.0</v>
      </c>
      <c r="O60" s="24">
        <v>0.0</v>
      </c>
      <c r="P60" s="24">
        <v>0.0</v>
      </c>
      <c r="Q60" s="24">
        <v>0.0</v>
      </c>
      <c r="R60" s="24">
        <v>0.0</v>
      </c>
      <c r="S60" s="24">
        <v>0.0</v>
      </c>
      <c r="T60" s="24">
        <v>0.0</v>
      </c>
      <c r="U60" s="24">
        <v>0.0</v>
      </c>
      <c r="V60" s="24">
        <v>0.0</v>
      </c>
      <c r="W60" s="24">
        <v>1.0</v>
      </c>
      <c r="X60" s="24">
        <v>0.0</v>
      </c>
      <c r="Y60" s="24">
        <v>0.0</v>
      </c>
      <c r="Z60" s="24">
        <v>1.0</v>
      </c>
      <c r="AA60" s="24">
        <v>0.0</v>
      </c>
      <c r="AB60" s="24">
        <v>2.0</v>
      </c>
      <c r="AC60" s="24">
        <v>0.0</v>
      </c>
      <c r="AD60" s="24">
        <v>0.0</v>
      </c>
      <c r="AE60" s="24">
        <v>0.0</v>
      </c>
      <c r="AF60" s="24">
        <v>0.0</v>
      </c>
      <c r="AG60" s="24">
        <v>0.0</v>
      </c>
      <c r="AH60" s="24">
        <v>0.0</v>
      </c>
      <c r="AI60" s="24">
        <v>0.0</v>
      </c>
      <c r="AJ60" s="24">
        <v>0.0</v>
      </c>
      <c r="AK60" s="24">
        <v>0.0</v>
      </c>
      <c r="AL60" s="24">
        <v>0.0</v>
      </c>
      <c r="AM60" s="24">
        <v>0.0</v>
      </c>
      <c r="AN60" s="24">
        <v>1.0</v>
      </c>
      <c r="AO60" s="25">
        <v>21.3</v>
      </c>
      <c r="AP60" s="26"/>
      <c r="AQ60" s="26"/>
      <c r="AR60" s="26"/>
      <c r="AS60" s="26"/>
      <c r="AT60" s="26"/>
      <c r="AU60" s="26"/>
      <c r="AV60" s="26"/>
      <c r="AW60" s="26"/>
      <c r="AX60" s="26"/>
      <c r="AY60" s="26"/>
      <c r="AZ60" s="26"/>
      <c r="BA60" s="26"/>
      <c r="BB60" s="26"/>
      <c r="BC60" s="24">
        <v>21.78</v>
      </c>
      <c r="BD60" s="26"/>
      <c r="BE60" s="26"/>
      <c r="BF60" s="24">
        <v>18.08</v>
      </c>
      <c r="BG60" s="26"/>
      <c r="BH60" s="24">
        <v>25.24</v>
      </c>
      <c r="BI60" s="26"/>
      <c r="BJ60" s="26"/>
      <c r="BK60" s="26"/>
      <c r="BL60" s="26"/>
      <c r="BM60" s="26"/>
      <c r="BN60" s="26"/>
      <c r="BO60" s="24">
        <v>0.27</v>
      </c>
      <c r="BP60" s="24">
        <v>4.9</v>
      </c>
      <c r="BQ60" s="24">
        <v>6.12</v>
      </c>
      <c r="BR60" s="24">
        <v>10.79</v>
      </c>
      <c r="BS60" s="57">
        <v>2.26</v>
      </c>
      <c r="BT60" s="56">
        <v>21.8</v>
      </c>
      <c r="BU60" s="57">
        <v>0.5</v>
      </c>
      <c r="BV60" s="25">
        <v>8.65</v>
      </c>
      <c r="BW60" s="26"/>
      <c r="BX60" s="24">
        <v>2400.0</v>
      </c>
      <c r="BY60" s="24" t="s">
        <v>123</v>
      </c>
      <c r="BZ60" s="28">
        <v>2100.0</v>
      </c>
      <c r="CA60" s="29" t="s">
        <v>124</v>
      </c>
      <c r="CB60" s="30">
        <v>2400.0</v>
      </c>
      <c r="CC60" s="31"/>
      <c r="CD60" s="28">
        <v>2400.0</v>
      </c>
      <c r="CE60" s="32" t="e">
        <v>#REF!</v>
      </c>
      <c r="CF60" s="33"/>
      <c r="CG60" s="34">
        <v>0.0</v>
      </c>
      <c r="CH60" s="35">
        <v>0.0</v>
      </c>
      <c r="CI60" s="36">
        <v>5.0</v>
      </c>
      <c r="CJ60" s="36">
        <v>1790.0</v>
      </c>
      <c r="CK60" s="93">
        <f t="shared" si="2"/>
        <v>20</v>
      </c>
      <c r="CL60" s="36">
        <v>1810.0</v>
      </c>
      <c r="CM60" s="38">
        <v>107.0</v>
      </c>
      <c r="CN60" s="36">
        <v>0.0</v>
      </c>
      <c r="CO60" s="39">
        <v>21.3</v>
      </c>
      <c r="CP60" s="40">
        <v>0.0</v>
      </c>
      <c r="CQ60" s="36">
        <v>25.0</v>
      </c>
      <c r="CR60" s="36">
        <v>25.0</v>
      </c>
      <c r="CS60" s="36">
        <v>11.0</v>
      </c>
      <c r="CT60" s="41"/>
      <c r="CU60" s="42"/>
      <c r="CV60" s="43"/>
      <c r="CW60" s="44">
        <v>8.0</v>
      </c>
      <c r="CX60" s="44" t="s">
        <v>125</v>
      </c>
      <c r="CY60" s="44" t="s">
        <v>126</v>
      </c>
      <c r="CZ60" s="45"/>
      <c r="DA60" s="44">
        <v>2400.0</v>
      </c>
      <c r="DB60" s="44">
        <v>0.0</v>
      </c>
      <c r="DC60" s="43"/>
      <c r="DD60" s="78"/>
      <c r="DE60" s="43"/>
      <c r="DF60" s="43"/>
      <c r="DG60" s="48" t="s">
        <v>128</v>
      </c>
      <c r="DH60" s="48" t="s">
        <v>128</v>
      </c>
      <c r="DI60" s="48" t="s">
        <v>128</v>
      </c>
      <c r="DJ60" s="49">
        <v>1.0</v>
      </c>
      <c r="DK60" s="48" t="b">
        <v>0</v>
      </c>
      <c r="DL60" s="50" t="s">
        <v>249</v>
      </c>
      <c r="DM60" s="50" t="s">
        <v>131</v>
      </c>
      <c r="DN60" s="50" t="s">
        <v>250</v>
      </c>
      <c r="DO60" s="49">
        <v>0.85</v>
      </c>
      <c r="DP60" s="48" t="s">
        <v>128</v>
      </c>
      <c r="DQ60" s="48" t="s">
        <v>128</v>
      </c>
      <c r="DR60" s="51"/>
      <c r="DS60" s="48" t="s">
        <v>134</v>
      </c>
    </row>
    <row r="61">
      <c r="A61" s="52" t="s">
        <v>118</v>
      </c>
      <c r="B61" s="53">
        <v>3.0</v>
      </c>
      <c r="C61" s="52" t="s">
        <v>119</v>
      </c>
      <c r="D61" s="53">
        <v>680909.0</v>
      </c>
      <c r="E61" s="52" t="s">
        <v>288</v>
      </c>
      <c r="F61" s="52" t="s">
        <v>289</v>
      </c>
      <c r="G61" s="52" t="s">
        <v>290</v>
      </c>
      <c r="H61" s="53">
        <v>33034.0</v>
      </c>
      <c r="I61" s="53">
        <v>2.0</v>
      </c>
      <c r="J61" s="53">
        <v>0.0</v>
      </c>
      <c r="K61" s="53">
        <v>0.0</v>
      </c>
      <c r="L61" s="53">
        <v>0.0</v>
      </c>
      <c r="M61" s="53">
        <v>0.0</v>
      </c>
      <c r="N61" s="53">
        <v>0.0</v>
      </c>
      <c r="O61" s="53">
        <v>0.0</v>
      </c>
      <c r="P61" s="53">
        <v>0.0</v>
      </c>
      <c r="Q61" s="53">
        <v>0.0</v>
      </c>
      <c r="R61" s="53">
        <v>0.0</v>
      </c>
      <c r="S61" s="53">
        <v>0.0</v>
      </c>
      <c r="T61" s="53">
        <v>0.0</v>
      </c>
      <c r="U61" s="53">
        <v>0.0</v>
      </c>
      <c r="V61" s="53">
        <v>0.0</v>
      </c>
      <c r="W61" s="53">
        <v>0.0</v>
      </c>
      <c r="X61" s="53">
        <v>0.0</v>
      </c>
      <c r="Y61" s="53">
        <v>0.0</v>
      </c>
      <c r="Z61" s="53">
        <v>0.0</v>
      </c>
      <c r="AA61" s="53">
        <v>0.0</v>
      </c>
      <c r="AB61" s="53">
        <v>0.0</v>
      </c>
      <c r="AC61" s="53">
        <v>0.0</v>
      </c>
      <c r="AD61" s="53">
        <v>0.0</v>
      </c>
      <c r="AE61" s="53">
        <v>0.0</v>
      </c>
      <c r="AF61" s="53">
        <v>0.0</v>
      </c>
      <c r="AG61" s="53">
        <v>0.0</v>
      </c>
      <c r="AH61" s="53">
        <v>0.0</v>
      </c>
      <c r="AI61" s="53">
        <v>0.0</v>
      </c>
      <c r="AJ61" s="53">
        <v>2.0</v>
      </c>
      <c r="AK61" s="53">
        <v>0.0</v>
      </c>
      <c r="AL61" s="53">
        <v>0.0</v>
      </c>
      <c r="AM61" s="53">
        <v>0.0</v>
      </c>
      <c r="AN61" s="53">
        <v>0.0</v>
      </c>
      <c r="AO61" s="25">
        <v>26.7</v>
      </c>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3">
        <v>0.45</v>
      </c>
      <c r="BP61" s="53">
        <v>5.97</v>
      </c>
      <c r="BQ61" s="53">
        <v>7.53</v>
      </c>
      <c r="BR61" s="53">
        <v>13.31</v>
      </c>
      <c r="BS61" s="57">
        <v>1.13</v>
      </c>
      <c r="BT61" s="56">
        <v>26.7</v>
      </c>
      <c r="BU61" s="57">
        <v>1.1</v>
      </c>
      <c r="BV61" s="25">
        <v>12.08</v>
      </c>
      <c r="BW61" s="54"/>
      <c r="BX61" s="53">
        <v>2700.0</v>
      </c>
      <c r="BY61" s="53" t="s">
        <v>123</v>
      </c>
      <c r="BZ61" s="58">
        <v>2400.0</v>
      </c>
      <c r="CA61" s="29" t="s">
        <v>124</v>
      </c>
      <c r="CB61" s="30">
        <v>2700.0</v>
      </c>
      <c r="CC61" s="31"/>
      <c r="CD61" s="58">
        <v>2700.0</v>
      </c>
      <c r="CE61" s="59" t="e">
        <v>#REF!</v>
      </c>
      <c r="CF61" s="60"/>
      <c r="CG61" s="61">
        <v>0.0</v>
      </c>
      <c r="CH61" s="62">
        <v>0.0</v>
      </c>
      <c r="CI61" s="63">
        <v>2.0</v>
      </c>
      <c r="CJ61" s="63">
        <v>1790.0</v>
      </c>
      <c r="CK61" s="94">
        <f t="shared" si="2"/>
        <v>20</v>
      </c>
      <c r="CL61" s="63">
        <v>1810.0</v>
      </c>
      <c r="CM61" s="65">
        <v>53.0</v>
      </c>
      <c r="CN61" s="63">
        <v>0.0</v>
      </c>
      <c r="CO61" s="66">
        <v>26.7</v>
      </c>
      <c r="CP61" s="67">
        <v>0.0</v>
      </c>
      <c r="CQ61" s="63">
        <v>12.0</v>
      </c>
      <c r="CR61" s="63">
        <v>12.0</v>
      </c>
      <c r="CS61" s="63">
        <v>2.0</v>
      </c>
      <c r="CT61" s="68"/>
      <c r="CU61" s="69"/>
      <c r="CV61" s="70"/>
      <c r="CW61" s="71">
        <v>9.0</v>
      </c>
      <c r="CX61" s="71" t="s">
        <v>143</v>
      </c>
      <c r="CY61" s="71" t="s">
        <v>144</v>
      </c>
      <c r="CZ61" s="45"/>
      <c r="DA61" s="44">
        <v>2700.0</v>
      </c>
      <c r="DB61" s="44">
        <v>0.0</v>
      </c>
      <c r="DC61" s="43"/>
      <c r="DD61" s="78"/>
      <c r="DE61" s="43"/>
      <c r="DF61" s="43"/>
      <c r="DG61" s="48" t="s">
        <v>128</v>
      </c>
      <c r="DH61" s="48" t="s">
        <v>128</v>
      </c>
      <c r="DI61" s="48" t="s">
        <v>128</v>
      </c>
      <c r="DJ61" s="51"/>
      <c r="DK61" s="48" t="b">
        <v>0</v>
      </c>
      <c r="DL61" s="50" t="s">
        <v>249</v>
      </c>
      <c r="DM61" s="50" t="s">
        <v>131</v>
      </c>
      <c r="DN61" s="50" t="s">
        <v>250</v>
      </c>
      <c r="DO61" s="49">
        <v>0.85</v>
      </c>
      <c r="DP61" s="48" t="s">
        <v>128</v>
      </c>
      <c r="DQ61" s="48" t="s">
        <v>128</v>
      </c>
      <c r="DR61" s="51"/>
      <c r="DS61" s="48" t="s">
        <v>134</v>
      </c>
    </row>
    <row r="62">
      <c r="A62" s="23" t="s">
        <v>118</v>
      </c>
      <c r="B62" s="24">
        <v>3.0</v>
      </c>
      <c r="C62" s="23" t="s">
        <v>119</v>
      </c>
      <c r="D62" s="24">
        <v>640888.0</v>
      </c>
      <c r="E62" s="23" t="s">
        <v>161</v>
      </c>
      <c r="F62" s="23" t="s">
        <v>291</v>
      </c>
      <c r="G62" s="23" t="s">
        <v>292</v>
      </c>
      <c r="H62" s="24">
        <v>33034.0</v>
      </c>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7"/>
      <c r="BU62" s="26"/>
      <c r="BV62" s="26"/>
      <c r="BW62" s="26"/>
      <c r="BX62" s="24">
        <v>2400.0</v>
      </c>
      <c r="BY62" s="24" t="s">
        <v>123</v>
      </c>
      <c r="BZ62" s="28">
        <v>2400.0</v>
      </c>
      <c r="CA62" s="72"/>
      <c r="CB62" s="82"/>
      <c r="CC62" s="31"/>
      <c r="CD62" s="28">
        <v>2400.0</v>
      </c>
      <c r="CE62" s="88" t="s">
        <v>185</v>
      </c>
      <c r="CF62" s="33"/>
      <c r="CG62" s="34">
        <v>0.0</v>
      </c>
      <c r="CH62" s="89"/>
      <c r="CI62" s="36">
        <v>0.0</v>
      </c>
      <c r="CJ62" s="36">
        <v>1790.0</v>
      </c>
      <c r="CK62" s="93">
        <f t="shared" si="2"/>
        <v>20</v>
      </c>
      <c r="CL62" s="36">
        <v>1810.0</v>
      </c>
      <c r="CM62" s="38">
        <v>0.0</v>
      </c>
      <c r="CN62" s="36">
        <v>0.0</v>
      </c>
      <c r="CO62" s="39">
        <v>0.0</v>
      </c>
      <c r="CP62" s="40">
        <v>0.0</v>
      </c>
      <c r="CQ62" s="36">
        <v>0.0</v>
      </c>
      <c r="CR62" s="36">
        <v>0.0</v>
      </c>
      <c r="CS62" s="36">
        <v>0.0</v>
      </c>
      <c r="CT62" s="41"/>
      <c r="CU62" s="42"/>
      <c r="CV62" s="43"/>
      <c r="CW62" s="44">
        <v>8.0</v>
      </c>
      <c r="CX62" s="44" t="s">
        <v>125</v>
      </c>
      <c r="CY62" s="44" t="s">
        <v>126</v>
      </c>
      <c r="CZ62" s="45"/>
      <c r="DA62" s="43"/>
      <c r="DB62" s="44">
        <v>0.0</v>
      </c>
      <c r="DC62" s="43"/>
      <c r="DD62" s="78"/>
      <c r="DE62" s="43"/>
      <c r="DF62" s="43"/>
      <c r="DG62" s="48" t="s">
        <v>128</v>
      </c>
      <c r="DH62" s="48" t="s">
        <v>128</v>
      </c>
      <c r="DI62" s="85" t="str">
        <f>+ OFF 30 DIAS SIN VENTA</f>
        <v>#ERROR!</v>
      </c>
      <c r="DJ62" s="49">
        <v>1.0</v>
      </c>
      <c r="DK62" s="48" t="b">
        <v>0</v>
      </c>
      <c r="DL62" s="50" t="s">
        <v>249</v>
      </c>
      <c r="DM62" s="50" t="s">
        <v>131</v>
      </c>
      <c r="DN62" s="50" t="s">
        <v>250</v>
      </c>
      <c r="DO62" s="49">
        <v>0.85</v>
      </c>
      <c r="DP62" s="48" t="s">
        <v>128</v>
      </c>
      <c r="DQ62" s="86" t="str">
        <f>+ OFF 30 DIAS SIN VENTA</f>
        <v>#ERROR!</v>
      </c>
      <c r="DR62" s="51"/>
      <c r="DS62" s="48" t="s">
        <v>134</v>
      </c>
    </row>
    <row r="63">
      <c r="A63" s="52" t="s">
        <v>118</v>
      </c>
      <c r="B63" s="53">
        <v>3.0</v>
      </c>
      <c r="C63" s="52" t="s">
        <v>119</v>
      </c>
      <c r="D63" s="53">
        <v>536832.0</v>
      </c>
      <c r="E63" s="52" t="s">
        <v>158</v>
      </c>
      <c r="F63" s="52" t="s">
        <v>293</v>
      </c>
      <c r="G63" s="52" t="s">
        <v>294</v>
      </c>
      <c r="H63" s="53">
        <v>33034.0</v>
      </c>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81"/>
      <c r="BU63" s="54"/>
      <c r="BV63" s="54"/>
      <c r="BW63" s="54"/>
      <c r="BX63" s="53">
        <v>1.0</v>
      </c>
      <c r="BY63" s="53" t="s">
        <v>123</v>
      </c>
      <c r="BZ63" s="87">
        <v>1.0</v>
      </c>
      <c r="CA63" s="72"/>
      <c r="CB63" s="82"/>
      <c r="CC63" s="31"/>
      <c r="CD63" s="58">
        <v>1.0</v>
      </c>
      <c r="CE63" s="83" t="s">
        <v>185</v>
      </c>
      <c r="CF63" s="60"/>
      <c r="CG63" s="61">
        <v>0.0</v>
      </c>
      <c r="CH63" s="84"/>
      <c r="CI63" s="63">
        <v>0.0</v>
      </c>
      <c r="CJ63" s="63">
        <v>1790.0</v>
      </c>
      <c r="CK63" s="94">
        <f t="shared" si="2"/>
        <v>20</v>
      </c>
      <c r="CL63" s="63">
        <v>1810.0</v>
      </c>
      <c r="CM63" s="65">
        <v>0.0</v>
      </c>
      <c r="CN63" s="63">
        <v>0.0</v>
      </c>
      <c r="CO63" s="66">
        <v>0.0</v>
      </c>
      <c r="CP63" s="67">
        <v>0.0</v>
      </c>
      <c r="CQ63" s="63">
        <v>0.0</v>
      </c>
      <c r="CR63" s="63">
        <v>0.0</v>
      </c>
      <c r="CS63" s="63">
        <v>0.0</v>
      </c>
      <c r="CT63" s="68"/>
      <c r="CU63" s="69"/>
      <c r="CV63" s="70"/>
      <c r="CW63" s="71">
        <v>1.0</v>
      </c>
      <c r="CX63" s="71">
        <v>1.0</v>
      </c>
      <c r="CY63" s="71">
        <v>0.1</v>
      </c>
      <c r="CZ63" s="45"/>
      <c r="DA63" s="43"/>
      <c r="DB63" s="44">
        <v>0.0</v>
      </c>
      <c r="DC63" s="43"/>
      <c r="DD63" s="78"/>
      <c r="DE63" s="43"/>
      <c r="DF63" s="43"/>
      <c r="DG63" s="48" t="s">
        <v>128</v>
      </c>
      <c r="DH63" s="48" t="s">
        <v>131</v>
      </c>
      <c r="DI63" s="48" t="s">
        <v>188</v>
      </c>
      <c r="DJ63" s="49">
        <v>1.0</v>
      </c>
      <c r="DK63" s="48" t="b">
        <v>0</v>
      </c>
      <c r="DL63" s="50" t="s">
        <v>249</v>
      </c>
      <c r="DM63" s="50" t="s">
        <v>131</v>
      </c>
      <c r="DN63" s="50" t="s">
        <v>250</v>
      </c>
      <c r="DO63" s="49">
        <v>0.85</v>
      </c>
      <c r="DP63" s="51"/>
      <c r="DQ63" s="48" t="s">
        <v>188</v>
      </c>
      <c r="DR63" s="51"/>
      <c r="DS63" s="48" t="s">
        <v>134</v>
      </c>
    </row>
    <row r="64">
      <c r="A64" s="23" t="s">
        <v>118</v>
      </c>
      <c r="B64" s="24">
        <v>3.0</v>
      </c>
      <c r="C64" s="23" t="s">
        <v>119</v>
      </c>
      <c r="D64" s="24">
        <v>536832.0</v>
      </c>
      <c r="E64" s="23" t="s">
        <v>158</v>
      </c>
      <c r="F64" s="23" t="s">
        <v>295</v>
      </c>
      <c r="G64" s="23" t="s">
        <v>296</v>
      </c>
      <c r="H64" s="24">
        <v>33034.0</v>
      </c>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7"/>
      <c r="BU64" s="26"/>
      <c r="BV64" s="26"/>
      <c r="BW64" s="26"/>
      <c r="BX64" s="24">
        <v>1.0</v>
      </c>
      <c r="BY64" s="24" t="s">
        <v>123</v>
      </c>
      <c r="BZ64" s="87">
        <v>1.0</v>
      </c>
      <c r="CA64" s="72"/>
      <c r="CB64" s="82"/>
      <c r="CC64" s="31"/>
      <c r="CD64" s="28">
        <v>1.0</v>
      </c>
      <c r="CE64" s="88" t="s">
        <v>185</v>
      </c>
      <c r="CF64" s="33"/>
      <c r="CG64" s="34">
        <v>0.0</v>
      </c>
      <c r="CH64" s="89"/>
      <c r="CI64" s="36">
        <v>0.0</v>
      </c>
      <c r="CJ64" s="36">
        <v>1790.0</v>
      </c>
      <c r="CK64" s="93">
        <f t="shared" si="2"/>
        <v>20</v>
      </c>
      <c r="CL64" s="36">
        <v>1810.0</v>
      </c>
      <c r="CM64" s="38">
        <v>0.0</v>
      </c>
      <c r="CN64" s="36">
        <v>0.0</v>
      </c>
      <c r="CO64" s="39">
        <v>0.0</v>
      </c>
      <c r="CP64" s="40">
        <v>0.0</v>
      </c>
      <c r="CQ64" s="36">
        <v>0.0</v>
      </c>
      <c r="CR64" s="36">
        <v>0.0</v>
      </c>
      <c r="CS64" s="36">
        <v>0.0</v>
      </c>
      <c r="CT64" s="41"/>
      <c r="CU64" s="42"/>
      <c r="CV64" s="43"/>
      <c r="CW64" s="44">
        <v>1.0</v>
      </c>
      <c r="CX64" s="44">
        <v>1.0</v>
      </c>
      <c r="CY64" s="44">
        <v>0.1</v>
      </c>
      <c r="CZ64" s="45"/>
      <c r="DA64" s="43"/>
      <c r="DB64" s="44">
        <v>0.0</v>
      </c>
      <c r="DC64" s="43"/>
      <c r="DD64" s="78"/>
      <c r="DE64" s="43"/>
      <c r="DF64" s="43"/>
      <c r="DG64" s="48" t="s">
        <v>128</v>
      </c>
      <c r="DH64" s="48" t="s">
        <v>131</v>
      </c>
      <c r="DI64" s="48" t="s">
        <v>188</v>
      </c>
      <c r="DJ64" s="49">
        <v>1.0</v>
      </c>
      <c r="DK64" s="48" t="b">
        <v>0</v>
      </c>
      <c r="DL64" s="50" t="s">
        <v>249</v>
      </c>
      <c r="DM64" s="50" t="s">
        <v>131</v>
      </c>
      <c r="DN64" s="50" t="s">
        <v>250</v>
      </c>
      <c r="DO64" s="49">
        <v>0.85</v>
      </c>
      <c r="DP64" s="51"/>
      <c r="DQ64" s="48" t="s">
        <v>188</v>
      </c>
      <c r="DR64" s="51"/>
      <c r="DS64" s="48" t="s">
        <v>134</v>
      </c>
    </row>
    <row r="65">
      <c r="A65" s="52" t="s">
        <v>118</v>
      </c>
      <c r="B65" s="53">
        <v>3.0</v>
      </c>
      <c r="C65" s="52" t="s">
        <v>119</v>
      </c>
      <c r="D65" s="53">
        <v>627274.0</v>
      </c>
      <c r="E65" s="52" t="s">
        <v>173</v>
      </c>
      <c r="F65" s="52" t="s">
        <v>297</v>
      </c>
      <c r="G65" s="52" t="s">
        <v>298</v>
      </c>
      <c r="H65" s="53">
        <v>33132.0</v>
      </c>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81"/>
      <c r="BU65" s="54"/>
      <c r="BV65" s="54"/>
      <c r="BW65" s="54"/>
      <c r="BX65" s="53">
        <v>1.0</v>
      </c>
      <c r="BY65" s="53" t="s">
        <v>123</v>
      </c>
      <c r="BZ65" s="87">
        <v>1.0</v>
      </c>
      <c r="CA65" s="72"/>
      <c r="CB65" s="82"/>
      <c r="CC65" s="31"/>
      <c r="CD65" s="58">
        <v>1.0</v>
      </c>
      <c r="CE65" s="83" t="s">
        <v>185</v>
      </c>
      <c r="CF65" s="60"/>
      <c r="CG65" s="61">
        <v>0.0</v>
      </c>
      <c r="CH65" s="84"/>
      <c r="CI65" s="63">
        <v>0.0</v>
      </c>
      <c r="CJ65" s="63">
        <v>6601.0</v>
      </c>
      <c r="CK65" s="64">
        <v>-124.0</v>
      </c>
      <c r="CL65" s="63">
        <v>6477.0</v>
      </c>
      <c r="CM65" s="65">
        <v>0.0</v>
      </c>
      <c r="CN65" s="63">
        <v>0.0</v>
      </c>
      <c r="CO65" s="66">
        <v>0.0</v>
      </c>
      <c r="CP65" s="67">
        <v>0.0</v>
      </c>
      <c r="CQ65" s="63">
        <v>0.0</v>
      </c>
      <c r="CR65" s="63">
        <v>0.0</v>
      </c>
      <c r="CS65" s="63">
        <v>0.0</v>
      </c>
      <c r="CT65" s="68"/>
      <c r="CU65" s="69"/>
      <c r="CV65" s="70"/>
      <c r="CW65" s="71">
        <v>1.0</v>
      </c>
      <c r="CX65" s="71">
        <v>1.0</v>
      </c>
      <c r="CY65" s="71">
        <v>0.1</v>
      </c>
      <c r="CZ65" s="45"/>
      <c r="DA65" s="43"/>
      <c r="DB65" s="44">
        <v>0.0</v>
      </c>
      <c r="DC65" s="43"/>
      <c r="DD65" s="78"/>
      <c r="DE65" s="43"/>
      <c r="DF65" s="43"/>
      <c r="DG65" s="48" t="s">
        <v>128</v>
      </c>
      <c r="DH65" s="48" t="s">
        <v>131</v>
      </c>
      <c r="DI65" s="48" t="s">
        <v>188</v>
      </c>
      <c r="DJ65" s="49">
        <v>1.0</v>
      </c>
      <c r="DK65" s="48" t="b">
        <v>0</v>
      </c>
      <c r="DL65" s="50" t="s">
        <v>299</v>
      </c>
      <c r="DM65" s="50" t="s">
        <v>131</v>
      </c>
      <c r="DN65" s="50" t="s">
        <v>300</v>
      </c>
      <c r="DO65" s="49">
        <v>0.99</v>
      </c>
      <c r="DP65" s="51"/>
      <c r="DQ65" s="48" t="s">
        <v>188</v>
      </c>
      <c r="DR65" s="51"/>
      <c r="DS65" s="48" t="s">
        <v>134</v>
      </c>
    </row>
    <row r="66">
      <c r="A66" s="23" t="s">
        <v>118</v>
      </c>
      <c r="B66" s="24">
        <v>3.0</v>
      </c>
      <c r="C66" s="23" t="s">
        <v>119</v>
      </c>
      <c r="D66" s="24">
        <v>576393.0</v>
      </c>
      <c r="E66" s="23" t="s">
        <v>164</v>
      </c>
      <c r="F66" s="23" t="s">
        <v>301</v>
      </c>
      <c r="G66" s="23" t="s">
        <v>302</v>
      </c>
      <c r="H66" s="24">
        <v>33132.0</v>
      </c>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7"/>
      <c r="BU66" s="26"/>
      <c r="BV66" s="26"/>
      <c r="BW66" s="26"/>
      <c r="BX66" s="24">
        <v>1.0</v>
      </c>
      <c r="BY66" s="24" t="s">
        <v>123</v>
      </c>
      <c r="BZ66" s="87">
        <v>1.0</v>
      </c>
      <c r="CA66" s="72"/>
      <c r="CB66" s="82"/>
      <c r="CC66" s="31"/>
      <c r="CD66" s="28">
        <v>1.0</v>
      </c>
      <c r="CE66" s="88" t="s">
        <v>185</v>
      </c>
      <c r="CF66" s="33"/>
      <c r="CG66" s="34">
        <v>0.0</v>
      </c>
      <c r="CH66" s="89"/>
      <c r="CI66" s="36">
        <v>0.0</v>
      </c>
      <c r="CJ66" s="36">
        <v>6601.0</v>
      </c>
      <c r="CK66" s="37">
        <v>-124.0</v>
      </c>
      <c r="CL66" s="36">
        <v>6477.0</v>
      </c>
      <c r="CM66" s="38">
        <v>0.0</v>
      </c>
      <c r="CN66" s="36">
        <v>0.0</v>
      </c>
      <c r="CO66" s="39">
        <v>0.0</v>
      </c>
      <c r="CP66" s="40">
        <v>0.0</v>
      </c>
      <c r="CQ66" s="36">
        <v>0.0</v>
      </c>
      <c r="CR66" s="36">
        <v>0.0</v>
      </c>
      <c r="CS66" s="36">
        <v>0.0</v>
      </c>
      <c r="CT66" s="41"/>
      <c r="CU66" s="42"/>
      <c r="CV66" s="43"/>
      <c r="CW66" s="44">
        <v>1.0</v>
      </c>
      <c r="CX66" s="44">
        <v>1.0</v>
      </c>
      <c r="CY66" s="44">
        <v>0.1</v>
      </c>
      <c r="CZ66" s="45"/>
      <c r="DA66" s="43"/>
      <c r="DB66" s="44">
        <v>0.0</v>
      </c>
      <c r="DC66" s="43"/>
      <c r="DD66" s="78"/>
      <c r="DE66" s="43"/>
      <c r="DF66" s="43"/>
      <c r="DG66" s="48" t="s">
        <v>128</v>
      </c>
      <c r="DH66" s="48" t="s">
        <v>131</v>
      </c>
      <c r="DI66" s="48" t="s">
        <v>188</v>
      </c>
      <c r="DJ66" s="49">
        <v>1.0</v>
      </c>
      <c r="DK66" s="48" t="b">
        <v>0</v>
      </c>
      <c r="DL66" s="50" t="s">
        <v>299</v>
      </c>
      <c r="DM66" s="50" t="s">
        <v>131</v>
      </c>
      <c r="DN66" s="50" t="s">
        <v>300</v>
      </c>
      <c r="DO66" s="49">
        <v>0.99</v>
      </c>
      <c r="DP66" s="51"/>
      <c r="DQ66" s="48" t="s">
        <v>188</v>
      </c>
      <c r="DR66" s="51"/>
      <c r="DS66" s="48" t="s">
        <v>134</v>
      </c>
    </row>
    <row r="67">
      <c r="A67" s="52" t="s">
        <v>118</v>
      </c>
      <c r="B67" s="53">
        <v>3.0</v>
      </c>
      <c r="C67" s="52" t="s">
        <v>119</v>
      </c>
      <c r="D67" s="53">
        <v>627274.0</v>
      </c>
      <c r="E67" s="52" t="s">
        <v>173</v>
      </c>
      <c r="F67" s="52" t="s">
        <v>303</v>
      </c>
      <c r="G67" s="52" t="s">
        <v>304</v>
      </c>
      <c r="H67" s="53">
        <v>37057.0</v>
      </c>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81"/>
      <c r="BU67" s="54"/>
      <c r="BV67" s="54"/>
      <c r="BW67" s="54"/>
      <c r="BX67" s="53">
        <v>1.0</v>
      </c>
      <c r="BY67" s="53" t="s">
        <v>123</v>
      </c>
      <c r="BZ67" s="87">
        <v>1.0</v>
      </c>
      <c r="CA67" s="72"/>
      <c r="CB67" s="82"/>
      <c r="CC67" s="31"/>
      <c r="CD67" s="58">
        <v>1.0</v>
      </c>
      <c r="CE67" s="83" t="s">
        <v>185</v>
      </c>
      <c r="CF67" s="60"/>
      <c r="CG67" s="61">
        <v>0.0</v>
      </c>
      <c r="CH67" s="84"/>
      <c r="CI67" s="63">
        <v>0.0</v>
      </c>
      <c r="CJ67" s="63">
        <v>2564.0</v>
      </c>
      <c r="CK67" s="64">
        <v>-40.0</v>
      </c>
      <c r="CL67" s="63">
        <v>2524.0</v>
      </c>
      <c r="CM67" s="65">
        <v>0.0</v>
      </c>
      <c r="CN67" s="63">
        <v>0.0</v>
      </c>
      <c r="CO67" s="66">
        <v>0.0</v>
      </c>
      <c r="CP67" s="67">
        <v>0.0</v>
      </c>
      <c r="CQ67" s="63">
        <v>0.0</v>
      </c>
      <c r="CR67" s="63">
        <v>0.0</v>
      </c>
      <c r="CS67" s="63">
        <v>0.0</v>
      </c>
      <c r="CT67" s="68"/>
      <c r="CU67" s="69"/>
      <c r="CV67" s="70"/>
      <c r="CW67" s="71">
        <v>1.0</v>
      </c>
      <c r="CX67" s="71">
        <v>1.0</v>
      </c>
      <c r="CY67" s="71">
        <v>0.1</v>
      </c>
      <c r="CZ67" s="45"/>
      <c r="DA67" s="43"/>
      <c r="DB67" s="44">
        <v>0.0</v>
      </c>
      <c r="DC67" s="43"/>
      <c r="DD67" s="78"/>
      <c r="DE67" s="43"/>
      <c r="DF67" s="43"/>
      <c r="DG67" s="48" t="s">
        <v>128</v>
      </c>
      <c r="DH67" s="48" t="s">
        <v>131</v>
      </c>
      <c r="DI67" s="48" t="s">
        <v>188</v>
      </c>
      <c r="DJ67" s="49">
        <v>1.0</v>
      </c>
      <c r="DK67" s="48" t="b">
        <v>0</v>
      </c>
      <c r="DL67" s="50" t="s">
        <v>305</v>
      </c>
      <c r="DM67" s="50" t="s">
        <v>131</v>
      </c>
      <c r="DN67" s="50" t="s">
        <v>306</v>
      </c>
      <c r="DO67" s="49">
        <v>0.99</v>
      </c>
      <c r="DP67" s="51"/>
      <c r="DQ67" s="48" t="s">
        <v>188</v>
      </c>
      <c r="DR67" s="51"/>
      <c r="DS67" s="48" t="s">
        <v>134</v>
      </c>
    </row>
    <row r="68">
      <c r="A68" s="23" t="s">
        <v>118</v>
      </c>
      <c r="B68" s="24">
        <v>3.0</v>
      </c>
      <c r="C68" s="23" t="s">
        <v>119</v>
      </c>
      <c r="D68" s="24">
        <v>648803.0</v>
      </c>
      <c r="E68" s="23" t="s">
        <v>189</v>
      </c>
      <c r="F68" s="23" t="s">
        <v>307</v>
      </c>
      <c r="G68" s="23" t="s">
        <v>308</v>
      </c>
      <c r="H68" s="24">
        <v>37057.0</v>
      </c>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7"/>
      <c r="BU68" s="26"/>
      <c r="BV68" s="26"/>
      <c r="BW68" s="26"/>
      <c r="BX68" s="24">
        <v>1.0</v>
      </c>
      <c r="BY68" s="24" t="s">
        <v>123</v>
      </c>
      <c r="BZ68" s="87">
        <v>1.0</v>
      </c>
      <c r="CA68" s="72"/>
      <c r="CB68" s="82"/>
      <c r="CC68" s="31"/>
      <c r="CD68" s="28">
        <v>1.0</v>
      </c>
      <c r="CE68" s="88" t="s">
        <v>185</v>
      </c>
      <c r="CF68" s="33"/>
      <c r="CG68" s="34">
        <v>0.0</v>
      </c>
      <c r="CH68" s="89"/>
      <c r="CI68" s="36">
        <v>0.0</v>
      </c>
      <c r="CJ68" s="36">
        <v>2564.0</v>
      </c>
      <c r="CK68" s="37">
        <v>-40.0</v>
      </c>
      <c r="CL68" s="36">
        <v>2524.0</v>
      </c>
      <c r="CM68" s="38">
        <v>0.0</v>
      </c>
      <c r="CN68" s="36">
        <v>0.0</v>
      </c>
      <c r="CO68" s="39">
        <v>0.0</v>
      </c>
      <c r="CP68" s="40">
        <v>0.0</v>
      </c>
      <c r="CQ68" s="36">
        <v>0.0</v>
      </c>
      <c r="CR68" s="36">
        <v>0.0</v>
      </c>
      <c r="CS68" s="36">
        <v>0.0</v>
      </c>
      <c r="CT68" s="41"/>
      <c r="CU68" s="42"/>
      <c r="CV68" s="43"/>
      <c r="CW68" s="44">
        <v>1.0</v>
      </c>
      <c r="CX68" s="44">
        <v>1.0</v>
      </c>
      <c r="CY68" s="44">
        <v>0.1</v>
      </c>
      <c r="CZ68" s="45"/>
      <c r="DA68" s="43"/>
      <c r="DB68" s="44">
        <v>0.0</v>
      </c>
      <c r="DC68" s="43"/>
      <c r="DD68" s="78"/>
      <c r="DE68" s="43"/>
      <c r="DF68" s="43"/>
      <c r="DG68" s="48" t="s">
        <v>128</v>
      </c>
      <c r="DH68" s="48" t="s">
        <v>131</v>
      </c>
      <c r="DI68" s="48" t="s">
        <v>188</v>
      </c>
      <c r="DJ68" s="49">
        <v>1.0</v>
      </c>
      <c r="DK68" s="48" t="b">
        <v>0</v>
      </c>
      <c r="DL68" s="50" t="s">
        <v>305</v>
      </c>
      <c r="DM68" s="50" t="s">
        <v>131</v>
      </c>
      <c r="DN68" s="50" t="s">
        <v>306</v>
      </c>
      <c r="DO68" s="49">
        <v>0.99</v>
      </c>
      <c r="DP68" s="51"/>
      <c r="DQ68" s="48" t="s">
        <v>188</v>
      </c>
      <c r="DR68" s="51"/>
      <c r="DS68" s="48" t="s">
        <v>134</v>
      </c>
    </row>
    <row r="69">
      <c r="A69" s="52" t="s">
        <v>118</v>
      </c>
      <c r="B69" s="53">
        <v>3.0</v>
      </c>
      <c r="C69" s="52" t="s">
        <v>119</v>
      </c>
      <c r="D69" s="53">
        <v>558730.0</v>
      </c>
      <c r="E69" s="52" t="s">
        <v>148</v>
      </c>
      <c r="F69" s="52" t="s">
        <v>309</v>
      </c>
      <c r="G69" s="52" t="s">
        <v>310</v>
      </c>
      <c r="H69" s="53">
        <v>37057.0</v>
      </c>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81"/>
      <c r="BU69" s="54"/>
      <c r="BV69" s="54"/>
      <c r="BW69" s="54"/>
      <c r="BX69" s="53">
        <v>1.0</v>
      </c>
      <c r="BY69" s="53" t="s">
        <v>123</v>
      </c>
      <c r="BZ69" s="87">
        <v>1.0</v>
      </c>
      <c r="CA69" s="72"/>
      <c r="CB69" s="82"/>
      <c r="CC69" s="31"/>
      <c r="CD69" s="58">
        <v>1.0</v>
      </c>
      <c r="CE69" s="83" t="s">
        <v>185</v>
      </c>
      <c r="CF69" s="60"/>
      <c r="CG69" s="61">
        <v>0.0</v>
      </c>
      <c r="CH69" s="84"/>
      <c r="CI69" s="63">
        <v>0.0</v>
      </c>
      <c r="CJ69" s="63">
        <v>2564.0</v>
      </c>
      <c r="CK69" s="64">
        <v>-40.0</v>
      </c>
      <c r="CL69" s="63">
        <v>2524.0</v>
      </c>
      <c r="CM69" s="65">
        <v>0.0</v>
      </c>
      <c r="CN69" s="63">
        <v>0.0</v>
      </c>
      <c r="CO69" s="66">
        <v>0.0</v>
      </c>
      <c r="CP69" s="67">
        <v>0.0</v>
      </c>
      <c r="CQ69" s="63">
        <v>0.0</v>
      </c>
      <c r="CR69" s="63">
        <v>0.0</v>
      </c>
      <c r="CS69" s="63">
        <v>0.0</v>
      </c>
      <c r="CT69" s="68"/>
      <c r="CU69" s="69"/>
      <c r="CV69" s="70"/>
      <c r="CW69" s="71">
        <v>1.0</v>
      </c>
      <c r="CX69" s="71">
        <v>1.0</v>
      </c>
      <c r="CY69" s="71">
        <v>0.1</v>
      </c>
      <c r="CZ69" s="45"/>
      <c r="DA69" s="43"/>
      <c r="DB69" s="44">
        <v>0.0</v>
      </c>
      <c r="DC69" s="43"/>
      <c r="DD69" s="78"/>
      <c r="DE69" s="43"/>
      <c r="DF69" s="43"/>
      <c r="DG69" s="48" t="s">
        <v>128</v>
      </c>
      <c r="DH69" s="48" t="s">
        <v>131</v>
      </c>
      <c r="DI69" s="48" t="s">
        <v>188</v>
      </c>
      <c r="DJ69" s="49">
        <v>1.0</v>
      </c>
      <c r="DK69" s="48" t="b">
        <v>0</v>
      </c>
      <c r="DL69" s="50" t="s">
        <v>305</v>
      </c>
      <c r="DM69" s="50" t="s">
        <v>131</v>
      </c>
      <c r="DN69" s="50" t="s">
        <v>306</v>
      </c>
      <c r="DO69" s="49">
        <v>0.99</v>
      </c>
      <c r="DP69" s="51"/>
      <c r="DQ69" s="48" t="s">
        <v>188</v>
      </c>
      <c r="DR69" s="51"/>
      <c r="DS69" s="48" t="s">
        <v>134</v>
      </c>
    </row>
    <row r="70">
      <c r="A70" s="23" t="s">
        <v>118</v>
      </c>
      <c r="B70" s="24">
        <v>3.0</v>
      </c>
      <c r="C70" s="23" t="s">
        <v>119</v>
      </c>
      <c r="D70" s="24">
        <v>631195.0</v>
      </c>
      <c r="E70" s="23" t="s">
        <v>140</v>
      </c>
      <c r="F70" s="23" t="s">
        <v>311</v>
      </c>
      <c r="G70" s="23" t="s">
        <v>312</v>
      </c>
      <c r="H70" s="24">
        <v>37057.0</v>
      </c>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7"/>
      <c r="BU70" s="26"/>
      <c r="BV70" s="26"/>
      <c r="BW70" s="26"/>
      <c r="BX70" s="24">
        <v>1.0</v>
      </c>
      <c r="BY70" s="24" t="s">
        <v>123</v>
      </c>
      <c r="BZ70" s="87">
        <v>1.0</v>
      </c>
      <c r="CA70" s="72"/>
      <c r="CB70" s="82"/>
      <c r="CC70" s="31"/>
      <c r="CD70" s="28">
        <v>1.0</v>
      </c>
      <c r="CE70" s="88" t="s">
        <v>185</v>
      </c>
      <c r="CF70" s="33"/>
      <c r="CG70" s="34">
        <v>0.0</v>
      </c>
      <c r="CH70" s="89"/>
      <c r="CI70" s="36">
        <v>0.0</v>
      </c>
      <c r="CJ70" s="36">
        <v>2564.0</v>
      </c>
      <c r="CK70" s="37">
        <v>-40.0</v>
      </c>
      <c r="CL70" s="36">
        <v>2524.0</v>
      </c>
      <c r="CM70" s="38">
        <v>0.0</v>
      </c>
      <c r="CN70" s="36">
        <v>0.0</v>
      </c>
      <c r="CO70" s="39">
        <v>0.0</v>
      </c>
      <c r="CP70" s="40">
        <v>0.0</v>
      </c>
      <c r="CQ70" s="36">
        <v>0.0</v>
      </c>
      <c r="CR70" s="36">
        <v>0.0</v>
      </c>
      <c r="CS70" s="36">
        <v>0.0</v>
      </c>
      <c r="CT70" s="41"/>
      <c r="CU70" s="42"/>
      <c r="CV70" s="43"/>
      <c r="CW70" s="44">
        <v>1.0</v>
      </c>
      <c r="CX70" s="44">
        <v>1.0</v>
      </c>
      <c r="CY70" s="44">
        <v>0.1</v>
      </c>
      <c r="CZ70" s="45"/>
      <c r="DA70" s="43"/>
      <c r="DB70" s="44">
        <v>0.0</v>
      </c>
      <c r="DC70" s="43"/>
      <c r="DD70" s="78"/>
      <c r="DE70" s="43"/>
      <c r="DF70" s="43"/>
      <c r="DG70" s="48" t="s">
        <v>128</v>
      </c>
      <c r="DH70" s="48" t="s">
        <v>131</v>
      </c>
      <c r="DI70" s="48" t="s">
        <v>188</v>
      </c>
      <c r="DJ70" s="49">
        <v>1.0</v>
      </c>
      <c r="DK70" s="48" t="b">
        <v>0</v>
      </c>
      <c r="DL70" s="50" t="s">
        <v>305</v>
      </c>
      <c r="DM70" s="50" t="s">
        <v>131</v>
      </c>
      <c r="DN70" s="50" t="s">
        <v>306</v>
      </c>
      <c r="DO70" s="49">
        <v>0.99</v>
      </c>
      <c r="DP70" s="51"/>
      <c r="DQ70" s="48" t="s">
        <v>188</v>
      </c>
      <c r="DR70" s="51"/>
      <c r="DS70" s="48" t="s">
        <v>134</v>
      </c>
    </row>
    <row r="71">
      <c r="A71" s="52" t="s">
        <v>118</v>
      </c>
      <c r="B71" s="53">
        <v>3.0</v>
      </c>
      <c r="C71" s="52" t="s">
        <v>119</v>
      </c>
      <c r="D71" s="53">
        <v>576393.0</v>
      </c>
      <c r="E71" s="52" t="s">
        <v>164</v>
      </c>
      <c r="F71" s="52" t="s">
        <v>313</v>
      </c>
      <c r="G71" s="52" t="s">
        <v>314</v>
      </c>
      <c r="H71" s="53">
        <v>37057.0</v>
      </c>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81"/>
      <c r="BU71" s="54"/>
      <c r="BV71" s="54"/>
      <c r="BW71" s="54"/>
      <c r="BX71" s="53">
        <v>1.0</v>
      </c>
      <c r="BY71" s="53" t="s">
        <v>123</v>
      </c>
      <c r="BZ71" s="87">
        <v>1.0</v>
      </c>
      <c r="CA71" s="72"/>
      <c r="CB71" s="82"/>
      <c r="CC71" s="31"/>
      <c r="CD71" s="58">
        <v>1.0</v>
      </c>
      <c r="CE71" s="83" t="s">
        <v>185</v>
      </c>
      <c r="CF71" s="60"/>
      <c r="CG71" s="61">
        <v>0.0</v>
      </c>
      <c r="CH71" s="84"/>
      <c r="CI71" s="63">
        <v>0.0</v>
      </c>
      <c r="CJ71" s="63">
        <v>2564.0</v>
      </c>
      <c r="CK71" s="64">
        <v>-40.0</v>
      </c>
      <c r="CL71" s="63">
        <v>2524.0</v>
      </c>
      <c r="CM71" s="65">
        <v>0.0</v>
      </c>
      <c r="CN71" s="63">
        <v>0.0</v>
      </c>
      <c r="CO71" s="66">
        <v>0.0</v>
      </c>
      <c r="CP71" s="67">
        <v>0.0</v>
      </c>
      <c r="CQ71" s="63">
        <v>0.0</v>
      </c>
      <c r="CR71" s="63">
        <v>0.0</v>
      </c>
      <c r="CS71" s="63">
        <v>0.0</v>
      </c>
      <c r="CT71" s="68"/>
      <c r="CU71" s="69"/>
      <c r="CV71" s="70"/>
      <c r="CW71" s="71">
        <v>1.0</v>
      </c>
      <c r="CX71" s="71">
        <v>1.0</v>
      </c>
      <c r="CY71" s="71">
        <v>0.1</v>
      </c>
      <c r="CZ71" s="45"/>
      <c r="DA71" s="43"/>
      <c r="DB71" s="44">
        <v>0.0</v>
      </c>
      <c r="DC71" s="43"/>
      <c r="DD71" s="78"/>
      <c r="DE71" s="43"/>
      <c r="DF71" s="43"/>
      <c r="DG71" s="48" t="s">
        <v>128</v>
      </c>
      <c r="DH71" s="48" t="s">
        <v>131</v>
      </c>
      <c r="DI71" s="48" t="s">
        <v>188</v>
      </c>
      <c r="DJ71" s="49">
        <v>1.0</v>
      </c>
      <c r="DK71" s="48" t="b">
        <v>0</v>
      </c>
      <c r="DL71" s="50" t="s">
        <v>305</v>
      </c>
      <c r="DM71" s="50" t="s">
        <v>131</v>
      </c>
      <c r="DN71" s="50" t="s">
        <v>306</v>
      </c>
      <c r="DO71" s="49">
        <v>0.99</v>
      </c>
      <c r="DP71" s="51"/>
      <c r="DQ71" s="48" t="s">
        <v>188</v>
      </c>
      <c r="DR71" s="51"/>
      <c r="DS71" s="48" t="s">
        <v>134</v>
      </c>
    </row>
    <row r="72">
      <c r="A72" s="23" t="s">
        <v>118</v>
      </c>
      <c r="B72" s="24">
        <v>3.0</v>
      </c>
      <c r="C72" s="23" t="s">
        <v>119</v>
      </c>
      <c r="D72" s="24">
        <v>648801.0</v>
      </c>
      <c r="E72" s="23" t="s">
        <v>198</v>
      </c>
      <c r="F72" s="23" t="s">
        <v>315</v>
      </c>
      <c r="G72" s="23" t="s">
        <v>316</v>
      </c>
      <c r="H72" s="24">
        <v>37057.0</v>
      </c>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7"/>
      <c r="BU72" s="26"/>
      <c r="BV72" s="26"/>
      <c r="BW72" s="26"/>
      <c r="BX72" s="24">
        <v>1.0</v>
      </c>
      <c r="BY72" s="24" t="s">
        <v>123</v>
      </c>
      <c r="BZ72" s="87">
        <v>1.0</v>
      </c>
      <c r="CA72" s="72"/>
      <c r="CB72" s="82"/>
      <c r="CC72" s="31"/>
      <c r="CD72" s="28">
        <v>1.0</v>
      </c>
      <c r="CE72" s="88" t="s">
        <v>185</v>
      </c>
      <c r="CF72" s="33"/>
      <c r="CG72" s="34">
        <v>0.0</v>
      </c>
      <c r="CH72" s="89"/>
      <c r="CI72" s="36">
        <v>0.0</v>
      </c>
      <c r="CJ72" s="36">
        <v>2564.0</v>
      </c>
      <c r="CK72" s="37">
        <v>-40.0</v>
      </c>
      <c r="CL72" s="36">
        <v>2524.0</v>
      </c>
      <c r="CM72" s="38">
        <v>0.0</v>
      </c>
      <c r="CN72" s="36">
        <v>0.0</v>
      </c>
      <c r="CO72" s="39">
        <v>0.0</v>
      </c>
      <c r="CP72" s="40">
        <v>0.0</v>
      </c>
      <c r="CQ72" s="36">
        <v>0.0</v>
      </c>
      <c r="CR72" s="36">
        <v>0.0</v>
      </c>
      <c r="CS72" s="36">
        <v>0.0</v>
      </c>
      <c r="CT72" s="41"/>
      <c r="CU72" s="42"/>
      <c r="CV72" s="43"/>
      <c r="CW72" s="44">
        <v>1.0</v>
      </c>
      <c r="CX72" s="44">
        <v>1.0</v>
      </c>
      <c r="CY72" s="44">
        <v>0.1</v>
      </c>
      <c r="CZ72" s="45"/>
      <c r="DA72" s="43"/>
      <c r="DB72" s="44">
        <v>0.0</v>
      </c>
      <c r="DC72" s="43"/>
      <c r="DD72" s="78"/>
      <c r="DE72" s="43"/>
      <c r="DF72" s="43"/>
      <c r="DG72" s="48" t="s">
        <v>128</v>
      </c>
      <c r="DH72" s="48" t="s">
        <v>131</v>
      </c>
      <c r="DI72" s="48" t="s">
        <v>188</v>
      </c>
      <c r="DJ72" s="49">
        <v>1.0</v>
      </c>
      <c r="DK72" s="48" t="b">
        <v>0</v>
      </c>
      <c r="DL72" s="50" t="s">
        <v>305</v>
      </c>
      <c r="DM72" s="50" t="s">
        <v>131</v>
      </c>
      <c r="DN72" s="50" t="s">
        <v>306</v>
      </c>
      <c r="DO72" s="49">
        <v>0.99</v>
      </c>
      <c r="DP72" s="51"/>
      <c r="DQ72" s="48" t="s">
        <v>188</v>
      </c>
      <c r="DR72" s="51"/>
      <c r="DS72" s="48" t="s">
        <v>134</v>
      </c>
    </row>
    <row r="73">
      <c r="A73" s="52" t="s">
        <v>118</v>
      </c>
      <c r="B73" s="53">
        <v>3.0</v>
      </c>
      <c r="C73" s="52" t="s">
        <v>119</v>
      </c>
      <c r="D73" s="53">
        <v>588071.0</v>
      </c>
      <c r="E73" s="52" t="s">
        <v>152</v>
      </c>
      <c r="F73" s="52" t="s">
        <v>317</v>
      </c>
      <c r="G73" s="52" t="s">
        <v>318</v>
      </c>
      <c r="H73" s="53">
        <v>37057.0</v>
      </c>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81"/>
      <c r="BU73" s="54"/>
      <c r="BV73" s="54"/>
      <c r="BW73" s="54"/>
      <c r="BX73" s="53">
        <v>1.0</v>
      </c>
      <c r="BY73" s="53" t="s">
        <v>123</v>
      </c>
      <c r="BZ73" s="87">
        <v>1.0</v>
      </c>
      <c r="CA73" s="72"/>
      <c r="CB73" s="82"/>
      <c r="CC73" s="31"/>
      <c r="CD73" s="58">
        <v>1.0</v>
      </c>
      <c r="CE73" s="83" t="s">
        <v>185</v>
      </c>
      <c r="CF73" s="60"/>
      <c r="CG73" s="61">
        <v>0.0</v>
      </c>
      <c r="CH73" s="84"/>
      <c r="CI73" s="63">
        <v>0.0</v>
      </c>
      <c r="CJ73" s="63">
        <v>2564.0</v>
      </c>
      <c r="CK73" s="64">
        <v>-40.0</v>
      </c>
      <c r="CL73" s="63">
        <v>2524.0</v>
      </c>
      <c r="CM73" s="65">
        <v>0.0</v>
      </c>
      <c r="CN73" s="63">
        <v>0.0</v>
      </c>
      <c r="CO73" s="66">
        <v>0.0</v>
      </c>
      <c r="CP73" s="67">
        <v>0.0</v>
      </c>
      <c r="CQ73" s="63">
        <v>0.0</v>
      </c>
      <c r="CR73" s="63">
        <v>0.0</v>
      </c>
      <c r="CS73" s="63">
        <v>0.0</v>
      </c>
      <c r="CT73" s="68"/>
      <c r="CU73" s="69"/>
      <c r="CV73" s="70"/>
      <c r="CW73" s="71">
        <v>1.0</v>
      </c>
      <c r="CX73" s="71">
        <v>1.0</v>
      </c>
      <c r="CY73" s="71">
        <v>0.1</v>
      </c>
      <c r="CZ73" s="45"/>
      <c r="DA73" s="43"/>
      <c r="DB73" s="44">
        <v>0.0</v>
      </c>
      <c r="DC73" s="43"/>
      <c r="DD73" s="78"/>
      <c r="DE73" s="43"/>
      <c r="DF73" s="43"/>
      <c r="DG73" s="48" t="s">
        <v>128</v>
      </c>
      <c r="DH73" s="48" t="s">
        <v>131</v>
      </c>
      <c r="DI73" s="48" t="s">
        <v>188</v>
      </c>
      <c r="DJ73" s="49">
        <v>1.0</v>
      </c>
      <c r="DK73" s="48" t="b">
        <v>0</v>
      </c>
      <c r="DL73" s="50" t="s">
        <v>305</v>
      </c>
      <c r="DM73" s="50" t="s">
        <v>131</v>
      </c>
      <c r="DN73" s="50" t="s">
        <v>306</v>
      </c>
      <c r="DO73" s="49">
        <v>0.99</v>
      </c>
      <c r="DP73" s="51"/>
      <c r="DQ73" s="48" t="s">
        <v>188</v>
      </c>
      <c r="DR73" s="51"/>
      <c r="DS73" s="48" t="s">
        <v>134</v>
      </c>
    </row>
    <row r="74">
      <c r="A74" s="23" t="s">
        <v>118</v>
      </c>
      <c r="B74" s="24">
        <v>3.0</v>
      </c>
      <c r="C74" s="23" t="s">
        <v>119</v>
      </c>
      <c r="D74" s="24">
        <v>640888.0</v>
      </c>
      <c r="E74" s="23" t="s">
        <v>161</v>
      </c>
      <c r="F74" s="23" t="s">
        <v>319</v>
      </c>
      <c r="G74" s="23" t="s">
        <v>320</v>
      </c>
      <c r="H74" s="24">
        <v>37057.0</v>
      </c>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7"/>
      <c r="BU74" s="26"/>
      <c r="BV74" s="26"/>
      <c r="BW74" s="26"/>
      <c r="BX74" s="24">
        <v>1.0</v>
      </c>
      <c r="BY74" s="24" t="s">
        <v>123</v>
      </c>
      <c r="BZ74" s="87">
        <v>1.0</v>
      </c>
      <c r="CA74" s="72"/>
      <c r="CB74" s="82"/>
      <c r="CC74" s="31"/>
      <c r="CD74" s="28">
        <v>1.0</v>
      </c>
      <c r="CE74" s="88" t="s">
        <v>185</v>
      </c>
      <c r="CF74" s="33"/>
      <c r="CG74" s="34">
        <v>0.0</v>
      </c>
      <c r="CH74" s="89"/>
      <c r="CI74" s="36">
        <v>0.0</v>
      </c>
      <c r="CJ74" s="36">
        <v>2564.0</v>
      </c>
      <c r="CK74" s="37">
        <v>-40.0</v>
      </c>
      <c r="CL74" s="36">
        <v>2524.0</v>
      </c>
      <c r="CM74" s="38">
        <v>0.0</v>
      </c>
      <c r="CN74" s="36">
        <v>0.0</v>
      </c>
      <c r="CO74" s="39">
        <v>0.0</v>
      </c>
      <c r="CP74" s="40">
        <v>0.0</v>
      </c>
      <c r="CQ74" s="36">
        <v>0.0</v>
      </c>
      <c r="CR74" s="36">
        <v>0.0</v>
      </c>
      <c r="CS74" s="36">
        <v>0.0</v>
      </c>
      <c r="CT74" s="41"/>
      <c r="CU74" s="42"/>
      <c r="CV74" s="43"/>
      <c r="CW74" s="44">
        <v>1.0</v>
      </c>
      <c r="CX74" s="44">
        <v>1.0</v>
      </c>
      <c r="CY74" s="44">
        <v>0.1</v>
      </c>
      <c r="CZ74" s="45"/>
      <c r="DA74" s="43"/>
      <c r="DB74" s="44">
        <v>0.0</v>
      </c>
      <c r="DC74" s="43"/>
      <c r="DD74" s="78"/>
      <c r="DE74" s="43"/>
      <c r="DF74" s="43"/>
      <c r="DG74" s="48" t="s">
        <v>128</v>
      </c>
      <c r="DH74" s="48" t="s">
        <v>131</v>
      </c>
      <c r="DI74" s="48" t="s">
        <v>188</v>
      </c>
      <c r="DJ74" s="49">
        <v>1.0</v>
      </c>
      <c r="DK74" s="48" t="b">
        <v>0</v>
      </c>
      <c r="DL74" s="50" t="s">
        <v>305</v>
      </c>
      <c r="DM74" s="50" t="s">
        <v>131</v>
      </c>
      <c r="DN74" s="50" t="s">
        <v>306</v>
      </c>
      <c r="DO74" s="49">
        <v>0.99</v>
      </c>
      <c r="DP74" s="51"/>
      <c r="DQ74" s="48" t="s">
        <v>188</v>
      </c>
      <c r="DR74" s="51"/>
      <c r="DS74" s="48" t="s">
        <v>134</v>
      </c>
    </row>
    <row r="75">
      <c r="A75" s="52" t="s">
        <v>118</v>
      </c>
      <c r="B75" s="53">
        <v>3.0</v>
      </c>
      <c r="C75" s="52" t="s">
        <v>119</v>
      </c>
      <c r="D75" s="53">
        <v>648806.0</v>
      </c>
      <c r="E75" s="52" t="s">
        <v>179</v>
      </c>
      <c r="F75" s="52" t="s">
        <v>321</v>
      </c>
      <c r="G75" s="52" t="s">
        <v>322</v>
      </c>
      <c r="H75" s="53">
        <v>37057.0</v>
      </c>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81"/>
      <c r="BU75" s="54"/>
      <c r="BV75" s="54"/>
      <c r="BW75" s="54"/>
      <c r="BX75" s="53">
        <v>1.0</v>
      </c>
      <c r="BY75" s="53" t="s">
        <v>123</v>
      </c>
      <c r="BZ75" s="87">
        <v>1.0</v>
      </c>
      <c r="CA75" s="72"/>
      <c r="CB75" s="82"/>
      <c r="CC75" s="31"/>
      <c r="CD75" s="58">
        <v>1.0</v>
      </c>
      <c r="CE75" s="83" t="s">
        <v>185</v>
      </c>
      <c r="CF75" s="60"/>
      <c r="CG75" s="61">
        <v>0.0</v>
      </c>
      <c r="CH75" s="84"/>
      <c r="CI75" s="63">
        <v>0.0</v>
      </c>
      <c r="CJ75" s="63">
        <v>2564.0</v>
      </c>
      <c r="CK75" s="64">
        <v>-40.0</v>
      </c>
      <c r="CL75" s="63">
        <v>2524.0</v>
      </c>
      <c r="CM75" s="65">
        <v>0.0</v>
      </c>
      <c r="CN75" s="63">
        <v>0.0</v>
      </c>
      <c r="CO75" s="66">
        <v>0.0</v>
      </c>
      <c r="CP75" s="67">
        <v>0.0</v>
      </c>
      <c r="CQ75" s="63">
        <v>0.0</v>
      </c>
      <c r="CR75" s="63">
        <v>0.0</v>
      </c>
      <c r="CS75" s="63">
        <v>0.0</v>
      </c>
      <c r="CT75" s="68"/>
      <c r="CU75" s="69"/>
      <c r="CV75" s="70"/>
      <c r="CW75" s="71">
        <v>1.0</v>
      </c>
      <c r="CX75" s="71">
        <v>1.0</v>
      </c>
      <c r="CY75" s="71">
        <v>0.1</v>
      </c>
      <c r="CZ75" s="45"/>
      <c r="DA75" s="43"/>
      <c r="DB75" s="44">
        <v>0.0</v>
      </c>
      <c r="DC75" s="43"/>
      <c r="DD75" s="78"/>
      <c r="DE75" s="43"/>
      <c r="DF75" s="43"/>
      <c r="DG75" s="48" t="s">
        <v>128</v>
      </c>
      <c r="DH75" s="48" t="s">
        <v>131</v>
      </c>
      <c r="DI75" s="48" t="s">
        <v>188</v>
      </c>
      <c r="DJ75" s="49">
        <v>1.0</v>
      </c>
      <c r="DK75" s="48" t="b">
        <v>0</v>
      </c>
      <c r="DL75" s="50" t="s">
        <v>305</v>
      </c>
      <c r="DM75" s="50" t="s">
        <v>131</v>
      </c>
      <c r="DN75" s="50" t="s">
        <v>306</v>
      </c>
      <c r="DO75" s="49">
        <v>0.99</v>
      </c>
      <c r="DP75" s="51"/>
      <c r="DQ75" s="48" t="s">
        <v>188</v>
      </c>
      <c r="DR75" s="51"/>
      <c r="DS75" s="48" t="s">
        <v>134</v>
      </c>
    </row>
    <row r="76">
      <c r="A76" s="23" t="s">
        <v>118</v>
      </c>
      <c r="B76" s="24">
        <v>3.0</v>
      </c>
      <c r="C76" s="23" t="s">
        <v>119</v>
      </c>
      <c r="D76" s="24">
        <v>536832.0</v>
      </c>
      <c r="E76" s="23" t="s">
        <v>158</v>
      </c>
      <c r="F76" s="23" t="s">
        <v>323</v>
      </c>
      <c r="G76" s="23" t="s">
        <v>324</v>
      </c>
      <c r="H76" s="24">
        <v>39928.0</v>
      </c>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7"/>
      <c r="BU76" s="26"/>
      <c r="BV76" s="26"/>
      <c r="BW76" s="26"/>
      <c r="BX76" s="24">
        <v>2400.0</v>
      </c>
      <c r="BY76" s="24" t="s">
        <v>123</v>
      </c>
      <c r="BZ76" s="28">
        <v>2400.0</v>
      </c>
      <c r="CA76" s="72"/>
      <c r="CB76" s="82"/>
      <c r="CC76" s="31"/>
      <c r="CD76" s="28">
        <v>2400.0</v>
      </c>
      <c r="CE76" s="88" t="s">
        <v>185</v>
      </c>
      <c r="CF76" s="33"/>
      <c r="CG76" s="34">
        <v>0.0</v>
      </c>
      <c r="CH76" s="89"/>
      <c r="CI76" s="36">
        <v>0.0</v>
      </c>
      <c r="CJ76" s="36">
        <v>1434.0</v>
      </c>
      <c r="CK76" s="93">
        <f>+15</f>
        <v>15</v>
      </c>
      <c r="CL76" s="36">
        <v>1449.0</v>
      </c>
      <c r="CM76" s="38">
        <v>0.0</v>
      </c>
      <c r="CN76" s="36">
        <v>0.0</v>
      </c>
      <c r="CO76" s="39">
        <v>0.0</v>
      </c>
      <c r="CP76" s="40">
        <v>0.0</v>
      </c>
      <c r="CQ76" s="36">
        <v>0.0</v>
      </c>
      <c r="CR76" s="36">
        <v>0.0</v>
      </c>
      <c r="CS76" s="36">
        <v>0.0</v>
      </c>
      <c r="CT76" s="41"/>
      <c r="CU76" s="42"/>
      <c r="CV76" s="43"/>
      <c r="CW76" s="44">
        <v>8.0</v>
      </c>
      <c r="CX76" s="44" t="s">
        <v>125</v>
      </c>
      <c r="CY76" s="44" t="s">
        <v>126</v>
      </c>
      <c r="CZ76" s="45"/>
      <c r="DA76" s="43"/>
      <c r="DB76" s="44">
        <v>0.0</v>
      </c>
      <c r="DC76" s="43"/>
      <c r="DD76" s="78"/>
      <c r="DE76" s="43"/>
      <c r="DF76" s="43"/>
      <c r="DG76" s="48" t="s">
        <v>128</v>
      </c>
      <c r="DH76" s="48" t="s">
        <v>128</v>
      </c>
      <c r="DI76" s="48" t="s">
        <v>196</v>
      </c>
      <c r="DJ76" s="49">
        <v>1.0</v>
      </c>
      <c r="DK76" s="48" t="b">
        <v>0</v>
      </c>
      <c r="DL76" s="50" t="s">
        <v>325</v>
      </c>
      <c r="DM76" s="50" t="s">
        <v>131</v>
      </c>
      <c r="DN76" s="50" t="s">
        <v>326</v>
      </c>
      <c r="DO76" s="49">
        <v>0.83</v>
      </c>
      <c r="DP76" s="48" t="s">
        <v>245</v>
      </c>
      <c r="DQ76" s="48" t="s">
        <v>196</v>
      </c>
      <c r="DR76" s="51"/>
      <c r="DS76" s="48" t="s">
        <v>134</v>
      </c>
    </row>
    <row r="77">
      <c r="A77" s="52" t="s">
        <v>118</v>
      </c>
      <c r="B77" s="53">
        <v>3.0</v>
      </c>
      <c r="C77" s="52" t="s">
        <v>119</v>
      </c>
      <c r="D77" s="53">
        <v>536832.0</v>
      </c>
      <c r="E77" s="52" t="s">
        <v>158</v>
      </c>
      <c r="F77" s="52" t="s">
        <v>327</v>
      </c>
      <c r="G77" s="52" t="s">
        <v>328</v>
      </c>
      <c r="H77" s="53">
        <v>45072.0</v>
      </c>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81"/>
      <c r="BU77" s="54"/>
      <c r="BV77" s="54"/>
      <c r="BW77" s="54"/>
      <c r="BX77" s="53">
        <v>1.0</v>
      </c>
      <c r="BY77" s="53" t="s">
        <v>123</v>
      </c>
      <c r="BZ77" s="87">
        <v>1.0</v>
      </c>
      <c r="CA77" s="72"/>
      <c r="CB77" s="82"/>
      <c r="CC77" s="31"/>
      <c r="CD77" s="58">
        <v>1.0</v>
      </c>
      <c r="CE77" s="83" t="s">
        <v>185</v>
      </c>
      <c r="CF77" s="60"/>
      <c r="CG77" s="61">
        <v>0.0</v>
      </c>
      <c r="CH77" s="84"/>
      <c r="CI77" s="63">
        <v>0.0</v>
      </c>
      <c r="CJ77" s="63">
        <v>3932.0</v>
      </c>
      <c r="CK77" s="64">
        <v>-91.0</v>
      </c>
      <c r="CL77" s="63">
        <v>3841.0</v>
      </c>
      <c r="CM77" s="65">
        <v>0.0</v>
      </c>
      <c r="CN77" s="63">
        <v>0.0</v>
      </c>
      <c r="CO77" s="66">
        <v>0.0</v>
      </c>
      <c r="CP77" s="67">
        <v>0.0</v>
      </c>
      <c r="CQ77" s="63">
        <v>0.0</v>
      </c>
      <c r="CR77" s="63">
        <v>0.0</v>
      </c>
      <c r="CS77" s="63">
        <v>0.0</v>
      </c>
      <c r="CT77" s="68"/>
      <c r="CU77" s="69"/>
      <c r="CV77" s="70"/>
      <c r="CW77" s="71">
        <v>1.0</v>
      </c>
      <c r="CX77" s="71">
        <v>1.0</v>
      </c>
      <c r="CY77" s="71">
        <v>0.1</v>
      </c>
      <c r="CZ77" s="45"/>
      <c r="DA77" s="43"/>
      <c r="DB77" s="44">
        <v>0.0</v>
      </c>
      <c r="DC77" s="43"/>
      <c r="DD77" s="78"/>
      <c r="DE77" s="43"/>
      <c r="DF77" s="43"/>
      <c r="DG77" s="48" t="s">
        <v>128</v>
      </c>
      <c r="DH77" s="48" t="s">
        <v>131</v>
      </c>
      <c r="DI77" s="48" t="s">
        <v>188</v>
      </c>
      <c r="DJ77" s="49">
        <v>1.0</v>
      </c>
      <c r="DK77" s="48" t="b">
        <v>0</v>
      </c>
      <c r="DL77" s="50" t="s">
        <v>329</v>
      </c>
      <c r="DM77" s="50" t="s">
        <v>131</v>
      </c>
      <c r="DN77" s="50" t="s">
        <v>330</v>
      </c>
      <c r="DO77" s="49">
        <v>0.8</v>
      </c>
      <c r="DP77" s="51"/>
      <c r="DQ77" s="48" t="s">
        <v>188</v>
      </c>
      <c r="DR77" s="51"/>
      <c r="DS77" s="48" t="s">
        <v>134</v>
      </c>
    </row>
    <row r="78">
      <c r="A78" s="23" t="s">
        <v>118</v>
      </c>
      <c r="B78" s="24">
        <v>3.0</v>
      </c>
      <c r="C78" s="23" t="s">
        <v>119</v>
      </c>
      <c r="D78" s="24">
        <v>627274.0</v>
      </c>
      <c r="E78" s="23" t="s">
        <v>173</v>
      </c>
      <c r="F78" s="23" t="s">
        <v>331</v>
      </c>
      <c r="G78" s="23" t="s">
        <v>332</v>
      </c>
      <c r="H78" s="24">
        <v>77084.0</v>
      </c>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7"/>
      <c r="BU78" s="26"/>
      <c r="BV78" s="26"/>
      <c r="BW78" s="26"/>
      <c r="BX78" s="24">
        <v>1.0</v>
      </c>
      <c r="BY78" s="24" t="s">
        <v>123</v>
      </c>
      <c r="BZ78" s="87">
        <v>1.0</v>
      </c>
      <c r="CA78" s="72"/>
      <c r="CB78" s="82"/>
      <c r="CC78" s="31"/>
      <c r="CD78" s="28">
        <v>1.0</v>
      </c>
      <c r="CE78" s="88" t="s">
        <v>185</v>
      </c>
      <c r="CF78" s="33"/>
      <c r="CG78" s="34">
        <v>0.0</v>
      </c>
      <c r="CH78" s="89"/>
      <c r="CI78" s="36">
        <v>0.0</v>
      </c>
      <c r="CJ78" s="36">
        <v>450.0</v>
      </c>
      <c r="CK78" s="37">
        <v>-16.0</v>
      </c>
      <c r="CL78" s="36">
        <v>434.0</v>
      </c>
      <c r="CM78" s="38">
        <v>0.0</v>
      </c>
      <c r="CN78" s="36">
        <v>0.0</v>
      </c>
      <c r="CO78" s="39">
        <v>0.0</v>
      </c>
      <c r="CP78" s="40">
        <v>0.0</v>
      </c>
      <c r="CQ78" s="36">
        <v>0.0</v>
      </c>
      <c r="CR78" s="36">
        <v>0.0</v>
      </c>
      <c r="CS78" s="36">
        <v>0.0</v>
      </c>
      <c r="CT78" s="41"/>
      <c r="CU78" s="42"/>
      <c r="CV78" s="43"/>
      <c r="CW78" s="44">
        <v>1.0</v>
      </c>
      <c r="CX78" s="44">
        <v>1.0</v>
      </c>
      <c r="CY78" s="44">
        <v>0.1</v>
      </c>
      <c r="CZ78" s="45"/>
      <c r="DA78" s="43"/>
      <c r="DB78" s="44">
        <v>0.0</v>
      </c>
      <c r="DC78" s="43"/>
      <c r="DD78" s="78"/>
      <c r="DE78" s="43"/>
      <c r="DF78" s="43"/>
      <c r="DG78" s="48" t="s">
        <v>128</v>
      </c>
      <c r="DH78" s="48" t="s">
        <v>131</v>
      </c>
      <c r="DI78" s="48" t="s">
        <v>188</v>
      </c>
      <c r="DJ78" s="49">
        <v>1.0</v>
      </c>
      <c r="DK78" s="48" t="b">
        <v>0</v>
      </c>
      <c r="DL78" s="50" t="s">
        <v>333</v>
      </c>
      <c r="DM78" s="50" t="s">
        <v>131</v>
      </c>
      <c r="DN78" s="50" t="s">
        <v>334</v>
      </c>
      <c r="DO78" s="49">
        <v>0.06</v>
      </c>
      <c r="DP78" s="51"/>
      <c r="DQ78" s="48" t="s">
        <v>188</v>
      </c>
      <c r="DR78" s="51"/>
      <c r="DS78" s="48" t="s">
        <v>134</v>
      </c>
    </row>
    <row r="79">
      <c r="A79" s="52" t="s">
        <v>118</v>
      </c>
      <c r="B79" s="53">
        <v>3.0</v>
      </c>
      <c r="C79" s="52" t="s">
        <v>119</v>
      </c>
      <c r="D79" s="53">
        <v>576393.0</v>
      </c>
      <c r="E79" s="52" t="s">
        <v>164</v>
      </c>
      <c r="F79" s="52" t="s">
        <v>335</v>
      </c>
      <c r="G79" s="52" t="s">
        <v>336</v>
      </c>
      <c r="H79" s="53">
        <v>77084.0</v>
      </c>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81"/>
      <c r="BU79" s="54"/>
      <c r="BV79" s="54"/>
      <c r="BW79" s="54"/>
      <c r="BX79" s="53">
        <v>1.0</v>
      </c>
      <c r="BY79" s="53" t="s">
        <v>123</v>
      </c>
      <c r="BZ79" s="87">
        <v>1.0</v>
      </c>
      <c r="CA79" s="72"/>
      <c r="CB79" s="82"/>
      <c r="CC79" s="31"/>
      <c r="CD79" s="58">
        <v>1.0</v>
      </c>
      <c r="CE79" s="83" t="s">
        <v>185</v>
      </c>
      <c r="CF79" s="60"/>
      <c r="CG79" s="61">
        <v>0.0</v>
      </c>
      <c r="CH79" s="84"/>
      <c r="CI79" s="63">
        <v>0.0</v>
      </c>
      <c r="CJ79" s="63">
        <v>450.0</v>
      </c>
      <c r="CK79" s="64">
        <v>-16.0</v>
      </c>
      <c r="CL79" s="63">
        <v>434.0</v>
      </c>
      <c r="CM79" s="65">
        <v>0.0</v>
      </c>
      <c r="CN79" s="63">
        <v>0.0</v>
      </c>
      <c r="CO79" s="66">
        <v>0.0</v>
      </c>
      <c r="CP79" s="67">
        <v>0.0</v>
      </c>
      <c r="CQ79" s="63">
        <v>0.0</v>
      </c>
      <c r="CR79" s="63">
        <v>0.0</v>
      </c>
      <c r="CS79" s="63">
        <v>0.0</v>
      </c>
      <c r="CT79" s="68"/>
      <c r="CU79" s="69"/>
      <c r="CV79" s="70"/>
      <c r="CW79" s="71">
        <v>1.0</v>
      </c>
      <c r="CX79" s="71">
        <v>1.0</v>
      </c>
      <c r="CY79" s="71">
        <v>0.1</v>
      </c>
      <c r="CZ79" s="45"/>
      <c r="DA79" s="43"/>
      <c r="DB79" s="44">
        <v>0.0</v>
      </c>
      <c r="DC79" s="43"/>
      <c r="DD79" s="78"/>
      <c r="DE79" s="43"/>
      <c r="DF79" s="43"/>
      <c r="DG79" s="48" t="s">
        <v>128</v>
      </c>
      <c r="DH79" s="48" t="s">
        <v>131</v>
      </c>
      <c r="DI79" s="48" t="s">
        <v>188</v>
      </c>
      <c r="DJ79" s="49">
        <v>1.0</v>
      </c>
      <c r="DK79" s="48" t="b">
        <v>0</v>
      </c>
      <c r="DL79" s="50" t="s">
        <v>333</v>
      </c>
      <c r="DM79" s="50" t="s">
        <v>131</v>
      </c>
      <c r="DN79" s="50" t="s">
        <v>334</v>
      </c>
      <c r="DO79" s="49">
        <v>0.06</v>
      </c>
      <c r="DP79" s="51"/>
      <c r="DQ79" s="48" t="s">
        <v>188</v>
      </c>
      <c r="DR79" s="51"/>
      <c r="DS79" s="48" t="s">
        <v>134</v>
      </c>
    </row>
    <row r="80">
      <c r="A80" s="23" t="s">
        <v>118</v>
      </c>
      <c r="B80" s="24">
        <v>3.0</v>
      </c>
      <c r="C80" s="23" t="s">
        <v>119</v>
      </c>
      <c r="D80" s="24">
        <v>626041.0</v>
      </c>
      <c r="E80" s="23" t="s">
        <v>135</v>
      </c>
      <c r="F80" s="23" t="s">
        <v>337</v>
      </c>
      <c r="G80" s="23" t="s">
        <v>338</v>
      </c>
      <c r="H80" s="24">
        <v>77084.0</v>
      </c>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7"/>
      <c r="BU80" s="26"/>
      <c r="BV80" s="26"/>
      <c r="BW80" s="26"/>
      <c r="BX80" s="24">
        <v>1.0</v>
      </c>
      <c r="BY80" s="24" t="s">
        <v>123</v>
      </c>
      <c r="BZ80" s="87">
        <v>1.0</v>
      </c>
      <c r="CA80" s="72"/>
      <c r="CB80" s="82"/>
      <c r="CC80" s="31"/>
      <c r="CD80" s="28">
        <v>1.0</v>
      </c>
      <c r="CE80" s="88" t="s">
        <v>185</v>
      </c>
      <c r="CF80" s="33"/>
      <c r="CG80" s="34">
        <v>0.0</v>
      </c>
      <c r="CH80" s="89"/>
      <c r="CI80" s="36">
        <v>0.0</v>
      </c>
      <c r="CJ80" s="36">
        <v>450.0</v>
      </c>
      <c r="CK80" s="37">
        <v>-16.0</v>
      </c>
      <c r="CL80" s="36">
        <v>434.0</v>
      </c>
      <c r="CM80" s="38">
        <v>0.0</v>
      </c>
      <c r="CN80" s="36">
        <v>0.0</v>
      </c>
      <c r="CO80" s="39">
        <v>0.0</v>
      </c>
      <c r="CP80" s="40">
        <v>0.0</v>
      </c>
      <c r="CQ80" s="36">
        <v>0.0</v>
      </c>
      <c r="CR80" s="36">
        <v>0.0</v>
      </c>
      <c r="CS80" s="36">
        <v>0.0</v>
      </c>
      <c r="CT80" s="41"/>
      <c r="CU80" s="42"/>
      <c r="CV80" s="43"/>
      <c r="CW80" s="44">
        <v>1.0</v>
      </c>
      <c r="CX80" s="44">
        <v>1.0</v>
      </c>
      <c r="CY80" s="44">
        <v>0.1</v>
      </c>
      <c r="CZ80" s="45"/>
      <c r="DA80" s="43"/>
      <c r="DB80" s="44">
        <v>0.0</v>
      </c>
      <c r="DC80" s="43"/>
      <c r="DD80" s="78"/>
      <c r="DE80" s="43"/>
      <c r="DF80" s="43"/>
      <c r="DG80" s="48" t="s">
        <v>128</v>
      </c>
      <c r="DH80" s="48" t="s">
        <v>131</v>
      </c>
      <c r="DI80" s="48" t="s">
        <v>188</v>
      </c>
      <c r="DJ80" s="49">
        <v>1.0</v>
      </c>
      <c r="DK80" s="48" t="b">
        <v>0</v>
      </c>
      <c r="DL80" s="50" t="s">
        <v>333</v>
      </c>
      <c r="DM80" s="50" t="s">
        <v>131</v>
      </c>
      <c r="DN80" s="50" t="s">
        <v>334</v>
      </c>
      <c r="DO80" s="49">
        <v>0.06</v>
      </c>
      <c r="DP80" s="51"/>
      <c r="DQ80" s="48" t="s">
        <v>188</v>
      </c>
      <c r="DR80" s="51"/>
      <c r="DS80" s="48" t="s">
        <v>134</v>
      </c>
    </row>
    <row r="81">
      <c r="A81" s="52" t="s">
        <v>118</v>
      </c>
      <c r="B81" s="53">
        <v>3.0</v>
      </c>
      <c r="C81" s="52" t="s">
        <v>119</v>
      </c>
      <c r="D81" s="53">
        <v>536832.0</v>
      </c>
      <c r="E81" s="52" t="s">
        <v>158</v>
      </c>
      <c r="F81" s="52" t="s">
        <v>339</v>
      </c>
      <c r="G81" s="52" t="s">
        <v>340</v>
      </c>
      <c r="H81" s="53">
        <v>77084.0</v>
      </c>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81"/>
      <c r="BU81" s="54"/>
      <c r="BV81" s="54"/>
      <c r="BW81" s="54"/>
      <c r="BX81" s="53">
        <v>1.0</v>
      </c>
      <c r="BY81" s="53" t="s">
        <v>123</v>
      </c>
      <c r="BZ81" s="87">
        <v>1.0</v>
      </c>
      <c r="CA81" s="72"/>
      <c r="CB81" s="82"/>
      <c r="CC81" s="31"/>
      <c r="CD81" s="58">
        <v>1.0</v>
      </c>
      <c r="CE81" s="83" t="s">
        <v>185</v>
      </c>
      <c r="CF81" s="60"/>
      <c r="CG81" s="61">
        <v>0.0</v>
      </c>
      <c r="CH81" s="84"/>
      <c r="CI81" s="63">
        <v>0.0</v>
      </c>
      <c r="CJ81" s="63">
        <v>450.0</v>
      </c>
      <c r="CK81" s="64">
        <v>-16.0</v>
      </c>
      <c r="CL81" s="63">
        <v>434.0</v>
      </c>
      <c r="CM81" s="65">
        <v>0.0</v>
      </c>
      <c r="CN81" s="63">
        <v>0.0</v>
      </c>
      <c r="CO81" s="66">
        <v>0.0</v>
      </c>
      <c r="CP81" s="67">
        <v>0.0</v>
      </c>
      <c r="CQ81" s="63">
        <v>0.0</v>
      </c>
      <c r="CR81" s="63">
        <v>0.0</v>
      </c>
      <c r="CS81" s="63">
        <v>0.0</v>
      </c>
      <c r="CT81" s="68"/>
      <c r="CU81" s="69"/>
      <c r="CV81" s="70"/>
      <c r="CW81" s="71">
        <v>1.0</v>
      </c>
      <c r="CX81" s="71">
        <v>1.0</v>
      </c>
      <c r="CY81" s="71">
        <v>0.1</v>
      </c>
      <c r="CZ81" s="45"/>
      <c r="DA81" s="43"/>
      <c r="DB81" s="44">
        <v>0.0</v>
      </c>
      <c r="DC81" s="43"/>
      <c r="DD81" s="78"/>
      <c r="DE81" s="43"/>
      <c r="DF81" s="43"/>
      <c r="DG81" s="48" t="s">
        <v>128</v>
      </c>
      <c r="DH81" s="48" t="s">
        <v>131</v>
      </c>
      <c r="DI81" s="48" t="s">
        <v>188</v>
      </c>
      <c r="DJ81" s="49">
        <v>1.0</v>
      </c>
      <c r="DK81" s="48" t="b">
        <v>0</v>
      </c>
      <c r="DL81" s="50" t="s">
        <v>333</v>
      </c>
      <c r="DM81" s="50" t="s">
        <v>131</v>
      </c>
      <c r="DN81" s="50" t="s">
        <v>334</v>
      </c>
      <c r="DO81" s="49">
        <v>0.06</v>
      </c>
      <c r="DP81" s="51"/>
      <c r="DQ81" s="48" t="s">
        <v>188</v>
      </c>
      <c r="DR81" s="51"/>
      <c r="DS81" s="48" t="s">
        <v>134</v>
      </c>
    </row>
    <row r="82">
      <c r="A82" s="23" t="s">
        <v>118</v>
      </c>
      <c r="B82" s="24">
        <v>3.0</v>
      </c>
      <c r="C82" s="23" t="s">
        <v>119</v>
      </c>
      <c r="D82" s="24">
        <v>627274.0</v>
      </c>
      <c r="E82" s="23" t="s">
        <v>173</v>
      </c>
      <c r="F82" s="23" t="s">
        <v>341</v>
      </c>
      <c r="G82" s="23" t="s">
        <v>342</v>
      </c>
      <c r="H82" s="24">
        <v>77084.0</v>
      </c>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7"/>
      <c r="BU82" s="26"/>
      <c r="BV82" s="26"/>
      <c r="BW82" s="26"/>
      <c r="BX82" s="24">
        <v>2400.0</v>
      </c>
      <c r="BY82" s="24" t="s">
        <v>123</v>
      </c>
      <c r="BZ82" s="28">
        <v>2400.0</v>
      </c>
      <c r="CA82" s="72"/>
      <c r="CB82" s="82"/>
      <c r="CC82" s="31"/>
      <c r="CD82" s="28">
        <v>2400.0</v>
      </c>
      <c r="CE82" s="88" t="s">
        <v>185</v>
      </c>
      <c r="CF82" s="33"/>
      <c r="CG82" s="34">
        <v>0.0</v>
      </c>
      <c r="CH82" s="89"/>
      <c r="CI82" s="36">
        <v>0.0</v>
      </c>
      <c r="CJ82" s="36">
        <v>450.0</v>
      </c>
      <c r="CK82" s="37">
        <v>-16.0</v>
      </c>
      <c r="CL82" s="36">
        <v>434.0</v>
      </c>
      <c r="CM82" s="38">
        <v>0.0</v>
      </c>
      <c r="CN82" s="36">
        <v>0.0</v>
      </c>
      <c r="CO82" s="39">
        <v>0.0</v>
      </c>
      <c r="CP82" s="40">
        <v>0.0</v>
      </c>
      <c r="CQ82" s="36">
        <v>0.0</v>
      </c>
      <c r="CR82" s="36">
        <v>0.0</v>
      </c>
      <c r="CS82" s="36">
        <v>0.0</v>
      </c>
      <c r="CT82" s="41"/>
      <c r="CU82" s="42"/>
      <c r="CV82" s="43"/>
      <c r="CW82" s="44">
        <v>8.0</v>
      </c>
      <c r="CX82" s="44" t="s">
        <v>125</v>
      </c>
      <c r="CY82" s="44" t="s">
        <v>126</v>
      </c>
      <c r="CZ82" s="45"/>
      <c r="DA82" s="43"/>
      <c r="DB82" s="44">
        <v>0.0</v>
      </c>
      <c r="DC82" s="43"/>
      <c r="DD82" s="78"/>
      <c r="DE82" s="43"/>
      <c r="DF82" s="43"/>
      <c r="DG82" s="48" t="s">
        <v>128</v>
      </c>
      <c r="DH82" s="48" t="s">
        <v>128</v>
      </c>
      <c r="DI82" s="48" t="s">
        <v>343</v>
      </c>
      <c r="DJ82" s="49">
        <v>1.0</v>
      </c>
      <c r="DK82" s="48" t="b">
        <v>0</v>
      </c>
      <c r="DL82" s="50" t="s">
        <v>333</v>
      </c>
      <c r="DM82" s="50" t="s">
        <v>131</v>
      </c>
      <c r="DN82" s="50" t="s">
        <v>334</v>
      </c>
      <c r="DO82" s="49">
        <v>0.06</v>
      </c>
      <c r="DP82" s="51"/>
      <c r="DQ82" s="48" t="s">
        <v>197</v>
      </c>
      <c r="DR82" s="51"/>
      <c r="DS82" s="48" t="s">
        <v>134</v>
      </c>
    </row>
    <row r="83">
      <c r="A83" s="52" t="s">
        <v>118</v>
      </c>
      <c r="B83" s="53">
        <v>3.0</v>
      </c>
      <c r="C83" s="52" t="s">
        <v>119</v>
      </c>
      <c r="D83" s="53">
        <v>610881.0</v>
      </c>
      <c r="E83" s="52" t="s">
        <v>167</v>
      </c>
      <c r="F83" s="52" t="s">
        <v>344</v>
      </c>
      <c r="G83" s="52" t="s">
        <v>345</v>
      </c>
      <c r="H83" s="53">
        <v>77084.0</v>
      </c>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81"/>
      <c r="BU83" s="54"/>
      <c r="BV83" s="54"/>
      <c r="BW83" s="54"/>
      <c r="BX83" s="53">
        <v>1.0</v>
      </c>
      <c r="BY83" s="53" t="s">
        <v>123</v>
      </c>
      <c r="BZ83" s="87">
        <v>1.0</v>
      </c>
      <c r="CA83" s="72"/>
      <c r="CB83" s="82"/>
      <c r="CC83" s="31"/>
      <c r="CD83" s="58">
        <v>1.0</v>
      </c>
      <c r="CE83" s="83" t="s">
        <v>185</v>
      </c>
      <c r="CF83" s="60"/>
      <c r="CG83" s="61">
        <v>0.0</v>
      </c>
      <c r="CH83" s="84"/>
      <c r="CI83" s="63">
        <v>0.0</v>
      </c>
      <c r="CJ83" s="63">
        <v>450.0</v>
      </c>
      <c r="CK83" s="64">
        <v>-16.0</v>
      </c>
      <c r="CL83" s="63">
        <v>434.0</v>
      </c>
      <c r="CM83" s="65">
        <v>0.0</v>
      </c>
      <c r="CN83" s="63">
        <v>0.0</v>
      </c>
      <c r="CO83" s="66">
        <v>0.0</v>
      </c>
      <c r="CP83" s="67">
        <v>0.0</v>
      </c>
      <c r="CQ83" s="63">
        <v>0.0</v>
      </c>
      <c r="CR83" s="63">
        <v>0.0</v>
      </c>
      <c r="CS83" s="63">
        <v>0.0</v>
      </c>
      <c r="CT83" s="68"/>
      <c r="CU83" s="69"/>
      <c r="CV83" s="70"/>
      <c r="CW83" s="71">
        <v>1.0</v>
      </c>
      <c r="CX83" s="71">
        <v>1.0</v>
      </c>
      <c r="CY83" s="71">
        <v>0.1</v>
      </c>
      <c r="CZ83" s="45"/>
      <c r="DA83" s="43"/>
      <c r="DB83" s="44">
        <v>0.0</v>
      </c>
      <c r="DC83" s="43"/>
      <c r="DD83" s="78"/>
      <c r="DE83" s="43"/>
      <c r="DF83" s="43"/>
      <c r="DG83" s="48" t="s">
        <v>128</v>
      </c>
      <c r="DH83" s="48" t="s">
        <v>131</v>
      </c>
      <c r="DI83" s="48" t="s">
        <v>188</v>
      </c>
      <c r="DJ83" s="49">
        <v>1.0</v>
      </c>
      <c r="DK83" s="48" t="b">
        <v>0</v>
      </c>
      <c r="DL83" s="50" t="s">
        <v>333</v>
      </c>
      <c r="DM83" s="50" t="s">
        <v>131</v>
      </c>
      <c r="DN83" s="50" t="s">
        <v>334</v>
      </c>
      <c r="DO83" s="49">
        <v>0.06</v>
      </c>
      <c r="DP83" s="51"/>
      <c r="DQ83" s="48" t="s">
        <v>188</v>
      </c>
      <c r="DR83" s="51"/>
      <c r="DS83" s="48" t="s">
        <v>134</v>
      </c>
    </row>
    <row r="84">
      <c r="A84" s="23" t="s">
        <v>118</v>
      </c>
      <c r="B84" s="24">
        <v>3.0</v>
      </c>
      <c r="C84" s="23" t="s">
        <v>119</v>
      </c>
      <c r="D84" s="24">
        <v>680909.0</v>
      </c>
      <c r="E84" s="23" t="s">
        <v>288</v>
      </c>
      <c r="F84" s="23" t="s">
        <v>346</v>
      </c>
      <c r="G84" s="23" t="s">
        <v>347</v>
      </c>
      <c r="H84" s="24">
        <v>77093.0</v>
      </c>
      <c r="I84" s="24">
        <v>3.0</v>
      </c>
      <c r="J84" s="24">
        <v>0.0</v>
      </c>
      <c r="K84" s="24">
        <v>0.0</v>
      </c>
      <c r="L84" s="24">
        <v>0.0</v>
      </c>
      <c r="M84" s="24">
        <v>0.0</v>
      </c>
      <c r="N84" s="24">
        <v>0.0</v>
      </c>
      <c r="O84" s="24">
        <v>0.0</v>
      </c>
      <c r="P84" s="24">
        <v>0.0</v>
      </c>
      <c r="Q84" s="24">
        <v>0.0</v>
      </c>
      <c r="R84" s="24">
        <v>0.0</v>
      </c>
      <c r="S84" s="24">
        <v>0.0</v>
      </c>
      <c r="T84" s="24">
        <v>0.0</v>
      </c>
      <c r="U84" s="24">
        <v>0.0</v>
      </c>
      <c r="V84" s="24">
        <v>0.0</v>
      </c>
      <c r="W84" s="24">
        <v>0.0</v>
      </c>
      <c r="X84" s="24">
        <v>0.0</v>
      </c>
      <c r="Y84" s="24">
        <v>0.0</v>
      </c>
      <c r="Z84" s="24">
        <v>0.0</v>
      </c>
      <c r="AA84" s="24">
        <v>0.0</v>
      </c>
      <c r="AB84" s="24">
        <v>0.0</v>
      </c>
      <c r="AC84" s="24">
        <v>1.0</v>
      </c>
      <c r="AD84" s="24">
        <v>0.0</v>
      </c>
      <c r="AE84" s="24">
        <v>0.0</v>
      </c>
      <c r="AF84" s="24">
        <v>0.0</v>
      </c>
      <c r="AG84" s="24">
        <v>0.0</v>
      </c>
      <c r="AH84" s="24">
        <v>0.0</v>
      </c>
      <c r="AI84" s="24">
        <v>0.0</v>
      </c>
      <c r="AJ84" s="24">
        <v>0.0</v>
      </c>
      <c r="AK84" s="24">
        <v>0.0</v>
      </c>
      <c r="AL84" s="24">
        <v>0.0</v>
      </c>
      <c r="AM84" s="24">
        <v>0.0</v>
      </c>
      <c r="AN84" s="24">
        <v>2.0</v>
      </c>
      <c r="AO84" s="25">
        <v>32.0</v>
      </c>
      <c r="AP84" s="26"/>
      <c r="AQ84" s="26"/>
      <c r="AR84" s="26"/>
      <c r="AS84" s="26"/>
      <c r="AT84" s="26"/>
      <c r="AU84" s="26"/>
      <c r="AV84" s="26"/>
      <c r="AW84" s="26"/>
      <c r="AX84" s="26"/>
      <c r="AY84" s="26"/>
      <c r="AZ84" s="26"/>
      <c r="BA84" s="26"/>
      <c r="BB84" s="26"/>
      <c r="BC84" s="26"/>
      <c r="BD84" s="26"/>
      <c r="BE84" s="26"/>
      <c r="BF84" s="26"/>
      <c r="BG84" s="26"/>
      <c r="BH84" s="26"/>
      <c r="BI84" s="24">
        <v>15.27</v>
      </c>
      <c r="BJ84" s="26"/>
      <c r="BK84" s="26"/>
      <c r="BL84" s="26"/>
      <c r="BM84" s="26"/>
      <c r="BN84" s="26"/>
      <c r="BO84" s="24">
        <v>0.67</v>
      </c>
      <c r="BP84" s="24">
        <v>6.58</v>
      </c>
      <c r="BQ84" s="24">
        <v>6.36</v>
      </c>
      <c r="BR84" s="24">
        <v>12.74</v>
      </c>
      <c r="BS84" s="55">
        <v>3.98</v>
      </c>
      <c r="BT84" s="27"/>
      <c r="BU84" s="26"/>
      <c r="BV84" s="26"/>
      <c r="BW84" s="26"/>
      <c r="BX84" s="24">
        <v>3000.0</v>
      </c>
      <c r="BY84" s="24" t="s">
        <v>123</v>
      </c>
      <c r="BZ84" s="28">
        <v>2700.0</v>
      </c>
      <c r="CA84" s="29" t="s">
        <v>124</v>
      </c>
      <c r="CB84" s="30">
        <v>3000.0</v>
      </c>
      <c r="CC84" s="31"/>
      <c r="CD84" s="28">
        <v>3000.0</v>
      </c>
      <c r="CE84" s="32" t="e">
        <v>#REF!</v>
      </c>
      <c r="CF84" s="33"/>
      <c r="CG84" s="34">
        <v>0.0</v>
      </c>
      <c r="CH84" s="35">
        <v>0.0</v>
      </c>
      <c r="CI84" s="36">
        <v>3.0</v>
      </c>
      <c r="CJ84" s="36">
        <v>1883.0</v>
      </c>
      <c r="CK84" s="37">
        <v>-21.0</v>
      </c>
      <c r="CL84" s="36">
        <v>1862.0</v>
      </c>
      <c r="CM84" s="38">
        <v>96.0</v>
      </c>
      <c r="CN84" s="36">
        <v>0.0</v>
      </c>
      <c r="CO84" s="39">
        <v>32.0</v>
      </c>
      <c r="CP84" s="40">
        <v>0.0</v>
      </c>
      <c r="CQ84" s="36">
        <v>20.0</v>
      </c>
      <c r="CR84" s="36">
        <v>20.0</v>
      </c>
      <c r="CS84" s="36">
        <v>12.0</v>
      </c>
      <c r="CT84" s="41"/>
      <c r="CU84" s="42"/>
      <c r="CV84" s="43"/>
      <c r="CW84" s="44">
        <v>10.0</v>
      </c>
      <c r="CX84" s="44" t="s">
        <v>138</v>
      </c>
      <c r="CY84" s="44" t="s">
        <v>139</v>
      </c>
      <c r="CZ84" s="45"/>
      <c r="DA84" s="44">
        <v>3000.0</v>
      </c>
      <c r="DB84" s="44">
        <v>0.0</v>
      </c>
      <c r="DC84" s="46" t="s">
        <v>127</v>
      </c>
      <c r="DD84" s="47">
        <v>46231.0</v>
      </c>
      <c r="DE84" s="43"/>
      <c r="DF84" s="43"/>
      <c r="DG84" s="48" t="s">
        <v>128</v>
      </c>
      <c r="DH84" s="48" t="s">
        <v>128</v>
      </c>
      <c r="DI84" s="48" t="s">
        <v>129</v>
      </c>
      <c r="DJ84" s="49">
        <v>0.0</v>
      </c>
      <c r="DK84" s="48" t="b">
        <v>0</v>
      </c>
      <c r="DL84" s="50" t="s">
        <v>348</v>
      </c>
      <c r="DM84" s="50" t="s">
        <v>131</v>
      </c>
      <c r="DN84" s="50" t="s">
        <v>349</v>
      </c>
      <c r="DO84" s="49">
        <v>0.74</v>
      </c>
      <c r="DP84" s="48" t="s">
        <v>128</v>
      </c>
      <c r="DQ84" s="48" t="s">
        <v>133</v>
      </c>
      <c r="DR84" s="51"/>
      <c r="DS84" s="48" t="s">
        <v>134</v>
      </c>
    </row>
    <row r="85">
      <c r="A85" s="52" t="s">
        <v>118</v>
      </c>
      <c r="B85" s="53">
        <v>3.0</v>
      </c>
      <c r="C85" s="52" t="s">
        <v>119</v>
      </c>
      <c r="D85" s="53">
        <v>680588.0</v>
      </c>
      <c r="E85" s="52" t="s">
        <v>251</v>
      </c>
      <c r="F85" s="52" t="s">
        <v>350</v>
      </c>
      <c r="G85" s="52" t="s">
        <v>351</v>
      </c>
      <c r="H85" s="53">
        <v>77093.0</v>
      </c>
      <c r="I85" s="53">
        <v>2.0</v>
      </c>
      <c r="J85" s="53">
        <v>0.0</v>
      </c>
      <c r="K85" s="53">
        <v>0.0</v>
      </c>
      <c r="L85" s="53">
        <v>0.0</v>
      </c>
      <c r="M85" s="53">
        <v>0.0</v>
      </c>
      <c r="N85" s="53">
        <v>1.0</v>
      </c>
      <c r="O85" s="53">
        <v>0.0</v>
      </c>
      <c r="P85" s="53">
        <v>0.0</v>
      </c>
      <c r="Q85" s="53">
        <v>0.0</v>
      </c>
      <c r="R85" s="53">
        <v>0.0</v>
      </c>
      <c r="S85" s="53">
        <v>0.0</v>
      </c>
      <c r="T85" s="53">
        <v>0.0</v>
      </c>
      <c r="U85" s="53">
        <v>0.0</v>
      </c>
      <c r="V85" s="53">
        <v>0.0</v>
      </c>
      <c r="W85" s="53">
        <v>0.0</v>
      </c>
      <c r="X85" s="53">
        <v>1.0</v>
      </c>
      <c r="Y85" s="53">
        <v>0.0</v>
      </c>
      <c r="Z85" s="53">
        <v>0.0</v>
      </c>
      <c r="AA85" s="53">
        <v>0.0</v>
      </c>
      <c r="AB85" s="53">
        <v>0.0</v>
      </c>
      <c r="AC85" s="53">
        <v>0.0</v>
      </c>
      <c r="AD85" s="53">
        <v>0.0</v>
      </c>
      <c r="AE85" s="53">
        <v>0.0</v>
      </c>
      <c r="AF85" s="53">
        <v>0.0</v>
      </c>
      <c r="AG85" s="53">
        <v>0.0</v>
      </c>
      <c r="AH85" s="53">
        <v>0.0</v>
      </c>
      <c r="AI85" s="53">
        <v>0.0</v>
      </c>
      <c r="AJ85" s="53">
        <v>0.0</v>
      </c>
      <c r="AK85" s="53">
        <v>0.0</v>
      </c>
      <c r="AL85" s="53">
        <v>0.0</v>
      </c>
      <c r="AM85" s="53">
        <v>0.0</v>
      </c>
      <c r="AN85" s="53">
        <v>0.0</v>
      </c>
      <c r="AO85" s="25">
        <v>18.3</v>
      </c>
      <c r="AP85" s="54"/>
      <c r="AQ85" s="54"/>
      <c r="AR85" s="54"/>
      <c r="AS85" s="54"/>
      <c r="AT85" s="53">
        <v>0.0</v>
      </c>
      <c r="AU85" s="54"/>
      <c r="AV85" s="54"/>
      <c r="AW85" s="54"/>
      <c r="AX85" s="54"/>
      <c r="AY85" s="54"/>
      <c r="AZ85" s="54"/>
      <c r="BA85" s="54"/>
      <c r="BB85" s="54"/>
      <c r="BC85" s="54"/>
      <c r="BD85" s="53">
        <v>24.52</v>
      </c>
      <c r="BE85" s="54"/>
      <c r="BF85" s="54"/>
      <c r="BG85" s="54"/>
      <c r="BH85" s="54"/>
      <c r="BI85" s="54"/>
      <c r="BJ85" s="54"/>
      <c r="BK85" s="54"/>
      <c r="BL85" s="54"/>
      <c r="BM85" s="54"/>
      <c r="BN85" s="54"/>
      <c r="BO85" s="54"/>
      <c r="BP85" s="53">
        <v>5.68</v>
      </c>
      <c r="BQ85" s="53">
        <v>4.64</v>
      </c>
      <c r="BR85" s="53">
        <v>10.13</v>
      </c>
      <c r="BS85" s="55">
        <v>3.06</v>
      </c>
      <c r="BT85" s="77">
        <v>12.0</v>
      </c>
      <c r="BU85" s="55">
        <v>3.1</v>
      </c>
      <c r="BV85" s="57">
        <v>2.47</v>
      </c>
      <c r="BW85" s="54"/>
      <c r="BX85" s="53">
        <v>2400.0</v>
      </c>
      <c r="BY85" s="53" t="s">
        <v>123</v>
      </c>
      <c r="BZ85" s="58">
        <v>2400.0</v>
      </c>
      <c r="CA85" s="72"/>
      <c r="CB85" s="30">
        <v>2700.0</v>
      </c>
      <c r="CC85" s="31"/>
      <c r="CD85" s="58">
        <v>2700.0</v>
      </c>
      <c r="CE85" s="59" t="e">
        <v>#REF!</v>
      </c>
      <c r="CF85" s="79">
        <f t="shared" ref="CF85:CF86" si="3">+300</f>
        <v>300</v>
      </c>
      <c r="CG85" s="80">
        <f t="shared" ref="CG85:CG86" si="4">+1</f>
        <v>1</v>
      </c>
      <c r="CH85" s="62">
        <v>0.5</v>
      </c>
      <c r="CI85" s="63">
        <v>3.0</v>
      </c>
      <c r="CJ85" s="63">
        <v>1883.0</v>
      </c>
      <c r="CK85" s="64">
        <v>-21.0</v>
      </c>
      <c r="CL85" s="63">
        <v>1862.0</v>
      </c>
      <c r="CM85" s="65">
        <v>37.0</v>
      </c>
      <c r="CN85" s="63">
        <v>-9.0</v>
      </c>
      <c r="CO85" s="66">
        <v>15.2</v>
      </c>
      <c r="CP85" s="67">
        <v>-3.1</v>
      </c>
      <c r="CQ85" s="63">
        <v>11.0</v>
      </c>
      <c r="CR85" s="63">
        <v>17.0</v>
      </c>
      <c r="CS85" s="63">
        <v>9.0</v>
      </c>
      <c r="CT85" s="68"/>
      <c r="CU85" s="69"/>
      <c r="CV85" s="70"/>
      <c r="CW85" s="71">
        <v>9.0</v>
      </c>
      <c r="CX85" s="71" t="s">
        <v>143</v>
      </c>
      <c r="CY85" s="71" t="s">
        <v>144</v>
      </c>
      <c r="CZ85" s="76" t="s">
        <v>151</v>
      </c>
      <c r="DA85" s="44">
        <v>2700.0</v>
      </c>
      <c r="DB85" s="44">
        <v>0.0</v>
      </c>
      <c r="DC85" s="46" t="s">
        <v>127</v>
      </c>
      <c r="DD85" s="47">
        <v>46246.0</v>
      </c>
      <c r="DE85" s="43"/>
      <c r="DF85" s="43"/>
      <c r="DG85" s="48" t="s">
        <v>128</v>
      </c>
      <c r="DH85" s="48" t="s">
        <v>128</v>
      </c>
      <c r="DI85" s="48" t="s">
        <v>128</v>
      </c>
      <c r="DJ85" s="49">
        <v>1.0</v>
      </c>
      <c r="DK85" s="48" t="b">
        <v>1</v>
      </c>
      <c r="DL85" s="50" t="s">
        <v>348</v>
      </c>
      <c r="DM85" s="50" t="s">
        <v>131</v>
      </c>
      <c r="DN85" s="50" t="s">
        <v>349</v>
      </c>
      <c r="DO85" s="49">
        <v>0.74</v>
      </c>
      <c r="DP85" s="48" t="s">
        <v>128</v>
      </c>
      <c r="DQ85" s="48" t="s">
        <v>128</v>
      </c>
      <c r="DR85" s="51"/>
      <c r="DS85" s="48" t="s">
        <v>134</v>
      </c>
    </row>
    <row r="86">
      <c r="A86" s="23" t="s">
        <v>118</v>
      </c>
      <c r="B86" s="24">
        <v>3.0</v>
      </c>
      <c r="C86" s="23" t="s">
        <v>119</v>
      </c>
      <c r="D86" s="24">
        <v>680607.0</v>
      </c>
      <c r="E86" s="23" t="s">
        <v>246</v>
      </c>
      <c r="F86" s="23" t="s">
        <v>352</v>
      </c>
      <c r="G86" s="23" t="s">
        <v>353</v>
      </c>
      <c r="H86" s="24">
        <v>77093.0</v>
      </c>
      <c r="I86" s="24">
        <v>2.0</v>
      </c>
      <c r="J86" s="24">
        <v>0.0</v>
      </c>
      <c r="K86" s="24">
        <v>0.0</v>
      </c>
      <c r="L86" s="24">
        <v>0.0</v>
      </c>
      <c r="M86" s="24">
        <v>0.0</v>
      </c>
      <c r="N86" s="24">
        <v>0.0</v>
      </c>
      <c r="O86" s="24">
        <v>0.0</v>
      </c>
      <c r="P86" s="24">
        <v>0.0</v>
      </c>
      <c r="Q86" s="24">
        <v>0.0</v>
      </c>
      <c r="R86" s="24">
        <v>0.0</v>
      </c>
      <c r="S86" s="24">
        <v>0.0</v>
      </c>
      <c r="T86" s="24">
        <v>0.0</v>
      </c>
      <c r="U86" s="24">
        <v>0.0</v>
      </c>
      <c r="V86" s="24">
        <v>0.0</v>
      </c>
      <c r="W86" s="24">
        <v>0.0</v>
      </c>
      <c r="X86" s="24">
        <v>0.0</v>
      </c>
      <c r="Y86" s="24">
        <v>1.0</v>
      </c>
      <c r="Z86" s="24">
        <v>0.0</v>
      </c>
      <c r="AA86" s="24">
        <v>0.0</v>
      </c>
      <c r="AB86" s="24">
        <v>0.0</v>
      </c>
      <c r="AC86" s="24">
        <v>0.0</v>
      </c>
      <c r="AD86" s="24">
        <v>0.0</v>
      </c>
      <c r="AE86" s="24">
        <v>0.0</v>
      </c>
      <c r="AF86" s="24">
        <v>0.0</v>
      </c>
      <c r="AG86" s="24">
        <v>0.0</v>
      </c>
      <c r="AH86" s="24">
        <v>0.0</v>
      </c>
      <c r="AI86" s="24">
        <v>0.0</v>
      </c>
      <c r="AJ86" s="24">
        <v>1.0</v>
      </c>
      <c r="AK86" s="24">
        <v>0.0</v>
      </c>
      <c r="AL86" s="24">
        <v>0.0</v>
      </c>
      <c r="AM86" s="24">
        <v>0.0</v>
      </c>
      <c r="AN86" s="24">
        <v>0.0</v>
      </c>
      <c r="AO86" s="25">
        <v>17.5</v>
      </c>
      <c r="AP86" s="26"/>
      <c r="AQ86" s="26"/>
      <c r="AR86" s="26"/>
      <c r="AS86" s="26"/>
      <c r="AT86" s="26"/>
      <c r="AU86" s="26"/>
      <c r="AV86" s="26"/>
      <c r="AW86" s="26"/>
      <c r="AX86" s="26"/>
      <c r="AY86" s="26"/>
      <c r="AZ86" s="26"/>
      <c r="BA86" s="26"/>
      <c r="BB86" s="26"/>
      <c r="BC86" s="26"/>
      <c r="BD86" s="26"/>
      <c r="BE86" s="24">
        <v>15.95</v>
      </c>
      <c r="BF86" s="26"/>
      <c r="BG86" s="26"/>
      <c r="BH86" s="26"/>
      <c r="BI86" s="26"/>
      <c r="BJ86" s="26"/>
      <c r="BK86" s="26"/>
      <c r="BL86" s="26"/>
      <c r="BM86" s="26"/>
      <c r="BN86" s="26"/>
      <c r="BO86" s="24">
        <v>0.32</v>
      </c>
      <c r="BP86" s="24">
        <v>0.74</v>
      </c>
      <c r="BQ86" s="24">
        <v>6.44</v>
      </c>
      <c r="BR86" s="24">
        <v>6.98</v>
      </c>
      <c r="BS86" s="57">
        <v>1.78</v>
      </c>
      <c r="BT86" s="91">
        <v>16.0</v>
      </c>
      <c r="BU86" s="57">
        <v>2.9</v>
      </c>
      <c r="BV86" s="25">
        <v>7.03</v>
      </c>
      <c r="BW86" s="26"/>
      <c r="BX86" s="24">
        <v>2400.0</v>
      </c>
      <c r="BY86" s="24" t="s">
        <v>123</v>
      </c>
      <c r="BZ86" s="28">
        <v>2400.0</v>
      </c>
      <c r="CA86" s="72"/>
      <c r="CB86" s="30">
        <v>2700.0</v>
      </c>
      <c r="CC86" s="31"/>
      <c r="CD86" s="28">
        <v>2700.0</v>
      </c>
      <c r="CE86" s="32" t="e">
        <v>#REF!</v>
      </c>
      <c r="CF86" s="73">
        <f t="shared" si="3"/>
        <v>300</v>
      </c>
      <c r="CG86" s="74">
        <f t="shared" si="4"/>
        <v>1</v>
      </c>
      <c r="CH86" s="35">
        <v>0.5</v>
      </c>
      <c r="CI86" s="36">
        <v>3.0</v>
      </c>
      <c r="CJ86" s="36">
        <v>1883.0</v>
      </c>
      <c r="CK86" s="37">
        <v>-21.0</v>
      </c>
      <c r="CL86" s="36">
        <v>1862.0</v>
      </c>
      <c r="CM86" s="38">
        <v>35.0</v>
      </c>
      <c r="CN86" s="36">
        <v>-7.0</v>
      </c>
      <c r="CO86" s="39">
        <v>14.0</v>
      </c>
      <c r="CP86" s="40">
        <v>-3.5</v>
      </c>
      <c r="CQ86" s="36">
        <v>1.0</v>
      </c>
      <c r="CR86" s="36">
        <v>2.0</v>
      </c>
      <c r="CS86" s="36">
        <v>5.0</v>
      </c>
      <c r="CT86" s="41"/>
      <c r="CU86" s="42"/>
      <c r="CV86" s="43"/>
      <c r="CW86" s="44">
        <v>9.0</v>
      </c>
      <c r="CX86" s="44" t="s">
        <v>143</v>
      </c>
      <c r="CY86" s="44" t="s">
        <v>144</v>
      </c>
      <c r="CZ86" s="76" t="s">
        <v>151</v>
      </c>
      <c r="DA86" s="44">
        <v>2700.0</v>
      </c>
      <c r="DB86" s="44">
        <v>0.0</v>
      </c>
      <c r="DC86" s="43"/>
      <c r="DD86" s="78"/>
      <c r="DE86" s="43"/>
      <c r="DF86" s="43"/>
      <c r="DG86" s="48" t="s">
        <v>128</v>
      </c>
      <c r="DH86" s="48" t="s">
        <v>128</v>
      </c>
      <c r="DI86" s="48" t="s">
        <v>128</v>
      </c>
      <c r="DJ86" s="49">
        <v>0.0</v>
      </c>
      <c r="DK86" s="48" t="b">
        <v>0</v>
      </c>
      <c r="DL86" s="50" t="s">
        <v>348</v>
      </c>
      <c r="DM86" s="50" t="s">
        <v>131</v>
      </c>
      <c r="DN86" s="50" t="s">
        <v>349</v>
      </c>
      <c r="DO86" s="49">
        <v>0.74</v>
      </c>
      <c r="DP86" s="48" t="s">
        <v>128</v>
      </c>
      <c r="DQ86" s="48" t="s">
        <v>128</v>
      </c>
      <c r="DR86" s="51"/>
      <c r="DS86" s="48" t="s">
        <v>134</v>
      </c>
    </row>
    <row r="87">
      <c r="A87" s="52" t="s">
        <v>118</v>
      </c>
      <c r="B87" s="53">
        <v>3.0</v>
      </c>
      <c r="C87" s="52" t="s">
        <v>119</v>
      </c>
      <c r="D87" s="53">
        <v>681287.0</v>
      </c>
      <c r="E87" s="52" t="s">
        <v>354</v>
      </c>
      <c r="F87" s="52" t="s">
        <v>355</v>
      </c>
      <c r="G87" s="52" t="s">
        <v>356</v>
      </c>
      <c r="H87" s="53">
        <v>77093.0</v>
      </c>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81"/>
      <c r="BU87" s="54"/>
      <c r="BV87" s="54"/>
      <c r="BW87" s="54"/>
      <c r="BX87" s="53">
        <v>3000.0</v>
      </c>
      <c r="BY87" s="53" t="s">
        <v>123</v>
      </c>
      <c r="BZ87" s="58">
        <v>3000.0</v>
      </c>
      <c r="CA87" s="72"/>
      <c r="CB87" s="82"/>
      <c r="CC87" s="31"/>
      <c r="CD87" s="58">
        <v>3000.0</v>
      </c>
      <c r="CE87" s="83" t="s">
        <v>185</v>
      </c>
      <c r="CF87" s="60"/>
      <c r="CG87" s="61">
        <v>0.0</v>
      </c>
      <c r="CH87" s="84"/>
      <c r="CI87" s="63">
        <v>0.0</v>
      </c>
      <c r="CJ87" s="63">
        <v>1883.0</v>
      </c>
      <c r="CK87" s="64">
        <v>-21.0</v>
      </c>
      <c r="CL87" s="63">
        <v>1862.0</v>
      </c>
      <c r="CM87" s="65">
        <v>0.0</v>
      </c>
      <c r="CN87" s="63">
        <v>0.0</v>
      </c>
      <c r="CO87" s="66">
        <v>0.0</v>
      </c>
      <c r="CP87" s="67">
        <v>0.0</v>
      </c>
      <c r="CQ87" s="63">
        <v>0.0</v>
      </c>
      <c r="CR87" s="63">
        <v>0.0</v>
      </c>
      <c r="CS87" s="63">
        <v>0.0</v>
      </c>
      <c r="CT87" s="68"/>
      <c r="CU87" s="69"/>
      <c r="CV87" s="70"/>
      <c r="CW87" s="71">
        <v>10.0</v>
      </c>
      <c r="CX87" s="71" t="s">
        <v>138</v>
      </c>
      <c r="CY87" s="71" t="s">
        <v>139</v>
      </c>
      <c r="CZ87" s="45"/>
      <c r="DA87" s="43"/>
      <c r="DB87" s="44">
        <v>0.0</v>
      </c>
      <c r="DC87" s="43"/>
      <c r="DD87" s="78"/>
      <c r="DE87" s="43"/>
      <c r="DF87" s="43"/>
      <c r="DG87" s="48" t="s">
        <v>128</v>
      </c>
      <c r="DH87" s="48" t="s">
        <v>128</v>
      </c>
      <c r="DI87" s="85" t="str">
        <f>+ OFF 30 DIAS SIN VENTA</f>
        <v>#ERROR!</v>
      </c>
      <c r="DJ87" s="49">
        <v>0.0</v>
      </c>
      <c r="DK87" s="48" t="b">
        <v>0</v>
      </c>
      <c r="DL87" s="50" t="s">
        <v>348</v>
      </c>
      <c r="DM87" s="50" t="s">
        <v>131</v>
      </c>
      <c r="DN87" s="50" t="s">
        <v>349</v>
      </c>
      <c r="DO87" s="49">
        <v>0.74</v>
      </c>
      <c r="DP87" s="48" t="s">
        <v>128</v>
      </c>
      <c r="DQ87" s="86" t="str">
        <f>+ OFF 30 DIAS SIN VENTA</f>
        <v>#ERROR!</v>
      </c>
      <c r="DR87" s="51"/>
      <c r="DS87" s="48" t="s">
        <v>134</v>
      </c>
    </row>
    <row r="88">
      <c r="A88" s="23" t="s">
        <v>118</v>
      </c>
      <c r="B88" s="24">
        <v>3.0</v>
      </c>
      <c r="C88" s="23" t="s">
        <v>119</v>
      </c>
      <c r="D88" s="24">
        <v>640888.0</v>
      </c>
      <c r="E88" s="23" t="s">
        <v>161</v>
      </c>
      <c r="F88" s="23" t="s">
        <v>357</v>
      </c>
      <c r="G88" s="23" t="s">
        <v>358</v>
      </c>
      <c r="H88" s="24">
        <v>81861.0</v>
      </c>
      <c r="I88" s="24">
        <v>2.0</v>
      </c>
      <c r="J88" s="24">
        <v>0.0</v>
      </c>
      <c r="K88" s="24">
        <v>0.0</v>
      </c>
      <c r="L88" s="24">
        <v>0.0</v>
      </c>
      <c r="M88" s="24">
        <v>0.0</v>
      </c>
      <c r="N88" s="24">
        <v>0.0</v>
      </c>
      <c r="O88" s="24">
        <v>0.0</v>
      </c>
      <c r="P88" s="24">
        <v>0.0</v>
      </c>
      <c r="Q88" s="24">
        <v>0.0</v>
      </c>
      <c r="R88" s="24">
        <v>0.0</v>
      </c>
      <c r="S88" s="24">
        <v>0.0</v>
      </c>
      <c r="T88" s="24">
        <v>0.0</v>
      </c>
      <c r="U88" s="24">
        <v>0.0</v>
      </c>
      <c r="V88" s="24">
        <v>1.0</v>
      </c>
      <c r="W88" s="24">
        <v>0.0</v>
      </c>
      <c r="X88" s="24">
        <v>0.0</v>
      </c>
      <c r="Y88" s="24">
        <v>0.0</v>
      </c>
      <c r="Z88" s="24">
        <v>0.0</v>
      </c>
      <c r="AA88" s="24">
        <v>0.0</v>
      </c>
      <c r="AB88" s="24">
        <v>0.0</v>
      </c>
      <c r="AC88" s="24">
        <v>0.0</v>
      </c>
      <c r="AD88" s="24">
        <v>0.0</v>
      </c>
      <c r="AE88" s="24">
        <v>1.0</v>
      </c>
      <c r="AF88" s="24">
        <v>0.0</v>
      </c>
      <c r="AG88" s="24">
        <v>0.0</v>
      </c>
      <c r="AH88" s="24">
        <v>0.0</v>
      </c>
      <c r="AI88" s="24">
        <v>0.0</v>
      </c>
      <c r="AJ88" s="24">
        <v>0.0</v>
      </c>
      <c r="AK88" s="24">
        <v>0.0</v>
      </c>
      <c r="AL88" s="24">
        <v>0.0</v>
      </c>
      <c r="AM88" s="24">
        <v>0.0</v>
      </c>
      <c r="AN88" s="24">
        <v>0.0</v>
      </c>
      <c r="AO88" s="25">
        <v>52.5</v>
      </c>
      <c r="AP88" s="26"/>
      <c r="AQ88" s="26"/>
      <c r="AR88" s="26"/>
      <c r="AS88" s="26"/>
      <c r="AT88" s="26"/>
      <c r="AU88" s="26"/>
      <c r="AV88" s="26"/>
      <c r="AW88" s="26"/>
      <c r="AX88" s="26"/>
      <c r="AY88" s="26"/>
      <c r="AZ88" s="26"/>
      <c r="BA88" s="26"/>
      <c r="BB88" s="24">
        <v>47.27</v>
      </c>
      <c r="BC88" s="26"/>
      <c r="BD88" s="26"/>
      <c r="BE88" s="26"/>
      <c r="BF88" s="26"/>
      <c r="BG88" s="26"/>
      <c r="BH88" s="26"/>
      <c r="BI88" s="26"/>
      <c r="BJ88" s="26"/>
      <c r="BK88" s="24">
        <v>57.82</v>
      </c>
      <c r="BL88" s="26"/>
      <c r="BM88" s="26"/>
      <c r="BN88" s="26"/>
      <c r="BO88" s="26"/>
      <c r="BP88" s="24">
        <v>1.29</v>
      </c>
      <c r="BQ88" s="24">
        <v>9.52</v>
      </c>
      <c r="BR88" s="26"/>
      <c r="BS88" s="25">
        <v>31.91</v>
      </c>
      <c r="BT88" s="27"/>
      <c r="BU88" s="26"/>
      <c r="BV88" s="26"/>
      <c r="BW88" s="26"/>
      <c r="BX88" s="24">
        <v>2100.0</v>
      </c>
      <c r="BY88" s="24" t="s">
        <v>123</v>
      </c>
      <c r="BZ88" s="28">
        <v>1800.0</v>
      </c>
      <c r="CA88" s="29" t="s">
        <v>124</v>
      </c>
      <c r="CB88" s="30">
        <v>2100.0</v>
      </c>
      <c r="CC88" s="31"/>
      <c r="CD88" s="28">
        <v>2100.0</v>
      </c>
      <c r="CE88" s="32" t="e">
        <v>#REF!</v>
      </c>
      <c r="CF88" s="33"/>
      <c r="CG88" s="34">
        <v>0.0</v>
      </c>
      <c r="CH88" s="35">
        <v>0.0</v>
      </c>
      <c r="CI88" s="36">
        <v>2.0</v>
      </c>
      <c r="CJ88" s="36">
        <v>208.0</v>
      </c>
      <c r="CK88" s="37">
        <v>-7.0</v>
      </c>
      <c r="CL88" s="36">
        <v>201.0</v>
      </c>
      <c r="CM88" s="38">
        <v>105.0</v>
      </c>
      <c r="CN88" s="36">
        <v>0.0</v>
      </c>
      <c r="CO88" s="39">
        <v>52.5</v>
      </c>
      <c r="CP88" s="40">
        <v>0.0</v>
      </c>
      <c r="CQ88" s="36">
        <v>3.0</v>
      </c>
      <c r="CR88" s="36">
        <v>3.0</v>
      </c>
      <c r="CS88" s="36">
        <v>64.0</v>
      </c>
      <c r="CT88" s="41"/>
      <c r="CU88" s="42"/>
      <c r="CV88" s="43"/>
      <c r="CW88" s="44">
        <v>7.0</v>
      </c>
      <c r="CX88" s="44" t="s">
        <v>201</v>
      </c>
      <c r="CY88" s="44" t="s">
        <v>202</v>
      </c>
      <c r="CZ88" s="45"/>
      <c r="DA88" s="44">
        <v>2100.0</v>
      </c>
      <c r="DB88" s="44">
        <v>0.0</v>
      </c>
      <c r="DC88" s="43"/>
      <c r="DD88" s="78"/>
      <c r="DE88" s="43"/>
      <c r="DF88" s="43"/>
      <c r="DG88" s="48" t="s">
        <v>128</v>
      </c>
      <c r="DH88" s="48" t="s">
        <v>128</v>
      </c>
      <c r="DI88" s="48" t="s">
        <v>359</v>
      </c>
      <c r="DJ88" s="51"/>
      <c r="DK88" s="48" t="b">
        <v>0</v>
      </c>
      <c r="DL88" s="50" t="s">
        <v>360</v>
      </c>
      <c r="DM88" s="50" t="s">
        <v>131</v>
      </c>
      <c r="DN88" s="50" t="s">
        <v>361</v>
      </c>
      <c r="DO88" s="49">
        <v>0.05</v>
      </c>
      <c r="DP88" s="48" t="s">
        <v>359</v>
      </c>
      <c r="DQ88" s="48" t="s">
        <v>359</v>
      </c>
      <c r="DR88" s="51"/>
      <c r="DS88" s="48" t="s">
        <v>134</v>
      </c>
    </row>
    <row r="89">
      <c r="A89" s="52" t="s">
        <v>118</v>
      </c>
      <c r="B89" s="53">
        <v>3.0</v>
      </c>
      <c r="C89" s="52" t="s">
        <v>119</v>
      </c>
      <c r="D89" s="53">
        <v>643373.0</v>
      </c>
      <c r="E89" s="52" t="s">
        <v>120</v>
      </c>
      <c r="F89" s="52" t="s">
        <v>362</v>
      </c>
      <c r="G89" s="52" t="s">
        <v>363</v>
      </c>
      <c r="H89" s="53">
        <v>81861.0</v>
      </c>
      <c r="I89" s="53">
        <v>2.0</v>
      </c>
      <c r="J89" s="53">
        <v>0.0</v>
      </c>
      <c r="K89" s="53">
        <v>0.0</v>
      </c>
      <c r="L89" s="53">
        <v>0.0</v>
      </c>
      <c r="M89" s="53">
        <v>0.0</v>
      </c>
      <c r="N89" s="53">
        <v>0.0</v>
      </c>
      <c r="O89" s="53">
        <v>0.0</v>
      </c>
      <c r="P89" s="53">
        <v>0.0</v>
      </c>
      <c r="Q89" s="53">
        <v>0.0</v>
      </c>
      <c r="R89" s="53">
        <v>0.0</v>
      </c>
      <c r="S89" s="53">
        <v>0.0</v>
      </c>
      <c r="T89" s="53">
        <v>0.0</v>
      </c>
      <c r="U89" s="53">
        <v>0.0</v>
      </c>
      <c r="V89" s="53">
        <v>0.0</v>
      </c>
      <c r="W89" s="53">
        <v>0.0</v>
      </c>
      <c r="X89" s="53">
        <v>0.0</v>
      </c>
      <c r="Y89" s="53">
        <v>0.0</v>
      </c>
      <c r="Z89" s="53">
        <v>2.0</v>
      </c>
      <c r="AA89" s="53">
        <v>0.0</v>
      </c>
      <c r="AB89" s="53">
        <v>0.0</v>
      </c>
      <c r="AC89" s="53">
        <v>0.0</v>
      </c>
      <c r="AD89" s="53">
        <v>0.0</v>
      </c>
      <c r="AE89" s="53">
        <v>0.0</v>
      </c>
      <c r="AF89" s="53">
        <v>0.0</v>
      </c>
      <c r="AG89" s="53">
        <v>0.0</v>
      </c>
      <c r="AH89" s="53">
        <v>0.0</v>
      </c>
      <c r="AI89" s="53">
        <v>0.0</v>
      </c>
      <c r="AJ89" s="53">
        <v>0.0</v>
      </c>
      <c r="AK89" s="53">
        <v>0.0</v>
      </c>
      <c r="AL89" s="53">
        <v>0.0</v>
      </c>
      <c r="AM89" s="53">
        <v>0.0</v>
      </c>
      <c r="AN89" s="53">
        <v>0.0</v>
      </c>
      <c r="AO89" s="25">
        <v>22.7</v>
      </c>
      <c r="AP89" s="54"/>
      <c r="AQ89" s="54"/>
      <c r="AR89" s="54"/>
      <c r="AS89" s="54"/>
      <c r="AT89" s="54"/>
      <c r="AU89" s="54"/>
      <c r="AV89" s="54"/>
      <c r="AW89" s="54"/>
      <c r="AX89" s="54"/>
      <c r="AY89" s="54"/>
      <c r="AZ89" s="54"/>
      <c r="BA89" s="54"/>
      <c r="BB89" s="54"/>
      <c r="BC89" s="54"/>
      <c r="BD89" s="54"/>
      <c r="BE89" s="54"/>
      <c r="BF89" s="53">
        <v>22.7</v>
      </c>
      <c r="BG89" s="54"/>
      <c r="BH89" s="54"/>
      <c r="BI89" s="54"/>
      <c r="BJ89" s="54"/>
      <c r="BK89" s="54"/>
      <c r="BL89" s="54"/>
      <c r="BM89" s="54"/>
      <c r="BN89" s="54"/>
      <c r="BO89" s="54"/>
      <c r="BP89" s="53">
        <v>3.07</v>
      </c>
      <c r="BQ89" s="53">
        <v>5.63</v>
      </c>
      <c r="BR89" s="53">
        <v>8.5</v>
      </c>
      <c r="BS89" s="25">
        <v>7.94</v>
      </c>
      <c r="BT89" s="81"/>
      <c r="BU89" s="54"/>
      <c r="BV89" s="54"/>
      <c r="BW89" s="54"/>
      <c r="BX89" s="53">
        <v>2100.0</v>
      </c>
      <c r="BY89" s="53" t="s">
        <v>123</v>
      </c>
      <c r="BZ89" s="58">
        <v>1800.0</v>
      </c>
      <c r="CA89" s="29" t="s">
        <v>124</v>
      </c>
      <c r="CB89" s="30">
        <v>2100.0</v>
      </c>
      <c r="CC89" s="31"/>
      <c r="CD89" s="58">
        <v>2100.0</v>
      </c>
      <c r="CE89" s="59" t="e">
        <v>#REF!</v>
      </c>
      <c r="CF89" s="60"/>
      <c r="CG89" s="61">
        <v>0.0</v>
      </c>
      <c r="CH89" s="62">
        <v>0.0</v>
      </c>
      <c r="CI89" s="63">
        <v>2.0</v>
      </c>
      <c r="CJ89" s="63">
        <v>208.0</v>
      </c>
      <c r="CK89" s="64">
        <v>-7.0</v>
      </c>
      <c r="CL89" s="63">
        <v>201.0</v>
      </c>
      <c r="CM89" s="65">
        <v>45.0</v>
      </c>
      <c r="CN89" s="63">
        <v>0.0</v>
      </c>
      <c r="CO89" s="66">
        <v>22.7</v>
      </c>
      <c r="CP89" s="67">
        <v>0.0</v>
      </c>
      <c r="CQ89" s="63">
        <v>6.0</v>
      </c>
      <c r="CR89" s="63">
        <v>6.0</v>
      </c>
      <c r="CS89" s="63">
        <v>16.0</v>
      </c>
      <c r="CT89" s="68"/>
      <c r="CU89" s="69"/>
      <c r="CV89" s="70"/>
      <c r="CW89" s="71">
        <v>7.0</v>
      </c>
      <c r="CX89" s="71" t="s">
        <v>201</v>
      </c>
      <c r="CY89" s="71" t="s">
        <v>202</v>
      </c>
      <c r="CZ89" s="45"/>
      <c r="DA89" s="44">
        <v>2100.0</v>
      </c>
      <c r="DB89" s="44">
        <v>0.0</v>
      </c>
      <c r="DC89" s="46" t="s">
        <v>127</v>
      </c>
      <c r="DD89" s="47">
        <v>46213.0</v>
      </c>
      <c r="DE89" s="43"/>
      <c r="DF89" s="43"/>
      <c r="DG89" s="48" t="s">
        <v>128</v>
      </c>
      <c r="DH89" s="48" t="s">
        <v>128</v>
      </c>
      <c r="DI89" s="48" t="s">
        <v>129</v>
      </c>
      <c r="DJ89" s="49">
        <v>1.0</v>
      </c>
      <c r="DK89" s="48" t="b">
        <v>0</v>
      </c>
      <c r="DL89" s="50" t="s">
        <v>360</v>
      </c>
      <c r="DM89" s="50" t="s">
        <v>131</v>
      </c>
      <c r="DN89" s="50" t="s">
        <v>361</v>
      </c>
      <c r="DO89" s="49">
        <v>0.05</v>
      </c>
      <c r="DP89" s="48" t="s">
        <v>128</v>
      </c>
      <c r="DQ89" s="48" t="s">
        <v>133</v>
      </c>
      <c r="DR89" s="51"/>
      <c r="DS89" s="48" t="s">
        <v>134</v>
      </c>
    </row>
    <row r="90">
      <c r="A90" s="23" t="s">
        <v>118</v>
      </c>
      <c r="B90" s="24">
        <v>3.0</v>
      </c>
      <c r="C90" s="23" t="s">
        <v>119</v>
      </c>
      <c r="D90" s="24">
        <v>626041.0</v>
      </c>
      <c r="E90" s="23" t="s">
        <v>135</v>
      </c>
      <c r="F90" s="23" t="s">
        <v>364</v>
      </c>
      <c r="G90" s="23" t="s">
        <v>365</v>
      </c>
      <c r="H90" s="24">
        <v>81861.0</v>
      </c>
      <c r="I90" s="24">
        <v>5.0</v>
      </c>
      <c r="J90" s="24">
        <v>0.0</v>
      </c>
      <c r="K90" s="24">
        <v>0.0</v>
      </c>
      <c r="L90" s="24">
        <v>0.0</v>
      </c>
      <c r="M90" s="24">
        <v>0.0</v>
      </c>
      <c r="N90" s="24">
        <v>0.0</v>
      </c>
      <c r="O90" s="24">
        <v>0.0</v>
      </c>
      <c r="P90" s="24">
        <v>0.0</v>
      </c>
      <c r="Q90" s="24">
        <v>0.0</v>
      </c>
      <c r="R90" s="24">
        <v>0.0</v>
      </c>
      <c r="S90" s="24">
        <v>1.0</v>
      </c>
      <c r="T90" s="24">
        <v>0.0</v>
      </c>
      <c r="U90" s="24">
        <v>0.0</v>
      </c>
      <c r="V90" s="24">
        <v>1.0</v>
      </c>
      <c r="W90" s="24">
        <v>0.0</v>
      </c>
      <c r="X90" s="24">
        <v>0.0</v>
      </c>
      <c r="Y90" s="24">
        <v>0.0</v>
      </c>
      <c r="Z90" s="24">
        <v>0.0</v>
      </c>
      <c r="AA90" s="24">
        <v>0.0</v>
      </c>
      <c r="AB90" s="24">
        <v>0.0</v>
      </c>
      <c r="AC90" s="24">
        <v>0.0</v>
      </c>
      <c r="AD90" s="24">
        <v>0.0</v>
      </c>
      <c r="AE90" s="24">
        <v>0.0</v>
      </c>
      <c r="AF90" s="24">
        <v>1.0</v>
      </c>
      <c r="AG90" s="24">
        <v>0.0</v>
      </c>
      <c r="AH90" s="24">
        <v>1.0</v>
      </c>
      <c r="AI90" s="24">
        <v>0.0</v>
      </c>
      <c r="AJ90" s="24">
        <v>1.0</v>
      </c>
      <c r="AK90" s="24">
        <v>0.0</v>
      </c>
      <c r="AL90" s="24">
        <v>0.0</v>
      </c>
      <c r="AM90" s="24">
        <v>0.0</v>
      </c>
      <c r="AN90" s="24">
        <v>0.0</v>
      </c>
      <c r="AO90" s="25">
        <v>38.1</v>
      </c>
      <c r="AP90" s="26"/>
      <c r="AQ90" s="26"/>
      <c r="AR90" s="26"/>
      <c r="AS90" s="26"/>
      <c r="AT90" s="26"/>
      <c r="AU90" s="26"/>
      <c r="AV90" s="26"/>
      <c r="AW90" s="26"/>
      <c r="AX90" s="26"/>
      <c r="AY90" s="24">
        <v>25.02</v>
      </c>
      <c r="AZ90" s="26"/>
      <c r="BA90" s="26"/>
      <c r="BB90" s="24">
        <v>64.68</v>
      </c>
      <c r="BC90" s="26"/>
      <c r="BD90" s="26"/>
      <c r="BE90" s="26"/>
      <c r="BF90" s="26"/>
      <c r="BG90" s="26"/>
      <c r="BH90" s="26"/>
      <c r="BI90" s="26"/>
      <c r="BJ90" s="26"/>
      <c r="BK90" s="26"/>
      <c r="BL90" s="24">
        <v>32.58</v>
      </c>
      <c r="BM90" s="26"/>
      <c r="BN90" s="24">
        <v>36.92</v>
      </c>
      <c r="BO90" s="24">
        <v>0.52</v>
      </c>
      <c r="BP90" s="24">
        <v>14.97</v>
      </c>
      <c r="BQ90" s="24">
        <v>6.49</v>
      </c>
      <c r="BR90" s="24">
        <v>21.25</v>
      </c>
      <c r="BS90" s="25">
        <v>6.07</v>
      </c>
      <c r="BT90" s="27"/>
      <c r="BU90" s="26"/>
      <c r="BV90" s="26"/>
      <c r="BW90" s="26"/>
      <c r="BX90" s="24">
        <v>2100.0</v>
      </c>
      <c r="BY90" s="24" t="s">
        <v>123</v>
      </c>
      <c r="BZ90" s="28">
        <v>1800.0</v>
      </c>
      <c r="CA90" s="29" t="s">
        <v>124</v>
      </c>
      <c r="CB90" s="30">
        <v>2100.0</v>
      </c>
      <c r="CC90" s="31"/>
      <c r="CD90" s="28">
        <v>2100.0</v>
      </c>
      <c r="CE90" s="32" t="e">
        <v>#REF!</v>
      </c>
      <c r="CF90" s="33"/>
      <c r="CG90" s="34">
        <v>0.0</v>
      </c>
      <c r="CH90" s="35">
        <v>0.0</v>
      </c>
      <c r="CI90" s="36">
        <v>5.0</v>
      </c>
      <c r="CJ90" s="36">
        <v>208.0</v>
      </c>
      <c r="CK90" s="37">
        <v>-7.0</v>
      </c>
      <c r="CL90" s="36">
        <v>201.0</v>
      </c>
      <c r="CM90" s="38">
        <v>191.0</v>
      </c>
      <c r="CN90" s="36">
        <v>0.0</v>
      </c>
      <c r="CO90" s="39">
        <v>38.1</v>
      </c>
      <c r="CP90" s="40">
        <v>0.0</v>
      </c>
      <c r="CQ90" s="36">
        <v>75.0</v>
      </c>
      <c r="CR90" s="36">
        <v>75.0</v>
      </c>
      <c r="CS90" s="36">
        <v>30.0</v>
      </c>
      <c r="CT90" s="41"/>
      <c r="CU90" s="42"/>
      <c r="CV90" s="43"/>
      <c r="CW90" s="44">
        <v>7.0</v>
      </c>
      <c r="CX90" s="44" t="s">
        <v>201</v>
      </c>
      <c r="CY90" s="44" t="s">
        <v>202</v>
      </c>
      <c r="CZ90" s="45"/>
      <c r="DA90" s="44">
        <v>2100.0</v>
      </c>
      <c r="DB90" s="44">
        <v>0.0</v>
      </c>
      <c r="DC90" s="43"/>
      <c r="DD90" s="78"/>
      <c r="DE90" s="43"/>
      <c r="DF90" s="43"/>
      <c r="DG90" s="48" t="s">
        <v>128</v>
      </c>
      <c r="DH90" s="48" t="s">
        <v>128</v>
      </c>
      <c r="DI90" s="48" t="s">
        <v>129</v>
      </c>
      <c r="DJ90" s="49">
        <v>1.0</v>
      </c>
      <c r="DK90" s="48" t="b">
        <v>0</v>
      </c>
      <c r="DL90" s="50" t="s">
        <v>360</v>
      </c>
      <c r="DM90" s="50" t="s">
        <v>131</v>
      </c>
      <c r="DN90" s="50" t="s">
        <v>361</v>
      </c>
      <c r="DO90" s="49">
        <v>0.05</v>
      </c>
      <c r="DP90" s="48" t="s">
        <v>128</v>
      </c>
      <c r="DQ90" s="48" t="s">
        <v>133</v>
      </c>
      <c r="DR90" s="51"/>
      <c r="DS90" s="48" t="s">
        <v>134</v>
      </c>
    </row>
    <row r="91">
      <c r="A91" s="52" t="s">
        <v>118</v>
      </c>
      <c r="B91" s="53">
        <v>3.0</v>
      </c>
      <c r="C91" s="52" t="s">
        <v>119</v>
      </c>
      <c r="D91" s="53">
        <v>641892.0</v>
      </c>
      <c r="E91" s="52" t="s">
        <v>170</v>
      </c>
      <c r="F91" s="52" t="s">
        <v>366</v>
      </c>
      <c r="G91" s="52" t="s">
        <v>367</v>
      </c>
      <c r="H91" s="53">
        <v>81861.0</v>
      </c>
      <c r="I91" s="53">
        <v>3.0</v>
      </c>
      <c r="J91" s="53">
        <v>0.0</v>
      </c>
      <c r="K91" s="53">
        <v>0.0</v>
      </c>
      <c r="L91" s="53">
        <v>0.0</v>
      </c>
      <c r="M91" s="53">
        <v>0.0</v>
      </c>
      <c r="N91" s="53">
        <v>0.0</v>
      </c>
      <c r="O91" s="53">
        <v>0.0</v>
      </c>
      <c r="P91" s="53">
        <v>0.0</v>
      </c>
      <c r="Q91" s="53">
        <v>0.0</v>
      </c>
      <c r="R91" s="53">
        <v>1.0</v>
      </c>
      <c r="S91" s="53">
        <v>0.0</v>
      </c>
      <c r="T91" s="53">
        <v>0.0</v>
      </c>
      <c r="U91" s="53">
        <v>0.0</v>
      </c>
      <c r="V91" s="53">
        <v>0.0</v>
      </c>
      <c r="W91" s="53">
        <v>0.0</v>
      </c>
      <c r="X91" s="53">
        <v>0.0</v>
      </c>
      <c r="Y91" s="53">
        <v>1.0</v>
      </c>
      <c r="Z91" s="53">
        <v>0.0</v>
      </c>
      <c r="AA91" s="53">
        <v>0.0</v>
      </c>
      <c r="AB91" s="53">
        <v>0.0</v>
      </c>
      <c r="AC91" s="53">
        <v>0.0</v>
      </c>
      <c r="AD91" s="53">
        <v>0.0</v>
      </c>
      <c r="AE91" s="53">
        <v>1.0</v>
      </c>
      <c r="AF91" s="53">
        <v>0.0</v>
      </c>
      <c r="AG91" s="53">
        <v>0.0</v>
      </c>
      <c r="AH91" s="53">
        <v>0.0</v>
      </c>
      <c r="AI91" s="53">
        <v>0.0</v>
      </c>
      <c r="AJ91" s="53">
        <v>0.0</v>
      </c>
      <c r="AK91" s="53">
        <v>0.0</v>
      </c>
      <c r="AL91" s="53">
        <v>0.0</v>
      </c>
      <c r="AM91" s="53">
        <v>0.0</v>
      </c>
      <c r="AN91" s="53">
        <v>0.0</v>
      </c>
      <c r="AO91" s="25">
        <v>32.8</v>
      </c>
      <c r="AP91" s="54"/>
      <c r="AQ91" s="54"/>
      <c r="AR91" s="54"/>
      <c r="AS91" s="54"/>
      <c r="AT91" s="54"/>
      <c r="AU91" s="54"/>
      <c r="AV91" s="54"/>
      <c r="AW91" s="54"/>
      <c r="AX91" s="53">
        <v>30.28</v>
      </c>
      <c r="AY91" s="54"/>
      <c r="AZ91" s="54"/>
      <c r="BA91" s="54"/>
      <c r="BB91" s="54"/>
      <c r="BC91" s="54"/>
      <c r="BD91" s="54"/>
      <c r="BE91" s="53">
        <v>43.22</v>
      </c>
      <c r="BF91" s="54"/>
      <c r="BG91" s="54"/>
      <c r="BH91" s="54"/>
      <c r="BI91" s="54"/>
      <c r="BJ91" s="54"/>
      <c r="BK91" s="53">
        <v>24.97</v>
      </c>
      <c r="BL91" s="54"/>
      <c r="BM91" s="54"/>
      <c r="BN91" s="54"/>
      <c r="BO91" s="54"/>
      <c r="BP91" s="53">
        <v>8.32</v>
      </c>
      <c r="BQ91" s="53">
        <v>12.06</v>
      </c>
      <c r="BR91" s="53">
        <v>20.17</v>
      </c>
      <c r="BS91" s="25">
        <v>4.89</v>
      </c>
      <c r="BT91" s="81"/>
      <c r="BU91" s="54"/>
      <c r="BV91" s="54"/>
      <c r="BW91" s="54"/>
      <c r="BX91" s="53">
        <v>2100.0</v>
      </c>
      <c r="BY91" s="53" t="s">
        <v>123</v>
      </c>
      <c r="BZ91" s="58">
        <v>1800.0</v>
      </c>
      <c r="CA91" s="29" t="s">
        <v>124</v>
      </c>
      <c r="CB91" s="30">
        <v>2100.0</v>
      </c>
      <c r="CC91" s="31"/>
      <c r="CD91" s="58">
        <v>2100.0</v>
      </c>
      <c r="CE91" s="59" t="e">
        <v>#REF!</v>
      </c>
      <c r="CF91" s="60"/>
      <c r="CG91" s="61">
        <v>0.0</v>
      </c>
      <c r="CH91" s="62">
        <v>0.0</v>
      </c>
      <c r="CI91" s="63">
        <v>3.0</v>
      </c>
      <c r="CJ91" s="63">
        <v>208.0</v>
      </c>
      <c r="CK91" s="64">
        <v>-7.0</v>
      </c>
      <c r="CL91" s="63">
        <v>201.0</v>
      </c>
      <c r="CM91" s="65">
        <v>98.0</v>
      </c>
      <c r="CN91" s="63">
        <v>0.0</v>
      </c>
      <c r="CO91" s="66">
        <v>32.8</v>
      </c>
      <c r="CP91" s="67">
        <v>0.0</v>
      </c>
      <c r="CQ91" s="63">
        <v>25.0</v>
      </c>
      <c r="CR91" s="63">
        <v>25.0</v>
      </c>
      <c r="CS91" s="63">
        <v>15.0</v>
      </c>
      <c r="CT91" s="68"/>
      <c r="CU91" s="69"/>
      <c r="CV91" s="70"/>
      <c r="CW91" s="71">
        <v>7.0</v>
      </c>
      <c r="CX91" s="71" t="s">
        <v>201</v>
      </c>
      <c r="CY91" s="71" t="s">
        <v>202</v>
      </c>
      <c r="CZ91" s="45"/>
      <c r="DA91" s="44">
        <v>2100.0</v>
      </c>
      <c r="DB91" s="44">
        <v>0.0</v>
      </c>
      <c r="DC91" s="43"/>
      <c r="DD91" s="78"/>
      <c r="DE91" s="43"/>
      <c r="DF91" s="43"/>
      <c r="DG91" s="48" t="s">
        <v>128</v>
      </c>
      <c r="DH91" s="48" t="s">
        <v>128</v>
      </c>
      <c r="DI91" s="48" t="s">
        <v>129</v>
      </c>
      <c r="DJ91" s="49">
        <v>1.0</v>
      </c>
      <c r="DK91" s="48" t="b">
        <v>0</v>
      </c>
      <c r="DL91" s="50" t="s">
        <v>360</v>
      </c>
      <c r="DM91" s="50" t="s">
        <v>131</v>
      </c>
      <c r="DN91" s="50" t="s">
        <v>361</v>
      </c>
      <c r="DO91" s="49">
        <v>0.05</v>
      </c>
      <c r="DP91" s="48" t="s">
        <v>128</v>
      </c>
      <c r="DQ91" s="48" t="s">
        <v>133</v>
      </c>
      <c r="DR91" s="51"/>
      <c r="DS91" s="48" t="s">
        <v>134</v>
      </c>
    </row>
    <row r="92">
      <c r="A92" s="23" t="s">
        <v>118</v>
      </c>
      <c r="B92" s="24">
        <v>3.0</v>
      </c>
      <c r="C92" s="23" t="s">
        <v>119</v>
      </c>
      <c r="D92" s="24">
        <v>641645.0</v>
      </c>
      <c r="E92" s="23" t="s">
        <v>145</v>
      </c>
      <c r="F92" s="23" t="s">
        <v>368</v>
      </c>
      <c r="G92" s="23" t="s">
        <v>369</v>
      </c>
      <c r="H92" s="24">
        <v>81861.0</v>
      </c>
      <c r="I92" s="24">
        <v>4.0</v>
      </c>
      <c r="J92" s="24">
        <v>0.0</v>
      </c>
      <c r="K92" s="24">
        <v>0.0</v>
      </c>
      <c r="L92" s="24">
        <v>0.0</v>
      </c>
      <c r="M92" s="24">
        <v>1.0</v>
      </c>
      <c r="N92" s="24">
        <v>0.0</v>
      </c>
      <c r="O92" s="24">
        <v>1.0</v>
      </c>
      <c r="P92" s="24">
        <v>0.0</v>
      </c>
      <c r="Q92" s="24">
        <v>0.0</v>
      </c>
      <c r="R92" s="24">
        <v>0.0</v>
      </c>
      <c r="S92" s="24">
        <v>0.0</v>
      </c>
      <c r="T92" s="24">
        <v>0.0</v>
      </c>
      <c r="U92" s="24">
        <v>0.0</v>
      </c>
      <c r="V92" s="24">
        <v>0.0</v>
      </c>
      <c r="W92" s="24">
        <v>0.0</v>
      </c>
      <c r="X92" s="24">
        <v>0.0</v>
      </c>
      <c r="Y92" s="24">
        <v>0.0</v>
      </c>
      <c r="Z92" s="24">
        <v>0.0</v>
      </c>
      <c r="AA92" s="24">
        <v>1.0</v>
      </c>
      <c r="AB92" s="24">
        <v>0.0</v>
      </c>
      <c r="AC92" s="24">
        <v>0.0</v>
      </c>
      <c r="AD92" s="24">
        <v>0.0</v>
      </c>
      <c r="AE92" s="24">
        <v>1.0</v>
      </c>
      <c r="AF92" s="24">
        <v>0.0</v>
      </c>
      <c r="AG92" s="24">
        <v>0.0</v>
      </c>
      <c r="AH92" s="24">
        <v>0.0</v>
      </c>
      <c r="AI92" s="24">
        <v>0.0</v>
      </c>
      <c r="AJ92" s="24">
        <v>0.0</v>
      </c>
      <c r="AK92" s="24">
        <v>0.0</v>
      </c>
      <c r="AL92" s="24">
        <v>0.0</v>
      </c>
      <c r="AM92" s="24">
        <v>0.0</v>
      </c>
      <c r="AN92" s="24">
        <v>0.0</v>
      </c>
      <c r="AO92" s="25">
        <v>17.1</v>
      </c>
      <c r="AP92" s="26"/>
      <c r="AQ92" s="26"/>
      <c r="AR92" s="26"/>
      <c r="AS92" s="24">
        <v>15.33</v>
      </c>
      <c r="AT92" s="26"/>
      <c r="AU92" s="24">
        <v>12.02</v>
      </c>
      <c r="AV92" s="26"/>
      <c r="AW92" s="26"/>
      <c r="AX92" s="26"/>
      <c r="AY92" s="26"/>
      <c r="AZ92" s="26"/>
      <c r="BA92" s="26"/>
      <c r="BB92" s="26"/>
      <c r="BC92" s="26"/>
      <c r="BD92" s="26"/>
      <c r="BE92" s="26"/>
      <c r="BF92" s="26"/>
      <c r="BG92" s="24">
        <v>22.22</v>
      </c>
      <c r="BH92" s="26"/>
      <c r="BI92" s="26"/>
      <c r="BJ92" s="26"/>
      <c r="BK92" s="24">
        <v>18.85</v>
      </c>
      <c r="BL92" s="26"/>
      <c r="BM92" s="26"/>
      <c r="BN92" s="26"/>
      <c r="BO92" s="26"/>
      <c r="BP92" s="24">
        <v>2.66</v>
      </c>
      <c r="BQ92" s="24">
        <v>6.76</v>
      </c>
      <c r="BR92" s="24">
        <v>9.19</v>
      </c>
      <c r="BS92" s="25">
        <v>4.47</v>
      </c>
      <c r="BT92" s="56">
        <v>18.9</v>
      </c>
      <c r="BU92" s="55">
        <v>3.7</v>
      </c>
      <c r="BV92" s="57">
        <v>5.63</v>
      </c>
      <c r="BW92" s="26"/>
      <c r="BX92" s="24">
        <v>2400.0</v>
      </c>
      <c r="BY92" s="24" t="s">
        <v>123</v>
      </c>
      <c r="BZ92" s="28">
        <v>2400.0</v>
      </c>
      <c r="CA92" s="72"/>
      <c r="CB92" s="30">
        <v>2700.0</v>
      </c>
      <c r="CC92" s="31"/>
      <c r="CD92" s="28">
        <v>2700.0</v>
      </c>
      <c r="CE92" s="32" t="e">
        <v>#REF!</v>
      </c>
      <c r="CF92" s="73">
        <f>+300</f>
        <v>300</v>
      </c>
      <c r="CG92" s="74">
        <f>+1</f>
        <v>1</v>
      </c>
      <c r="CH92" s="35">
        <v>0.25</v>
      </c>
      <c r="CI92" s="36">
        <v>5.0</v>
      </c>
      <c r="CJ92" s="36">
        <v>208.0</v>
      </c>
      <c r="CK92" s="37">
        <v>-7.0</v>
      </c>
      <c r="CL92" s="36">
        <v>201.0</v>
      </c>
      <c r="CM92" s="38">
        <v>68.0</v>
      </c>
      <c r="CN92" s="36">
        <v>-14.0</v>
      </c>
      <c r="CO92" s="39">
        <v>16.5</v>
      </c>
      <c r="CP92" s="40">
        <v>-0.6</v>
      </c>
      <c r="CQ92" s="36">
        <v>11.0</v>
      </c>
      <c r="CR92" s="36">
        <v>13.0</v>
      </c>
      <c r="CS92" s="36">
        <v>22.0</v>
      </c>
      <c r="CT92" s="41"/>
      <c r="CU92" s="42"/>
      <c r="CV92" s="43"/>
      <c r="CW92" s="44">
        <v>9.0</v>
      </c>
      <c r="CX92" s="44" t="s">
        <v>143</v>
      </c>
      <c r="CY92" s="44" t="s">
        <v>144</v>
      </c>
      <c r="CZ92" s="76" t="s">
        <v>151</v>
      </c>
      <c r="DA92" s="44">
        <v>2700.0</v>
      </c>
      <c r="DB92" s="44">
        <v>0.0</v>
      </c>
      <c r="DC92" s="46" t="s">
        <v>127</v>
      </c>
      <c r="DD92" s="47">
        <v>46233.0</v>
      </c>
      <c r="DE92" s="43"/>
      <c r="DF92" s="43"/>
      <c r="DG92" s="48" t="s">
        <v>128</v>
      </c>
      <c r="DH92" s="48" t="s">
        <v>128</v>
      </c>
      <c r="DI92" s="48" t="s">
        <v>128</v>
      </c>
      <c r="DJ92" s="49">
        <v>1.0</v>
      </c>
      <c r="DK92" s="48" t="b">
        <v>0</v>
      </c>
      <c r="DL92" s="50" t="s">
        <v>360</v>
      </c>
      <c r="DM92" s="50" t="s">
        <v>131</v>
      </c>
      <c r="DN92" s="50" t="s">
        <v>361</v>
      </c>
      <c r="DO92" s="49">
        <v>0.05</v>
      </c>
      <c r="DP92" s="48" t="s">
        <v>128</v>
      </c>
      <c r="DQ92" s="48" t="s">
        <v>128</v>
      </c>
      <c r="DR92" s="51"/>
      <c r="DS92" s="48" t="s">
        <v>134</v>
      </c>
    </row>
    <row r="93">
      <c r="A93" s="52" t="s">
        <v>118</v>
      </c>
      <c r="B93" s="53">
        <v>3.0</v>
      </c>
      <c r="C93" s="52" t="s">
        <v>119</v>
      </c>
      <c r="D93" s="53">
        <v>648801.0</v>
      </c>
      <c r="E93" s="52" t="s">
        <v>198</v>
      </c>
      <c r="F93" s="52" t="s">
        <v>370</v>
      </c>
      <c r="G93" s="52" t="s">
        <v>371</v>
      </c>
      <c r="H93" s="53">
        <v>81861.0</v>
      </c>
      <c r="I93" s="53">
        <v>4.0</v>
      </c>
      <c r="J93" s="53">
        <v>0.0</v>
      </c>
      <c r="K93" s="53">
        <v>0.0</v>
      </c>
      <c r="L93" s="53">
        <v>0.0</v>
      </c>
      <c r="M93" s="53">
        <v>0.0</v>
      </c>
      <c r="N93" s="53">
        <v>0.0</v>
      </c>
      <c r="O93" s="53">
        <v>0.0</v>
      </c>
      <c r="P93" s="53">
        <v>0.0</v>
      </c>
      <c r="Q93" s="53">
        <v>0.0</v>
      </c>
      <c r="R93" s="53">
        <v>0.0</v>
      </c>
      <c r="S93" s="53">
        <v>0.0</v>
      </c>
      <c r="T93" s="53">
        <v>0.0</v>
      </c>
      <c r="U93" s="53">
        <v>0.0</v>
      </c>
      <c r="V93" s="53">
        <v>0.0</v>
      </c>
      <c r="W93" s="53">
        <v>1.0</v>
      </c>
      <c r="X93" s="53">
        <v>0.0</v>
      </c>
      <c r="Y93" s="53">
        <v>0.0</v>
      </c>
      <c r="Z93" s="53">
        <v>0.0</v>
      </c>
      <c r="AA93" s="53">
        <v>0.0</v>
      </c>
      <c r="AB93" s="53">
        <v>1.0</v>
      </c>
      <c r="AC93" s="53">
        <v>0.0</v>
      </c>
      <c r="AD93" s="53">
        <v>0.0</v>
      </c>
      <c r="AE93" s="53">
        <v>0.0</v>
      </c>
      <c r="AF93" s="53">
        <v>1.0</v>
      </c>
      <c r="AG93" s="53">
        <v>0.0</v>
      </c>
      <c r="AH93" s="53">
        <v>1.0</v>
      </c>
      <c r="AI93" s="53">
        <v>0.0</v>
      </c>
      <c r="AJ93" s="53">
        <v>0.0</v>
      </c>
      <c r="AK93" s="53">
        <v>0.0</v>
      </c>
      <c r="AL93" s="53">
        <v>0.0</v>
      </c>
      <c r="AM93" s="53">
        <v>0.0</v>
      </c>
      <c r="AN93" s="53">
        <v>0.0</v>
      </c>
      <c r="AO93" s="25">
        <v>38.1</v>
      </c>
      <c r="AP93" s="54"/>
      <c r="AQ93" s="54"/>
      <c r="AR93" s="54"/>
      <c r="AS93" s="54"/>
      <c r="AT93" s="54"/>
      <c r="AU93" s="54"/>
      <c r="AV93" s="54"/>
      <c r="AW93" s="54"/>
      <c r="AX93" s="54"/>
      <c r="AY93" s="54"/>
      <c r="AZ93" s="54"/>
      <c r="BA93" s="54"/>
      <c r="BB93" s="54"/>
      <c r="BC93" s="53">
        <v>22.52</v>
      </c>
      <c r="BD93" s="54"/>
      <c r="BE93" s="54"/>
      <c r="BF93" s="54"/>
      <c r="BG93" s="54"/>
      <c r="BH93" s="53">
        <v>54.38</v>
      </c>
      <c r="BI93" s="54"/>
      <c r="BJ93" s="54"/>
      <c r="BK93" s="54"/>
      <c r="BL93" s="53">
        <v>31.65</v>
      </c>
      <c r="BM93" s="54"/>
      <c r="BN93" s="53">
        <v>43.7</v>
      </c>
      <c r="BO93" s="54"/>
      <c r="BP93" s="53">
        <v>18.72</v>
      </c>
      <c r="BQ93" s="53">
        <v>7.81</v>
      </c>
      <c r="BR93" s="53">
        <v>26.33</v>
      </c>
      <c r="BS93" s="25">
        <v>4.06</v>
      </c>
      <c r="BT93" s="56">
        <v>31.7</v>
      </c>
      <c r="BU93" s="25">
        <v>13.6</v>
      </c>
      <c r="BV93" s="25">
        <v>7.27</v>
      </c>
      <c r="BW93" s="54"/>
      <c r="BX93" s="53">
        <v>2400.0</v>
      </c>
      <c r="BY93" s="53" t="s">
        <v>123</v>
      </c>
      <c r="BZ93" s="58">
        <v>2100.0</v>
      </c>
      <c r="CA93" s="29" t="s">
        <v>124</v>
      </c>
      <c r="CB93" s="30">
        <v>2400.0</v>
      </c>
      <c r="CC93" s="31"/>
      <c r="CD93" s="58">
        <v>2400.0</v>
      </c>
      <c r="CE93" s="59" t="e">
        <v>#REF!</v>
      </c>
      <c r="CF93" s="60"/>
      <c r="CG93" s="61">
        <v>0.0</v>
      </c>
      <c r="CH93" s="62">
        <v>0.0</v>
      </c>
      <c r="CI93" s="63">
        <v>4.0</v>
      </c>
      <c r="CJ93" s="63">
        <v>208.0</v>
      </c>
      <c r="CK93" s="64">
        <v>-7.0</v>
      </c>
      <c r="CL93" s="63">
        <v>201.0</v>
      </c>
      <c r="CM93" s="65">
        <v>152.0</v>
      </c>
      <c r="CN93" s="63">
        <v>0.0</v>
      </c>
      <c r="CO93" s="66">
        <v>38.1</v>
      </c>
      <c r="CP93" s="67">
        <v>0.0</v>
      </c>
      <c r="CQ93" s="63">
        <v>75.0</v>
      </c>
      <c r="CR93" s="63">
        <v>75.0</v>
      </c>
      <c r="CS93" s="63">
        <v>16.0</v>
      </c>
      <c r="CT93" s="68"/>
      <c r="CU93" s="69"/>
      <c r="CV93" s="70"/>
      <c r="CW93" s="71">
        <v>8.0</v>
      </c>
      <c r="CX93" s="71" t="s">
        <v>125</v>
      </c>
      <c r="CY93" s="71" t="s">
        <v>126</v>
      </c>
      <c r="CZ93" s="45"/>
      <c r="DA93" s="44">
        <v>2400.0</v>
      </c>
      <c r="DB93" s="44">
        <v>0.0</v>
      </c>
      <c r="DC93" s="43"/>
      <c r="DD93" s="78"/>
      <c r="DE93" s="43"/>
      <c r="DF93" s="43"/>
      <c r="DG93" s="48" t="s">
        <v>128</v>
      </c>
      <c r="DH93" s="48" t="s">
        <v>128</v>
      </c>
      <c r="DI93" s="48" t="s">
        <v>129</v>
      </c>
      <c r="DJ93" s="49">
        <v>1.0</v>
      </c>
      <c r="DK93" s="48" t="b">
        <v>0</v>
      </c>
      <c r="DL93" s="50" t="s">
        <v>360</v>
      </c>
      <c r="DM93" s="50" t="s">
        <v>131</v>
      </c>
      <c r="DN93" s="50" t="s">
        <v>361</v>
      </c>
      <c r="DO93" s="49">
        <v>0.05</v>
      </c>
      <c r="DP93" s="48" t="s">
        <v>128</v>
      </c>
      <c r="DQ93" s="48" t="s">
        <v>133</v>
      </c>
      <c r="DR93" s="51"/>
      <c r="DS93" s="48" t="s">
        <v>134</v>
      </c>
    </row>
    <row r="94">
      <c r="A94" s="23" t="s">
        <v>118</v>
      </c>
      <c r="B94" s="24">
        <v>3.0</v>
      </c>
      <c r="C94" s="23" t="s">
        <v>119</v>
      </c>
      <c r="D94" s="24">
        <v>536832.0</v>
      </c>
      <c r="E94" s="23" t="s">
        <v>158</v>
      </c>
      <c r="F94" s="23" t="s">
        <v>372</v>
      </c>
      <c r="G94" s="23" t="s">
        <v>373</v>
      </c>
      <c r="H94" s="24">
        <v>81861.0</v>
      </c>
      <c r="I94" s="24">
        <v>14.0</v>
      </c>
      <c r="J94" s="24">
        <v>0.0</v>
      </c>
      <c r="K94" s="24">
        <v>0.0</v>
      </c>
      <c r="L94" s="24">
        <v>0.0</v>
      </c>
      <c r="M94" s="24">
        <v>0.0</v>
      </c>
      <c r="N94" s="24">
        <v>0.0</v>
      </c>
      <c r="O94" s="24">
        <v>2.0</v>
      </c>
      <c r="P94" s="24">
        <v>0.0</v>
      </c>
      <c r="Q94" s="24">
        <v>0.0</v>
      </c>
      <c r="R94" s="24">
        <v>1.0</v>
      </c>
      <c r="S94" s="24">
        <v>0.0</v>
      </c>
      <c r="T94" s="24">
        <v>0.0</v>
      </c>
      <c r="U94" s="24">
        <v>1.0</v>
      </c>
      <c r="V94" s="24">
        <v>0.0</v>
      </c>
      <c r="W94" s="24">
        <v>1.0</v>
      </c>
      <c r="X94" s="24">
        <v>0.0</v>
      </c>
      <c r="Y94" s="24">
        <v>0.0</v>
      </c>
      <c r="Z94" s="24">
        <v>1.0</v>
      </c>
      <c r="AA94" s="24">
        <v>1.0</v>
      </c>
      <c r="AB94" s="24">
        <v>1.0</v>
      </c>
      <c r="AC94" s="24">
        <v>4.0</v>
      </c>
      <c r="AD94" s="24">
        <v>0.0</v>
      </c>
      <c r="AE94" s="24">
        <v>1.0</v>
      </c>
      <c r="AF94" s="24">
        <v>1.0</v>
      </c>
      <c r="AG94" s="24">
        <v>0.0</v>
      </c>
      <c r="AH94" s="24">
        <v>0.0</v>
      </c>
      <c r="AI94" s="24">
        <v>0.0</v>
      </c>
      <c r="AJ94" s="24">
        <v>0.0</v>
      </c>
      <c r="AK94" s="24">
        <v>0.0</v>
      </c>
      <c r="AL94" s="24">
        <v>0.0</v>
      </c>
      <c r="AM94" s="24">
        <v>0.0</v>
      </c>
      <c r="AN94" s="24">
        <v>0.0</v>
      </c>
      <c r="AO94" s="25">
        <v>30.2</v>
      </c>
      <c r="AP94" s="26"/>
      <c r="AQ94" s="26"/>
      <c r="AR94" s="26"/>
      <c r="AS94" s="26"/>
      <c r="AT94" s="26"/>
      <c r="AU94" s="24">
        <v>32.98</v>
      </c>
      <c r="AV94" s="26"/>
      <c r="AW94" s="26"/>
      <c r="AX94" s="24">
        <v>20.23</v>
      </c>
      <c r="AY94" s="26"/>
      <c r="AZ94" s="26"/>
      <c r="BA94" s="24">
        <v>29.83</v>
      </c>
      <c r="BB94" s="26"/>
      <c r="BC94" s="24">
        <v>34.37</v>
      </c>
      <c r="BD94" s="26"/>
      <c r="BE94" s="26"/>
      <c r="BF94" s="24">
        <v>37.38</v>
      </c>
      <c r="BG94" s="24">
        <v>26.17</v>
      </c>
      <c r="BH94" s="24">
        <v>24.15</v>
      </c>
      <c r="BI94" s="24">
        <v>30.63</v>
      </c>
      <c r="BJ94" s="26"/>
      <c r="BK94" s="24">
        <v>40.97</v>
      </c>
      <c r="BL94" s="24">
        <v>20.73</v>
      </c>
      <c r="BM94" s="26"/>
      <c r="BN94" s="26"/>
      <c r="BO94" s="26"/>
      <c r="BP94" s="24">
        <v>11.88</v>
      </c>
      <c r="BQ94" s="24">
        <v>7.6</v>
      </c>
      <c r="BR94" s="24">
        <v>19.28</v>
      </c>
      <c r="BS94" s="55">
        <v>3.83</v>
      </c>
      <c r="BT94" s="56">
        <v>34.2</v>
      </c>
      <c r="BU94" s="25">
        <v>5.2</v>
      </c>
      <c r="BV94" s="25">
        <v>9.39</v>
      </c>
      <c r="BW94" s="24">
        <v>1600.0</v>
      </c>
      <c r="BX94" s="24">
        <v>2100.0</v>
      </c>
      <c r="BY94" s="24" t="s">
        <v>123</v>
      </c>
      <c r="BZ94" s="28">
        <v>1800.0</v>
      </c>
      <c r="CA94" s="29" t="s">
        <v>124</v>
      </c>
      <c r="CB94" s="30">
        <v>2100.0</v>
      </c>
      <c r="CC94" s="31"/>
      <c r="CD94" s="28">
        <v>2100.0</v>
      </c>
      <c r="CE94" s="32" t="e">
        <v>#REF!</v>
      </c>
      <c r="CF94" s="33"/>
      <c r="CG94" s="34">
        <v>0.0</v>
      </c>
      <c r="CH94" s="35">
        <v>0.0</v>
      </c>
      <c r="CI94" s="36">
        <v>14.0</v>
      </c>
      <c r="CJ94" s="36">
        <v>208.0</v>
      </c>
      <c r="CK94" s="37">
        <v>-7.0</v>
      </c>
      <c r="CL94" s="36">
        <v>201.0</v>
      </c>
      <c r="CM94" s="38">
        <v>423.0</v>
      </c>
      <c r="CN94" s="36">
        <v>0.0</v>
      </c>
      <c r="CO94" s="39">
        <v>30.2</v>
      </c>
      <c r="CP94" s="40">
        <v>0.0</v>
      </c>
      <c r="CQ94" s="36">
        <v>166.0</v>
      </c>
      <c r="CR94" s="36">
        <v>166.0</v>
      </c>
      <c r="CS94" s="36">
        <v>54.0</v>
      </c>
      <c r="CT94" s="41"/>
      <c r="CU94" s="42"/>
      <c r="CV94" s="43"/>
      <c r="CW94" s="44">
        <v>7.0</v>
      </c>
      <c r="CX94" s="44" t="s">
        <v>201</v>
      </c>
      <c r="CY94" s="44" t="s">
        <v>202</v>
      </c>
      <c r="CZ94" s="45"/>
      <c r="DA94" s="44">
        <v>2100.0</v>
      </c>
      <c r="DB94" s="44">
        <v>0.0</v>
      </c>
      <c r="DC94" s="43"/>
      <c r="DD94" s="78"/>
      <c r="DE94" s="43"/>
      <c r="DF94" s="43"/>
      <c r="DG94" s="48" t="s">
        <v>128</v>
      </c>
      <c r="DH94" s="48" t="s">
        <v>128</v>
      </c>
      <c r="DI94" s="48" t="s">
        <v>128</v>
      </c>
      <c r="DJ94" s="49">
        <v>1.0</v>
      </c>
      <c r="DK94" s="48" t="b">
        <v>0</v>
      </c>
      <c r="DL94" s="50" t="s">
        <v>360</v>
      </c>
      <c r="DM94" s="50" t="s">
        <v>131</v>
      </c>
      <c r="DN94" s="50" t="s">
        <v>361</v>
      </c>
      <c r="DO94" s="49">
        <v>0.05</v>
      </c>
      <c r="DP94" s="48" t="s">
        <v>128</v>
      </c>
      <c r="DQ94" s="48" t="s">
        <v>128</v>
      </c>
      <c r="DR94" s="51"/>
      <c r="DS94" s="48" t="s">
        <v>134</v>
      </c>
    </row>
    <row r="95">
      <c r="A95" s="52" t="s">
        <v>118</v>
      </c>
      <c r="B95" s="53">
        <v>3.0</v>
      </c>
      <c r="C95" s="52" t="s">
        <v>119</v>
      </c>
      <c r="D95" s="53">
        <v>588071.0</v>
      </c>
      <c r="E95" s="52" t="s">
        <v>152</v>
      </c>
      <c r="F95" s="52" t="s">
        <v>374</v>
      </c>
      <c r="G95" s="52" t="s">
        <v>375</v>
      </c>
      <c r="H95" s="53">
        <v>81861.0</v>
      </c>
      <c r="I95" s="53">
        <v>4.0</v>
      </c>
      <c r="J95" s="53">
        <v>0.0</v>
      </c>
      <c r="K95" s="53">
        <v>0.0</v>
      </c>
      <c r="L95" s="53">
        <v>0.0</v>
      </c>
      <c r="M95" s="53">
        <v>0.0</v>
      </c>
      <c r="N95" s="53">
        <v>0.0</v>
      </c>
      <c r="O95" s="53">
        <v>1.0</v>
      </c>
      <c r="P95" s="53">
        <v>0.0</v>
      </c>
      <c r="Q95" s="53">
        <v>0.0</v>
      </c>
      <c r="R95" s="53">
        <v>0.0</v>
      </c>
      <c r="S95" s="53">
        <v>0.0</v>
      </c>
      <c r="T95" s="53">
        <v>0.0</v>
      </c>
      <c r="U95" s="53">
        <v>0.0</v>
      </c>
      <c r="V95" s="53">
        <v>0.0</v>
      </c>
      <c r="W95" s="53">
        <v>0.0</v>
      </c>
      <c r="X95" s="53">
        <v>0.0</v>
      </c>
      <c r="Y95" s="53">
        <v>1.0</v>
      </c>
      <c r="Z95" s="53">
        <v>0.0</v>
      </c>
      <c r="AA95" s="53">
        <v>0.0</v>
      </c>
      <c r="AB95" s="53">
        <v>0.0</v>
      </c>
      <c r="AC95" s="53">
        <v>1.0</v>
      </c>
      <c r="AD95" s="53">
        <v>0.0</v>
      </c>
      <c r="AE95" s="53">
        <v>0.0</v>
      </c>
      <c r="AF95" s="53">
        <v>1.0</v>
      </c>
      <c r="AG95" s="53">
        <v>0.0</v>
      </c>
      <c r="AH95" s="53">
        <v>0.0</v>
      </c>
      <c r="AI95" s="53">
        <v>0.0</v>
      </c>
      <c r="AJ95" s="53">
        <v>0.0</v>
      </c>
      <c r="AK95" s="53">
        <v>0.0</v>
      </c>
      <c r="AL95" s="53">
        <v>0.0</v>
      </c>
      <c r="AM95" s="53">
        <v>0.0</v>
      </c>
      <c r="AN95" s="53">
        <v>0.0</v>
      </c>
      <c r="AO95" s="25">
        <v>35.1</v>
      </c>
      <c r="AP95" s="54"/>
      <c r="AQ95" s="54"/>
      <c r="AR95" s="54"/>
      <c r="AS95" s="54"/>
      <c r="AT95" s="54"/>
      <c r="AU95" s="53">
        <v>40.03</v>
      </c>
      <c r="AV95" s="54"/>
      <c r="AW95" s="54"/>
      <c r="AX95" s="54"/>
      <c r="AY95" s="54"/>
      <c r="AZ95" s="54"/>
      <c r="BA95" s="54"/>
      <c r="BB95" s="54"/>
      <c r="BC95" s="54"/>
      <c r="BD95" s="54"/>
      <c r="BE95" s="53">
        <v>55.87</v>
      </c>
      <c r="BF95" s="54"/>
      <c r="BG95" s="54"/>
      <c r="BH95" s="54"/>
      <c r="BI95" s="53">
        <v>27.42</v>
      </c>
      <c r="BJ95" s="54"/>
      <c r="BK95" s="54"/>
      <c r="BL95" s="53">
        <v>17.1</v>
      </c>
      <c r="BM95" s="54"/>
      <c r="BN95" s="54"/>
      <c r="BO95" s="54"/>
      <c r="BP95" s="53">
        <v>17.78</v>
      </c>
      <c r="BQ95" s="53">
        <v>8.6</v>
      </c>
      <c r="BR95" s="53">
        <v>26.18</v>
      </c>
      <c r="BS95" s="55">
        <v>3.8</v>
      </c>
      <c r="BT95" s="56">
        <v>33.7</v>
      </c>
      <c r="BU95" s="25">
        <v>5.9</v>
      </c>
      <c r="BV95" s="57">
        <v>3.88</v>
      </c>
      <c r="BW95" s="54"/>
      <c r="BX95" s="53">
        <v>2100.0</v>
      </c>
      <c r="BY95" s="53" t="s">
        <v>123</v>
      </c>
      <c r="BZ95" s="58">
        <v>1800.0</v>
      </c>
      <c r="CA95" s="29" t="s">
        <v>124</v>
      </c>
      <c r="CB95" s="30">
        <v>2100.0</v>
      </c>
      <c r="CC95" s="31"/>
      <c r="CD95" s="58">
        <v>2100.0</v>
      </c>
      <c r="CE95" s="59" t="e">
        <v>#REF!</v>
      </c>
      <c r="CF95" s="60"/>
      <c r="CG95" s="61">
        <v>0.0</v>
      </c>
      <c r="CH95" s="62">
        <v>0.0</v>
      </c>
      <c r="CI95" s="63">
        <v>4.0</v>
      </c>
      <c r="CJ95" s="63">
        <v>208.0</v>
      </c>
      <c r="CK95" s="64">
        <v>-7.0</v>
      </c>
      <c r="CL95" s="63">
        <v>201.0</v>
      </c>
      <c r="CM95" s="65">
        <v>140.0</v>
      </c>
      <c r="CN95" s="63">
        <v>0.0</v>
      </c>
      <c r="CO95" s="66">
        <v>35.1</v>
      </c>
      <c r="CP95" s="67">
        <v>0.0</v>
      </c>
      <c r="CQ95" s="63">
        <v>71.0</v>
      </c>
      <c r="CR95" s="63">
        <v>71.0</v>
      </c>
      <c r="CS95" s="63">
        <v>15.0</v>
      </c>
      <c r="CT95" s="68"/>
      <c r="CU95" s="69"/>
      <c r="CV95" s="70"/>
      <c r="CW95" s="71">
        <v>7.0</v>
      </c>
      <c r="CX95" s="71" t="s">
        <v>201</v>
      </c>
      <c r="CY95" s="71" t="s">
        <v>202</v>
      </c>
      <c r="CZ95" s="45"/>
      <c r="DA95" s="44">
        <v>2100.0</v>
      </c>
      <c r="DB95" s="44">
        <v>0.0</v>
      </c>
      <c r="DC95" s="43"/>
      <c r="DD95" s="78"/>
      <c r="DE95" s="43"/>
      <c r="DF95" s="43"/>
      <c r="DG95" s="48" t="s">
        <v>128</v>
      </c>
      <c r="DH95" s="48" t="s">
        <v>128</v>
      </c>
      <c r="DI95" s="48" t="s">
        <v>128</v>
      </c>
      <c r="DJ95" s="49">
        <v>1.0</v>
      </c>
      <c r="DK95" s="48" t="b">
        <v>0</v>
      </c>
      <c r="DL95" s="50" t="s">
        <v>360</v>
      </c>
      <c r="DM95" s="50" t="s">
        <v>131</v>
      </c>
      <c r="DN95" s="50" t="s">
        <v>361</v>
      </c>
      <c r="DO95" s="49">
        <v>0.05</v>
      </c>
      <c r="DP95" s="48" t="s">
        <v>128</v>
      </c>
      <c r="DQ95" s="48" t="s">
        <v>128</v>
      </c>
      <c r="DR95" s="51"/>
      <c r="DS95" s="48" t="s">
        <v>134</v>
      </c>
    </row>
    <row r="96">
      <c r="A96" s="23" t="s">
        <v>118</v>
      </c>
      <c r="B96" s="24">
        <v>3.0</v>
      </c>
      <c r="C96" s="23" t="s">
        <v>119</v>
      </c>
      <c r="D96" s="24">
        <v>576393.0</v>
      </c>
      <c r="E96" s="23" t="s">
        <v>164</v>
      </c>
      <c r="F96" s="23" t="s">
        <v>376</v>
      </c>
      <c r="G96" s="23" t="s">
        <v>377</v>
      </c>
      <c r="H96" s="24">
        <v>81861.0</v>
      </c>
      <c r="I96" s="24">
        <v>6.0</v>
      </c>
      <c r="J96" s="24">
        <v>0.0</v>
      </c>
      <c r="K96" s="24">
        <v>0.0</v>
      </c>
      <c r="L96" s="24">
        <v>0.0</v>
      </c>
      <c r="M96" s="24">
        <v>0.0</v>
      </c>
      <c r="N96" s="24">
        <v>0.0</v>
      </c>
      <c r="O96" s="24">
        <v>0.0</v>
      </c>
      <c r="P96" s="24">
        <v>0.0</v>
      </c>
      <c r="Q96" s="24">
        <v>0.0</v>
      </c>
      <c r="R96" s="24">
        <v>0.0</v>
      </c>
      <c r="S96" s="24">
        <v>0.0</v>
      </c>
      <c r="T96" s="24">
        <v>0.0</v>
      </c>
      <c r="U96" s="24">
        <v>2.0</v>
      </c>
      <c r="V96" s="24">
        <v>1.0</v>
      </c>
      <c r="W96" s="24">
        <v>0.0</v>
      </c>
      <c r="X96" s="24">
        <v>0.0</v>
      </c>
      <c r="Y96" s="24">
        <v>0.0</v>
      </c>
      <c r="Z96" s="24">
        <v>0.0</v>
      </c>
      <c r="AA96" s="24">
        <v>2.0</v>
      </c>
      <c r="AB96" s="24">
        <v>0.0</v>
      </c>
      <c r="AC96" s="24">
        <v>0.0</v>
      </c>
      <c r="AD96" s="24">
        <v>0.0</v>
      </c>
      <c r="AE96" s="24">
        <v>0.0</v>
      </c>
      <c r="AF96" s="24">
        <v>1.0</v>
      </c>
      <c r="AG96" s="24">
        <v>0.0</v>
      </c>
      <c r="AH96" s="24">
        <v>0.0</v>
      </c>
      <c r="AI96" s="24">
        <v>0.0</v>
      </c>
      <c r="AJ96" s="24">
        <v>0.0</v>
      </c>
      <c r="AK96" s="24">
        <v>0.0</v>
      </c>
      <c r="AL96" s="24">
        <v>0.0</v>
      </c>
      <c r="AM96" s="24">
        <v>0.0</v>
      </c>
      <c r="AN96" s="24">
        <v>0.0</v>
      </c>
      <c r="AO96" s="25">
        <v>24.2</v>
      </c>
      <c r="AP96" s="26"/>
      <c r="AQ96" s="26"/>
      <c r="AR96" s="26"/>
      <c r="AS96" s="26"/>
      <c r="AT96" s="26"/>
      <c r="AU96" s="26"/>
      <c r="AV96" s="26"/>
      <c r="AW96" s="26"/>
      <c r="AX96" s="26"/>
      <c r="AY96" s="26"/>
      <c r="AZ96" s="26"/>
      <c r="BA96" s="24">
        <v>26.0</v>
      </c>
      <c r="BB96" s="24">
        <v>21.05</v>
      </c>
      <c r="BC96" s="26"/>
      <c r="BD96" s="26"/>
      <c r="BE96" s="26"/>
      <c r="BF96" s="26"/>
      <c r="BG96" s="24">
        <v>22.23</v>
      </c>
      <c r="BH96" s="26"/>
      <c r="BI96" s="26"/>
      <c r="BJ96" s="26"/>
      <c r="BK96" s="26"/>
      <c r="BL96" s="24">
        <v>27.58</v>
      </c>
      <c r="BM96" s="26"/>
      <c r="BN96" s="26"/>
      <c r="BO96" s="26"/>
      <c r="BP96" s="24">
        <v>6.36</v>
      </c>
      <c r="BQ96" s="24">
        <v>6.06</v>
      </c>
      <c r="BR96" s="24">
        <v>12.21</v>
      </c>
      <c r="BS96" s="55">
        <v>3.14</v>
      </c>
      <c r="BT96" s="56">
        <v>21.2</v>
      </c>
      <c r="BU96" s="55">
        <v>3.0</v>
      </c>
      <c r="BV96" s="57">
        <v>4.75</v>
      </c>
      <c r="BW96" s="26"/>
      <c r="BX96" s="24">
        <v>2100.0</v>
      </c>
      <c r="BY96" s="24" t="s">
        <v>123</v>
      </c>
      <c r="BZ96" s="28">
        <v>1800.0</v>
      </c>
      <c r="CA96" s="29" t="s">
        <v>124</v>
      </c>
      <c r="CB96" s="30">
        <v>2100.0</v>
      </c>
      <c r="CC96" s="31"/>
      <c r="CD96" s="28">
        <v>2100.0</v>
      </c>
      <c r="CE96" s="32" t="e">
        <v>#REF!</v>
      </c>
      <c r="CF96" s="33"/>
      <c r="CG96" s="34">
        <v>0.0</v>
      </c>
      <c r="CH96" s="35">
        <v>0.0</v>
      </c>
      <c r="CI96" s="36">
        <v>6.0</v>
      </c>
      <c r="CJ96" s="36">
        <v>208.0</v>
      </c>
      <c r="CK96" s="37">
        <v>-7.0</v>
      </c>
      <c r="CL96" s="36">
        <v>201.0</v>
      </c>
      <c r="CM96" s="38">
        <v>145.0</v>
      </c>
      <c r="CN96" s="36">
        <v>0.0</v>
      </c>
      <c r="CO96" s="39">
        <v>24.2</v>
      </c>
      <c r="CP96" s="40">
        <v>0.0</v>
      </c>
      <c r="CQ96" s="36">
        <v>38.0</v>
      </c>
      <c r="CR96" s="36">
        <v>38.0</v>
      </c>
      <c r="CS96" s="36">
        <v>19.0</v>
      </c>
      <c r="CT96" s="41"/>
      <c r="CU96" s="42"/>
      <c r="CV96" s="43"/>
      <c r="CW96" s="44">
        <v>7.0</v>
      </c>
      <c r="CX96" s="44" t="s">
        <v>201</v>
      </c>
      <c r="CY96" s="44" t="s">
        <v>202</v>
      </c>
      <c r="CZ96" s="45"/>
      <c r="DA96" s="44">
        <v>2100.0</v>
      </c>
      <c r="DB96" s="44">
        <v>0.0</v>
      </c>
      <c r="DC96" s="43"/>
      <c r="DD96" s="78"/>
      <c r="DE96" s="43"/>
      <c r="DF96" s="43"/>
      <c r="DG96" s="48" t="s">
        <v>128</v>
      </c>
      <c r="DH96" s="48" t="s">
        <v>128</v>
      </c>
      <c r="DI96" s="48" t="s">
        <v>128</v>
      </c>
      <c r="DJ96" s="49">
        <v>1.0</v>
      </c>
      <c r="DK96" s="48" t="b">
        <v>0</v>
      </c>
      <c r="DL96" s="50" t="s">
        <v>360</v>
      </c>
      <c r="DM96" s="50" t="s">
        <v>131</v>
      </c>
      <c r="DN96" s="50" t="s">
        <v>361</v>
      </c>
      <c r="DO96" s="49">
        <v>0.05</v>
      </c>
      <c r="DP96" s="48" t="s">
        <v>128</v>
      </c>
      <c r="DQ96" s="48" t="s">
        <v>128</v>
      </c>
      <c r="DR96" s="51"/>
      <c r="DS96" s="48" t="s">
        <v>134</v>
      </c>
    </row>
    <row r="97">
      <c r="A97" s="52" t="s">
        <v>118</v>
      </c>
      <c r="B97" s="53">
        <v>3.0</v>
      </c>
      <c r="C97" s="52" t="s">
        <v>119</v>
      </c>
      <c r="D97" s="53">
        <v>639495.0</v>
      </c>
      <c r="E97" s="52" t="s">
        <v>155</v>
      </c>
      <c r="F97" s="52" t="s">
        <v>378</v>
      </c>
      <c r="G97" s="52" t="s">
        <v>379</v>
      </c>
      <c r="H97" s="53">
        <v>81861.0</v>
      </c>
      <c r="I97" s="53">
        <v>2.0</v>
      </c>
      <c r="J97" s="53">
        <v>0.0</v>
      </c>
      <c r="K97" s="53">
        <v>0.0</v>
      </c>
      <c r="L97" s="53">
        <v>0.0</v>
      </c>
      <c r="M97" s="53">
        <v>0.0</v>
      </c>
      <c r="N97" s="53">
        <v>0.0</v>
      </c>
      <c r="O97" s="53">
        <v>0.0</v>
      </c>
      <c r="P97" s="53">
        <v>0.0</v>
      </c>
      <c r="Q97" s="53">
        <v>0.0</v>
      </c>
      <c r="R97" s="53">
        <v>0.0</v>
      </c>
      <c r="S97" s="53">
        <v>0.0</v>
      </c>
      <c r="T97" s="53">
        <v>0.0</v>
      </c>
      <c r="U97" s="53">
        <v>0.0</v>
      </c>
      <c r="V97" s="53">
        <v>0.0</v>
      </c>
      <c r="W97" s="53">
        <v>0.0</v>
      </c>
      <c r="X97" s="53">
        <v>0.0</v>
      </c>
      <c r="Y97" s="53">
        <v>0.0</v>
      </c>
      <c r="Z97" s="53">
        <v>1.0</v>
      </c>
      <c r="AA97" s="53">
        <v>0.0</v>
      </c>
      <c r="AB97" s="53">
        <v>0.0</v>
      </c>
      <c r="AC97" s="53">
        <v>0.0</v>
      </c>
      <c r="AD97" s="53">
        <v>0.0</v>
      </c>
      <c r="AE97" s="53">
        <v>0.0</v>
      </c>
      <c r="AF97" s="53">
        <v>1.0</v>
      </c>
      <c r="AG97" s="53">
        <v>0.0</v>
      </c>
      <c r="AH97" s="53">
        <v>0.0</v>
      </c>
      <c r="AI97" s="53">
        <v>0.0</v>
      </c>
      <c r="AJ97" s="53">
        <v>0.0</v>
      </c>
      <c r="AK97" s="53">
        <v>0.0</v>
      </c>
      <c r="AL97" s="53">
        <v>0.0</v>
      </c>
      <c r="AM97" s="53">
        <v>0.0</v>
      </c>
      <c r="AN97" s="53">
        <v>0.0</v>
      </c>
      <c r="AO97" s="25">
        <v>38.5</v>
      </c>
      <c r="AP97" s="54"/>
      <c r="AQ97" s="54"/>
      <c r="AR97" s="54"/>
      <c r="AS97" s="54"/>
      <c r="AT97" s="54"/>
      <c r="AU97" s="54"/>
      <c r="AV97" s="54"/>
      <c r="AW97" s="54"/>
      <c r="AX97" s="54"/>
      <c r="AY97" s="54"/>
      <c r="AZ97" s="54"/>
      <c r="BA97" s="54"/>
      <c r="BB97" s="54"/>
      <c r="BC97" s="54"/>
      <c r="BD97" s="54"/>
      <c r="BE97" s="54"/>
      <c r="BF97" s="53">
        <v>39.85</v>
      </c>
      <c r="BG97" s="54"/>
      <c r="BH97" s="54"/>
      <c r="BI97" s="54"/>
      <c r="BJ97" s="54"/>
      <c r="BK97" s="54"/>
      <c r="BL97" s="53">
        <v>37.12</v>
      </c>
      <c r="BM97" s="54"/>
      <c r="BN97" s="54"/>
      <c r="BO97" s="54"/>
      <c r="BP97" s="53">
        <v>12.43</v>
      </c>
      <c r="BQ97" s="53">
        <v>9.14</v>
      </c>
      <c r="BR97" s="53">
        <v>21.38</v>
      </c>
      <c r="BS97" s="57">
        <v>2.88</v>
      </c>
      <c r="BT97" s="56">
        <v>37.1</v>
      </c>
      <c r="BU97" s="55">
        <v>3.4</v>
      </c>
      <c r="BV97" s="25">
        <v>9.8</v>
      </c>
      <c r="BW97" s="54"/>
      <c r="BX97" s="53">
        <v>2100.0</v>
      </c>
      <c r="BY97" s="53" t="s">
        <v>123</v>
      </c>
      <c r="BZ97" s="58">
        <v>1800.0</v>
      </c>
      <c r="CA97" s="29" t="s">
        <v>124</v>
      </c>
      <c r="CB97" s="30">
        <v>2100.0</v>
      </c>
      <c r="CC97" s="31"/>
      <c r="CD97" s="58">
        <v>2100.0</v>
      </c>
      <c r="CE97" s="59" t="e">
        <v>#REF!</v>
      </c>
      <c r="CF97" s="60"/>
      <c r="CG97" s="61">
        <v>0.0</v>
      </c>
      <c r="CH97" s="62">
        <v>0.0</v>
      </c>
      <c r="CI97" s="63">
        <v>2.0</v>
      </c>
      <c r="CJ97" s="63">
        <v>208.0</v>
      </c>
      <c r="CK97" s="64">
        <v>-7.0</v>
      </c>
      <c r="CL97" s="63">
        <v>201.0</v>
      </c>
      <c r="CM97" s="65">
        <v>77.0</v>
      </c>
      <c r="CN97" s="63">
        <v>0.0</v>
      </c>
      <c r="CO97" s="66">
        <v>38.5</v>
      </c>
      <c r="CP97" s="67">
        <v>0.0</v>
      </c>
      <c r="CQ97" s="63">
        <v>25.0</v>
      </c>
      <c r="CR97" s="63">
        <v>25.0</v>
      </c>
      <c r="CS97" s="63">
        <v>6.0</v>
      </c>
      <c r="CT97" s="68"/>
      <c r="CU97" s="69"/>
      <c r="CV97" s="70"/>
      <c r="CW97" s="71">
        <v>7.0</v>
      </c>
      <c r="CX97" s="71" t="s">
        <v>201</v>
      </c>
      <c r="CY97" s="71" t="s">
        <v>202</v>
      </c>
      <c r="CZ97" s="45"/>
      <c r="DA97" s="44">
        <v>2100.0</v>
      </c>
      <c r="DB97" s="44">
        <v>0.0</v>
      </c>
      <c r="DC97" s="43"/>
      <c r="DD97" s="78"/>
      <c r="DE97" s="43"/>
      <c r="DF97" s="43"/>
      <c r="DG97" s="48" t="s">
        <v>128</v>
      </c>
      <c r="DH97" s="48" t="s">
        <v>128</v>
      </c>
      <c r="DI97" s="48" t="s">
        <v>128</v>
      </c>
      <c r="DJ97" s="49">
        <v>1.0</v>
      </c>
      <c r="DK97" s="48" t="b">
        <v>0</v>
      </c>
      <c r="DL97" s="50" t="s">
        <v>360</v>
      </c>
      <c r="DM97" s="50" t="s">
        <v>131</v>
      </c>
      <c r="DN97" s="50" t="s">
        <v>361</v>
      </c>
      <c r="DO97" s="49">
        <v>0.05</v>
      </c>
      <c r="DP97" s="48" t="s">
        <v>128</v>
      </c>
      <c r="DQ97" s="48" t="s">
        <v>128</v>
      </c>
      <c r="DR97" s="51"/>
      <c r="DS97" s="48" t="s">
        <v>134</v>
      </c>
    </row>
    <row r="98">
      <c r="A98" s="23" t="s">
        <v>118</v>
      </c>
      <c r="B98" s="24">
        <v>3.0</v>
      </c>
      <c r="C98" s="23" t="s">
        <v>119</v>
      </c>
      <c r="D98" s="24">
        <v>610881.0</v>
      </c>
      <c r="E98" s="23" t="s">
        <v>167</v>
      </c>
      <c r="F98" s="23" t="s">
        <v>380</v>
      </c>
      <c r="G98" s="23" t="s">
        <v>381</v>
      </c>
      <c r="H98" s="24">
        <v>81861.0</v>
      </c>
      <c r="I98" s="24">
        <v>2.0</v>
      </c>
      <c r="J98" s="24">
        <v>0.0</v>
      </c>
      <c r="K98" s="24">
        <v>0.0</v>
      </c>
      <c r="L98" s="24">
        <v>0.0</v>
      </c>
      <c r="M98" s="24">
        <v>0.0</v>
      </c>
      <c r="N98" s="24">
        <v>0.0</v>
      </c>
      <c r="O98" s="24">
        <v>0.0</v>
      </c>
      <c r="P98" s="24">
        <v>0.0</v>
      </c>
      <c r="Q98" s="24">
        <v>0.0</v>
      </c>
      <c r="R98" s="24">
        <v>0.0</v>
      </c>
      <c r="S98" s="24">
        <v>0.0</v>
      </c>
      <c r="T98" s="24">
        <v>0.0</v>
      </c>
      <c r="U98" s="24">
        <v>0.0</v>
      </c>
      <c r="V98" s="24">
        <v>0.0</v>
      </c>
      <c r="W98" s="24">
        <v>1.0</v>
      </c>
      <c r="X98" s="24">
        <v>0.0</v>
      </c>
      <c r="Y98" s="24">
        <v>0.0</v>
      </c>
      <c r="Z98" s="24">
        <v>0.0</v>
      </c>
      <c r="AA98" s="24">
        <v>0.0</v>
      </c>
      <c r="AB98" s="24">
        <v>0.0</v>
      </c>
      <c r="AC98" s="24">
        <v>1.0</v>
      </c>
      <c r="AD98" s="24">
        <v>0.0</v>
      </c>
      <c r="AE98" s="24">
        <v>0.0</v>
      </c>
      <c r="AF98" s="24">
        <v>0.0</v>
      </c>
      <c r="AG98" s="24">
        <v>0.0</v>
      </c>
      <c r="AH98" s="24">
        <v>0.0</v>
      </c>
      <c r="AI98" s="24">
        <v>0.0</v>
      </c>
      <c r="AJ98" s="24">
        <v>0.0</v>
      </c>
      <c r="AK98" s="24">
        <v>0.0</v>
      </c>
      <c r="AL98" s="24">
        <v>0.0</v>
      </c>
      <c r="AM98" s="24">
        <v>0.0</v>
      </c>
      <c r="AN98" s="24">
        <v>0.0</v>
      </c>
      <c r="AO98" s="25">
        <v>21.0</v>
      </c>
      <c r="AP98" s="26"/>
      <c r="AQ98" s="26"/>
      <c r="AR98" s="26"/>
      <c r="AS98" s="26"/>
      <c r="AT98" s="26"/>
      <c r="AU98" s="26"/>
      <c r="AV98" s="26"/>
      <c r="AW98" s="26"/>
      <c r="AX98" s="26"/>
      <c r="AY98" s="26"/>
      <c r="AZ98" s="26"/>
      <c r="BA98" s="26"/>
      <c r="BB98" s="26"/>
      <c r="BC98" s="24">
        <v>20.88</v>
      </c>
      <c r="BD98" s="26"/>
      <c r="BE98" s="26"/>
      <c r="BF98" s="26"/>
      <c r="BG98" s="26"/>
      <c r="BH98" s="26"/>
      <c r="BI98" s="24">
        <v>21.08</v>
      </c>
      <c r="BJ98" s="26"/>
      <c r="BK98" s="26"/>
      <c r="BL98" s="26"/>
      <c r="BM98" s="26"/>
      <c r="BN98" s="26"/>
      <c r="BO98" s="26"/>
      <c r="BP98" s="24">
        <v>2.5</v>
      </c>
      <c r="BQ98" s="24">
        <v>6.27</v>
      </c>
      <c r="BR98" s="24">
        <v>8.57</v>
      </c>
      <c r="BS98" s="57">
        <v>2.73</v>
      </c>
      <c r="BT98" s="27"/>
      <c r="BU98" s="26"/>
      <c r="BV98" s="26"/>
      <c r="BW98" s="26"/>
      <c r="BX98" s="24">
        <v>2100.0</v>
      </c>
      <c r="BY98" s="24" t="s">
        <v>123</v>
      </c>
      <c r="BZ98" s="28">
        <v>1800.0</v>
      </c>
      <c r="CA98" s="29" t="s">
        <v>124</v>
      </c>
      <c r="CB98" s="30">
        <v>2100.0</v>
      </c>
      <c r="CC98" s="31"/>
      <c r="CD98" s="28">
        <v>2100.0</v>
      </c>
      <c r="CE98" s="32" t="e">
        <v>#REF!</v>
      </c>
      <c r="CF98" s="33"/>
      <c r="CG98" s="34">
        <v>0.0</v>
      </c>
      <c r="CH98" s="35">
        <v>0.0</v>
      </c>
      <c r="CI98" s="36">
        <v>2.0</v>
      </c>
      <c r="CJ98" s="36">
        <v>208.0</v>
      </c>
      <c r="CK98" s="37">
        <v>-7.0</v>
      </c>
      <c r="CL98" s="36">
        <v>201.0</v>
      </c>
      <c r="CM98" s="38">
        <v>42.0</v>
      </c>
      <c r="CN98" s="36">
        <v>0.0</v>
      </c>
      <c r="CO98" s="39">
        <v>21.0</v>
      </c>
      <c r="CP98" s="40">
        <v>0.0</v>
      </c>
      <c r="CQ98" s="36">
        <v>5.0</v>
      </c>
      <c r="CR98" s="36">
        <v>5.0</v>
      </c>
      <c r="CS98" s="36">
        <v>5.0</v>
      </c>
      <c r="CT98" s="41"/>
      <c r="CU98" s="42"/>
      <c r="CV98" s="43"/>
      <c r="CW98" s="44">
        <v>7.0</v>
      </c>
      <c r="CX98" s="44" t="s">
        <v>201</v>
      </c>
      <c r="CY98" s="44" t="s">
        <v>202</v>
      </c>
      <c r="CZ98" s="45"/>
      <c r="DA98" s="44">
        <v>2100.0</v>
      </c>
      <c r="DB98" s="44">
        <v>0.0</v>
      </c>
      <c r="DC98" s="43"/>
      <c r="DD98" s="78"/>
      <c r="DE98" s="43"/>
      <c r="DF98" s="43"/>
      <c r="DG98" s="48" t="s">
        <v>128</v>
      </c>
      <c r="DH98" s="48" t="s">
        <v>128</v>
      </c>
      <c r="DI98" s="48" t="s">
        <v>128</v>
      </c>
      <c r="DJ98" s="49">
        <v>1.0</v>
      </c>
      <c r="DK98" s="48" t="b">
        <v>0</v>
      </c>
      <c r="DL98" s="50" t="s">
        <v>360</v>
      </c>
      <c r="DM98" s="50" t="s">
        <v>131</v>
      </c>
      <c r="DN98" s="50" t="s">
        <v>361</v>
      </c>
      <c r="DO98" s="49">
        <v>0.05</v>
      </c>
      <c r="DP98" s="48" t="s">
        <v>128</v>
      </c>
      <c r="DQ98" s="48" t="s">
        <v>128</v>
      </c>
      <c r="DR98" s="51"/>
      <c r="DS98" s="48" t="s">
        <v>134</v>
      </c>
    </row>
    <row r="99">
      <c r="A99" s="52" t="s">
        <v>118</v>
      </c>
      <c r="B99" s="53">
        <v>3.0</v>
      </c>
      <c r="C99" s="52" t="s">
        <v>119</v>
      </c>
      <c r="D99" s="53">
        <v>642178.0</v>
      </c>
      <c r="E99" s="52" t="s">
        <v>205</v>
      </c>
      <c r="F99" s="52" t="s">
        <v>382</v>
      </c>
      <c r="G99" s="52" t="s">
        <v>383</v>
      </c>
      <c r="H99" s="53">
        <v>81861.0</v>
      </c>
      <c r="I99" s="53">
        <v>2.0</v>
      </c>
      <c r="J99" s="53">
        <v>0.0</v>
      </c>
      <c r="K99" s="53">
        <v>0.0</v>
      </c>
      <c r="L99" s="53">
        <v>0.0</v>
      </c>
      <c r="M99" s="53">
        <v>0.0</v>
      </c>
      <c r="N99" s="53">
        <v>0.0</v>
      </c>
      <c r="O99" s="53">
        <v>0.0</v>
      </c>
      <c r="P99" s="53">
        <v>0.0</v>
      </c>
      <c r="Q99" s="53">
        <v>0.0</v>
      </c>
      <c r="R99" s="53">
        <v>0.0</v>
      </c>
      <c r="S99" s="53">
        <v>0.0</v>
      </c>
      <c r="T99" s="53">
        <v>0.0</v>
      </c>
      <c r="U99" s="53">
        <v>0.0</v>
      </c>
      <c r="V99" s="53">
        <v>0.0</v>
      </c>
      <c r="W99" s="53">
        <v>0.0</v>
      </c>
      <c r="X99" s="53">
        <v>0.0</v>
      </c>
      <c r="Y99" s="53">
        <v>0.0</v>
      </c>
      <c r="Z99" s="53">
        <v>0.0</v>
      </c>
      <c r="AA99" s="53">
        <v>0.0</v>
      </c>
      <c r="AB99" s="53">
        <v>1.0</v>
      </c>
      <c r="AC99" s="53">
        <v>0.0</v>
      </c>
      <c r="AD99" s="53">
        <v>1.0</v>
      </c>
      <c r="AE99" s="53">
        <v>0.0</v>
      </c>
      <c r="AF99" s="53">
        <v>0.0</v>
      </c>
      <c r="AG99" s="53">
        <v>0.0</v>
      </c>
      <c r="AH99" s="53">
        <v>0.0</v>
      </c>
      <c r="AI99" s="53">
        <v>0.0</v>
      </c>
      <c r="AJ99" s="53">
        <v>0.0</v>
      </c>
      <c r="AK99" s="53">
        <v>0.0</v>
      </c>
      <c r="AL99" s="53">
        <v>0.0</v>
      </c>
      <c r="AM99" s="53">
        <v>0.0</v>
      </c>
      <c r="AN99" s="53">
        <v>0.0</v>
      </c>
      <c r="AO99" s="25">
        <v>22.2</v>
      </c>
      <c r="AP99" s="54"/>
      <c r="AQ99" s="54"/>
      <c r="AR99" s="54"/>
      <c r="AS99" s="54"/>
      <c r="AT99" s="54"/>
      <c r="AU99" s="54"/>
      <c r="AV99" s="54"/>
      <c r="AW99" s="54"/>
      <c r="AX99" s="54"/>
      <c r="AY99" s="54"/>
      <c r="AZ99" s="54"/>
      <c r="BA99" s="54"/>
      <c r="BB99" s="54"/>
      <c r="BC99" s="54"/>
      <c r="BD99" s="54"/>
      <c r="BE99" s="54"/>
      <c r="BF99" s="54"/>
      <c r="BG99" s="54"/>
      <c r="BH99" s="53">
        <v>30.28</v>
      </c>
      <c r="BI99" s="54"/>
      <c r="BJ99" s="53">
        <v>14.13</v>
      </c>
      <c r="BK99" s="54"/>
      <c r="BL99" s="54"/>
      <c r="BM99" s="54"/>
      <c r="BN99" s="54"/>
      <c r="BO99" s="54"/>
      <c r="BP99" s="53">
        <v>7.28</v>
      </c>
      <c r="BQ99" s="53">
        <v>6.16</v>
      </c>
      <c r="BR99" s="53">
        <v>13.24</v>
      </c>
      <c r="BS99" s="57">
        <v>1.53</v>
      </c>
      <c r="BT99" s="81"/>
      <c r="BU99" s="54"/>
      <c r="BV99" s="54"/>
      <c r="BW99" s="54"/>
      <c r="BX99" s="53">
        <v>2100.0</v>
      </c>
      <c r="BY99" s="53" t="s">
        <v>123</v>
      </c>
      <c r="BZ99" s="58">
        <v>1800.0</v>
      </c>
      <c r="CA99" s="29" t="s">
        <v>124</v>
      </c>
      <c r="CB99" s="30">
        <v>2100.0</v>
      </c>
      <c r="CC99" s="31"/>
      <c r="CD99" s="58">
        <v>2100.0</v>
      </c>
      <c r="CE99" s="59" t="e">
        <v>#REF!</v>
      </c>
      <c r="CF99" s="60"/>
      <c r="CG99" s="61">
        <v>0.0</v>
      </c>
      <c r="CH99" s="62">
        <v>0.0</v>
      </c>
      <c r="CI99" s="63">
        <v>2.0</v>
      </c>
      <c r="CJ99" s="63">
        <v>208.0</v>
      </c>
      <c r="CK99" s="64">
        <v>-7.0</v>
      </c>
      <c r="CL99" s="63">
        <v>201.0</v>
      </c>
      <c r="CM99" s="65">
        <v>44.0</v>
      </c>
      <c r="CN99" s="63">
        <v>0.0</v>
      </c>
      <c r="CO99" s="66">
        <v>22.2</v>
      </c>
      <c r="CP99" s="67">
        <v>0.0</v>
      </c>
      <c r="CQ99" s="63">
        <v>15.0</v>
      </c>
      <c r="CR99" s="63">
        <v>15.0</v>
      </c>
      <c r="CS99" s="63">
        <v>3.0</v>
      </c>
      <c r="CT99" s="68"/>
      <c r="CU99" s="69"/>
      <c r="CV99" s="70"/>
      <c r="CW99" s="71">
        <v>7.0</v>
      </c>
      <c r="CX99" s="71" t="s">
        <v>201</v>
      </c>
      <c r="CY99" s="71" t="s">
        <v>202</v>
      </c>
      <c r="CZ99" s="45"/>
      <c r="DA99" s="44">
        <v>2100.0</v>
      </c>
      <c r="DB99" s="44">
        <v>0.0</v>
      </c>
      <c r="DC99" s="46" t="s">
        <v>127</v>
      </c>
      <c r="DD99" s="47">
        <v>46245.0</v>
      </c>
      <c r="DE99" s="43"/>
      <c r="DF99" s="43"/>
      <c r="DG99" s="48" t="s">
        <v>128</v>
      </c>
      <c r="DH99" s="48" t="s">
        <v>128</v>
      </c>
      <c r="DI99" s="48" t="s">
        <v>128</v>
      </c>
      <c r="DJ99" s="49">
        <v>1.0</v>
      </c>
      <c r="DK99" s="48" t="b">
        <v>0</v>
      </c>
      <c r="DL99" s="50" t="s">
        <v>360</v>
      </c>
      <c r="DM99" s="50" t="s">
        <v>131</v>
      </c>
      <c r="DN99" s="50" t="s">
        <v>361</v>
      </c>
      <c r="DO99" s="49">
        <v>0.05</v>
      </c>
      <c r="DP99" s="48" t="s">
        <v>128</v>
      </c>
      <c r="DQ99" s="48" t="s">
        <v>128</v>
      </c>
      <c r="DR99" s="51"/>
      <c r="DS99" s="48" t="s">
        <v>134</v>
      </c>
    </row>
    <row r="100">
      <c r="A100" s="23" t="s">
        <v>118</v>
      </c>
      <c r="B100" s="24">
        <v>3.0</v>
      </c>
      <c r="C100" s="23" t="s">
        <v>119</v>
      </c>
      <c r="D100" s="24">
        <v>604008.0</v>
      </c>
      <c r="E100" s="23" t="s">
        <v>176</v>
      </c>
      <c r="F100" s="23" t="s">
        <v>384</v>
      </c>
      <c r="G100" s="23" t="s">
        <v>385</v>
      </c>
      <c r="H100" s="24">
        <v>81861.0</v>
      </c>
      <c r="I100" s="24">
        <v>1.0</v>
      </c>
      <c r="J100" s="24">
        <v>0.0</v>
      </c>
      <c r="K100" s="24">
        <v>0.0</v>
      </c>
      <c r="L100" s="24">
        <v>0.0</v>
      </c>
      <c r="M100" s="24">
        <v>0.0</v>
      </c>
      <c r="N100" s="24">
        <v>0.0</v>
      </c>
      <c r="O100" s="24">
        <v>0.0</v>
      </c>
      <c r="P100" s="24">
        <v>0.0</v>
      </c>
      <c r="Q100" s="24">
        <v>0.0</v>
      </c>
      <c r="R100" s="24">
        <v>0.0</v>
      </c>
      <c r="S100" s="24">
        <v>0.0</v>
      </c>
      <c r="T100" s="24">
        <v>0.0</v>
      </c>
      <c r="U100" s="24">
        <v>1.0</v>
      </c>
      <c r="V100" s="24">
        <v>0.0</v>
      </c>
      <c r="W100" s="24">
        <v>0.0</v>
      </c>
      <c r="X100" s="24">
        <v>0.0</v>
      </c>
      <c r="Y100" s="24">
        <v>0.0</v>
      </c>
      <c r="Z100" s="24">
        <v>0.0</v>
      </c>
      <c r="AA100" s="24">
        <v>0.0</v>
      </c>
      <c r="AB100" s="24">
        <v>0.0</v>
      </c>
      <c r="AC100" s="24">
        <v>0.0</v>
      </c>
      <c r="AD100" s="24">
        <v>0.0</v>
      </c>
      <c r="AE100" s="24">
        <v>0.0</v>
      </c>
      <c r="AF100" s="24">
        <v>0.0</v>
      </c>
      <c r="AG100" s="24">
        <v>0.0</v>
      </c>
      <c r="AH100" s="24">
        <v>0.0</v>
      </c>
      <c r="AI100" s="24">
        <v>0.0</v>
      </c>
      <c r="AJ100" s="24">
        <v>0.0</v>
      </c>
      <c r="AK100" s="24">
        <v>0.0</v>
      </c>
      <c r="AL100" s="24">
        <v>0.0</v>
      </c>
      <c r="AM100" s="24">
        <v>0.0</v>
      </c>
      <c r="AN100" s="24">
        <v>0.0</v>
      </c>
      <c r="AO100" s="25">
        <v>29.6</v>
      </c>
      <c r="AP100" s="26"/>
      <c r="AQ100" s="26"/>
      <c r="AR100" s="26"/>
      <c r="AS100" s="26"/>
      <c r="AT100" s="26"/>
      <c r="AU100" s="26"/>
      <c r="AV100" s="26"/>
      <c r="AW100" s="26"/>
      <c r="AX100" s="26"/>
      <c r="AY100" s="26"/>
      <c r="AZ100" s="26"/>
      <c r="BA100" s="24">
        <v>29.58</v>
      </c>
      <c r="BB100" s="26"/>
      <c r="BC100" s="26"/>
      <c r="BD100" s="26"/>
      <c r="BE100" s="26"/>
      <c r="BF100" s="26"/>
      <c r="BG100" s="26"/>
      <c r="BH100" s="26"/>
      <c r="BI100" s="26"/>
      <c r="BJ100" s="26"/>
      <c r="BK100" s="26"/>
      <c r="BL100" s="26"/>
      <c r="BM100" s="26"/>
      <c r="BN100" s="26"/>
      <c r="BO100" s="26"/>
      <c r="BP100" s="24">
        <v>9.53</v>
      </c>
      <c r="BQ100" s="24">
        <v>12.72</v>
      </c>
      <c r="BR100" s="24">
        <v>22.05</v>
      </c>
      <c r="BS100" s="57">
        <v>0.98</v>
      </c>
      <c r="BT100" s="56">
        <v>29.6</v>
      </c>
      <c r="BU100" s="57">
        <v>1.0</v>
      </c>
      <c r="BV100" s="55">
        <v>6.35</v>
      </c>
      <c r="BW100" s="26"/>
      <c r="BX100" s="24">
        <v>2100.0</v>
      </c>
      <c r="BY100" s="24" t="s">
        <v>123</v>
      </c>
      <c r="BZ100" s="28">
        <v>1800.0</v>
      </c>
      <c r="CA100" s="29" t="s">
        <v>124</v>
      </c>
      <c r="CB100" s="30">
        <v>2100.0</v>
      </c>
      <c r="CC100" s="31"/>
      <c r="CD100" s="28">
        <v>2100.0</v>
      </c>
      <c r="CE100" s="32" t="e">
        <v>#REF!</v>
      </c>
      <c r="CF100" s="33"/>
      <c r="CG100" s="34">
        <v>0.0</v>
      </c>
      <c r="CH100" s="35">
        <v>0.0</v>
      </c>
      <c r="CI100" s="36">
        <v>1.0</v>
      </c>
      <c r="CJ100" s="36">
        <v>208.0</v>
      </c>
      <c r="CK100" s="37">
        <v>-7.0</v>
      </c>
      <c r="CL100" s="36">
        <v>201.0</v>
      </c>
      <c r="CM100" s="38">
        <v>30.0</v>
      </c>
      <c r="CN100" s="36">
        <v>0.0</v>
      </c>
      <c r="CO100" s="39">
        <v>29.6</v>
      </c>
      <c r="CP100" s="40">
        <v>0.0</v>
      </c>
      <c r="CQ100" s="36">
        <v>10.0</v>
      </c>
      <c r="CR100" s="36">
        <v>10.0</v>
      </c>
      <c r="CS100" s="36">
        <v>1.0</v>
      </c>
      <c r="CT100" s="41"/>
      <c r="CU100" s="42"/>
      <c r="CV100" s="43"/>
      <c r="CW100" s="44">
        <v>7.0</v>
      </c>
      <c r="CX100" s="44" t="s">
        <v>201</v>
      </c>
      <c r="CY100" s="44" t="s">
        <v>202</v>
      </c>
      <c r="CZ100" s="45"/>
      <c r="DA100" s="44">
        <v>2100.0</v>
      </c>
      <c r="DB100" s="44">
        <v>0.0</v>
      </c>
      <c r="DC100" s="43"/>
      <c r="DD100" s="78"/>
      <c r="DE100" s="43"/>
      <c r="DF100" s="43"/>
      <c r="DG100" s="48" t="s">
        <v>128</v>
      </c>
      <c r="DH100" s="48" t="s">
        <v>128</v>
      </c>
      <c r="DI100" s="48" t="s">
        <v>128</v>
      </c>
      <c r="DJ100" s="49">
        <v>1.0</v>
      </c>
      <c r="DK100" s="48" t="b">
        <v>0</v>
      </c>
      <c r="DL100" s="50" t="s">
        <v>360</v>
      </c>
      <c r="DM100" s="50" t="s">
        <v>131</v>
      </c>
      <c r="DN100" s="50" t="s">
        <v>361</v>
      </c>
      <c r="DO100" s="49">
        <v>0.05</v>
      </c>
      <c r="DP100" s="48" t="s">
        <v>128</v>
      </c>
      <c r="DQ100" s="48" t="s">
        <v>128</v>
      </c>
      <c r="DR100" s="51"/>
      <c r="DS100" s="48" t="s">
        <v>134</v>
      </c>
    </row>
    <row r="101">
      <c r="A101" s="52" t="s">
        <v>118</v>
      </c>
      <c r="B101" s="53">
        <v>3.0</v>
      </c>
      <c r="C101" s="52" t="s">
        <v>119</v>
      </c>
      <c r="D101" s="53">
        <v>648806.0</v>
      </c>
      <c r="E101" s="52" t="s">
        <v>179</v>
      </c>
      <c r="F101" s="52" t="s">
        <v>386</v>
      </c>
      <c r="G101" s="52" t="s">
        <v>387</v>
      </c>
      <c r="H101" s="53">
        <v>81861.0</v>
      </c>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81"/>
      <c r="BU101" s="54"/>
      <c r="BV101" s="54"/>
      <c r="BW101" s="54"/>
      <c r="BX101" s="53">
        <v>2400.0</v>
      </c>
      <c r="BY101" s="53" t="s">
        <v>123</v>
      </c>
      <c r="BZ101" s="58">
        <v>2400.0</v>
      </c>
      <c r="CA101" s="72"/>
      <c r="CB101" s="82"/>
      <c r="CC101" s="31"/>
      <c r="CD101" s="58">
        <v>2400.0</v>
      </c>
      <c r="CE101" s="83" t="s">
        <v>185</v>
      </c>
      <c r="CF101" s="60"/>
      <c r="CG101" s="61">
        <v>0.0</v>
      </c>
      <c r="CH101" s="84"/>
      <c r="CI101" s="63">
        <v>0.0</v>
      </c>
      <c r="CJ101" s="63">
        <v>208.0</v>
      </c>
      <c r="CK101" s="64">
        <v>-7.0</v>
      </c>
      <c r="CL101" s="63">
        <v>201.0</v>
      </c>
      <c r="CM101" s="65">
        <v>0.0</v>
      </c>
      <c r="CN101" s="63">
        <v>0.0</v>
      </c>
      <c r="CO101" s="66">
        <v>0.0</v>
      </c>
      <c r="CP101" s="67">
        <v>0.0</v>
      </c>
      <c r="CQ101" s="63">
        <v>0.0</v>
      </c>
      <c r="CR101" s="63">
        <v>0.0</v>
      </c>
      <c r="CS101" s="63">
        <v>0.0</v>
      </c>
      <c r="CT101" s="68"/>
      <c r="CU101" s="69"/>
      <c r="CV101" s="70"/>
      <c r="CW101" s="71">
        <v>8.0</v>
      </c>
      <c r="CX101" s="71" t="s">
        <v>125</v>
      </c>
      <c r="CY101" s="71" t="s">
        <v>126</v>
      </c>
      <c r="CZ101" s="45"/>
      <c r="DA101" s="43"/>
      <c r="DB101" s="44">
        <v>0.0</v>
      </c>
      <c r="DC101" s="43"/>
      <c r="DD101" s="78"/>
      <c r="DE101" s="43"/>
      <c r="DF101" s="43"/>
      <c r="DG101" s="48" t="s">
        <v>128</v>
      </c>
      <c r="DH101" s="48" t="s">
        <v>128</v>
      </c>
      <c r="DI101" s="85" t="str">
        <f>+ OFF 30 DIAS SIN VENTA</f>
        <v>#ERROR!</v>
      </c>
      <c r="DJ101" s="49">
        <v>0.0</v>
      </c>
      <c r="DK101" s="48" t="b">
        <v>0</v>
      </c>
      <c r="DL101" s="50" t="s">
        <v>360</v>
      </c>
      <c r="DM101" s="50" t="s">
        <v>131</v>
      </c>
      <c r="DN101" s="50" t="s">
        <v>361</v>
      </c>
      <c r="DO101" s="49">
        <v>0.05</v>
      </c>
      <c r="DP101" s="48" t="s">
        <v>128</v>
      </c>
      <c r="DQ101" s="86" t="str">
        <f>+ OFF 30 DIAS SIN VENTA</f>
        <v>#ERROR!</v>
      </c>
      <c r="DR101" s="51"/>
      <c r="DS101" s="48" t="s">
        <v>134</v>
      </c>
    </row>
    <row r="102">
      <c r="A102" s="23" t="s">
        <v>118</v>
      </c>
      <c r="B102" s="24">
        <v>3.0</v>
      </c>
      <c r="C102" s="23" t="s">
        <v>119</v>
      </c>
      <c r="D102" s="24">
        <v>680909.0</v>
      </c>
      <c r="E102" s="23" t="s">
        <v>288</v>
      </c>
      <c r="F102" s="23" t="s">
        <v>388</v>
      </c>
      <c r="G102" s="23" t="s">
        <v>389</v>
      </c>
      <c r="H102" s="24">
        <v>81861.0</v>
      </c>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7"/>
      <c r="BU102" s="26"/>
      <c r="BV102" s="26"/>
      <c r="BW102" s="26"/>
      <c r="BX102" s="24">
        <v>2400.0</v>
      </c>
      <c r="BY102" s="24" t="s">
        <v>123</v>
      </c>
      <c r="BZ102" s="28">
        <v>2400.0</v>
      </c>
      <c r="CA102" s="72"/>
      <c r="CB102" s="82"/>
      <c r="CC102" s="31"/>
      <c r="CD102" s="28">
        <v>2400.0</v>
      </c>
      <c r="CE102" s="88" t="s">
        <v>185</v>
      </c>
      <c r="CF102" s="33"/>
      <c r="CG102" s="34">
        <v>0.0</v>
      </c>
      <c r="CH102" s="89"/>
      <c r="CI102" s="36">
        <v>0.0</v>
      </c>
      <c r="CJ102" s="36">
        <v>208.0</v>
      </c>
      <c r="CK102" s="37">
        <v>-7.0</v>
      </c>
      <c r="CL102" s="36">
        <v>201.0</v>
      </c>
      <c r="CM102" s="38">
        <v>0.0</v>
      </c>
      <c r="CN102" s="36">
        <v>0.0</v>
      </c>
      <c r="CO102" s="39">
        <v>0.0</v>
      </c>
      <c r="CP102" s="40">
        <v>0.0</v>
      </c>
      <c r="CQ102" s="36">
        <v>0.0</v>
      </c>
      <c r="CR102" s="36">
        <v>0.0</v>
      </c>
      <c r="CS102" s="36">
        <v>0.0</v>
      </c>
      <c r="CT102" s="41"/>
      <c r="CU102" s="42"/>
      <c r="CV102" s="43"/>
      <c r="CW102" s="44">
        <v>8.0</v>
      </c>
      <c r="CX102" s="44" t="s">
        <v>125</v>
      </c>
      <c r="CY102" s="44" t="s">
        <v>126</v>
      </c>
      <c r="CZ102" s="45"/>
      <c r="DA102" s="43"/>
      <c r="DB102" s="44">
        <v>0.0</v>
      </c>
      <c r="DC102" s="43"/>
      <c r="DD102" s="78"/>
      <c r="DE102" s="43"/>
      <c r="DF102" s="43"/>
      <c r="DG102" s="48" t="s">
        <v>128</v>
      </c>
      <c r="DH102" s="48" t="s">
        <v>128</v>
      </c>
      <c r="DI102" s="85" t="str">
        <f>+ OFF 30 DIAS SIN VENTA</f>
        <v>#ERROR!</v>
      </c>
      <c r="DJ102" s="49">
        <v>0.0</v>
      </c>
      <c r="DK102" s="48" t="b">
        <v>0</v>
      </c>
      <c r="DL102" s="50" t="s">
        <v>360</v>
      </c>
      <c r="DM102" s="50" t="s">
        <v>131</v>
      </c>
      <c r="DN102" s="50" t="s">
        <v>361</v>
      </c>
      <c r="DO102" s="49">
        <v>0.05</v>
      </c>
      <c r="DP102" s="48" t="s">
        <v>128</v>
      </c>
      <c r="DQ102" s="86" t="str">
        <f>+ OFF 30 DIAS SIN VENTA</f>
        <v>#ERROR!</v>
      </c>
      <c r="DR102" s="51"/>
      <c r="DS102" s="48" t="s">
        <v>134</v>
      </c>
    </row>
    <row r="103">
      <c r="A103" s="52" t="s">
        <v>118</v>
      </c>
      <c r="B103" s="53">
        <v>3.0</v>
      </c>
      <c r="C103" s="52" t="s">
        <v>119</v>
      </c>
      <c r="D103" s="53">
        <v>558730.0</v>
      </c>
      <c r="E103" s="52" t="s">
        <v>148</v>
      </c>
      <c r="F103" s="52" t="s">
        <v>390</v>
      </c>
      <c r="G103" s="52" t="s">
        <v>391</v>
      </c>
      <c r="H103" s="53">
        <v>81861.0</v>
      </c>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81"/>
      <c r="BU103" s="54"/>
      <c r="BV103" s="54"/>
      <c r="BW103" s="54"/>
      <c r="BX103" s="53">
        <v>1.0</v>
      </c>
      <c r="BY103" s="53" t="s">
        <v>123</v>
      </c>
      <c r="BZ103" s="104">
        <v>1.0</v>
      </c>
      <c r="CA103" s="72"/>
      <c r="CB103" s="30">
        <v>2400.0</v>
      </c>
      <c r="CC103" s="31"/>
      <c r="CD103" s="58">
        <v>2400.0</v>
      </c>
      <c r="CE103" s="83" t="s">
        <v>185</v>
      </c>
      <c r="CF103" s="79" t="str">
        <f>+2,399</f>
        <v>#ERROR!</v>
      </c>
      <c r="CG103" s="61">
        <v>0.0</v>
      </c>
      <c r="CH103" s="84"/>
      <c r="CI103" s="63">
        <v>0.0</v>
      </c>
      <c r="CJ103" s="63">
        <v>208.0</v>
      </c>
      <c r="CK103" s="64">
        <v>-7.0</v>
      </c>
      <c r="CL103" s="63">
        <v>201.0</v>
      </c>
      <c r="CM103" s="65">
        <v>0.0</v>
      </c>
      <c r="CN103" s="63">
        <v>-92.0</v>
      </c>
      <c r="CO103" s="66">
        <v>0.0</v>
      </c>
      <c r="CP103" s="67">
        <v>0.0</v>
      </c>
      <c r="CQ103" s="63">
        <v>0.0</v>
      </c>
      <c r="CR103" s="63">
        <v>0.0</v>
      </c>
      <c r="CS103" s="63">
        <v>0.0</v>
      </c>
      <c r="CT103" s="68"/>
      <c r="CU103" s="69"/>
      <c r="CV103" s="70"/>
      <c r="CW103" s="71">
        <v>8.0</v>
      </c>
      <c r="CX103" s="71" t="s">
        <v>125</v>
      </c>
      <c r="CY103" s="71" t="s">
        <v>126</v>
      </c>
      <c r="CZ103" s="76" t="s">
        <v>151</v>
      </c>
      <c r="DA103" s="43"/>
      <c r="DB103" s="44">
        <v>0.0</v>
      </c>
      <c r="DC103" s="43"/>
      <c r="DD103" s="78"/>
      <c r="DE103" s="43"/>
      <c r="DF103" s="43"/>
      <c r="DG103" s="48" t="s">
        <v>128</v>
      </c>
      <c r="DH103" s="48" t="s">
        <v>128</v>
      </c>
      <c r="DI103" s="85" t="str">
        <f>+ OFF 30 DIAS SIN VENTA</f>
        <v>#ERROR!</v>
      </c>
      <c r="DJ103" s="49">
        <v>1.0</v>
      </c>
      <c r="DK103" s="48" t="b">
        <v>0</v>
      </c>
      <c r="DL103" s="50" t="s">
        <v>360</v>
      </c>
      <c r="DM103" s="50" t="s">
        <v>131</v>
      </c>
      <c r="DN103" s="50" t="s">
        <v>361</v>
      </c>
      <c r="DO103" s="49">
        <v>0.05</v>
      </c>
      <c r="DP103" s="48" t="s">
        <v>128</v>
      </c>
      <c r="DQ103" s="86" t="str">
        <f>+ OFF 30 DIAS SIN VENTA</f>
        <v>#ERROR!</v>
      </c>
      <c r="DR103" s="48" t="s">
        <v>392</v>
      </c>
      <c r="DS103" s="48" t="s">
        <v>134</v>
      </c>
    </row>
    <row r="104">
      <c r="A104" s="23" t="s">
        <v>118</v>
      </c>
      <c r="B104" s="24">
        <v>3.0</v>
      </c>
      <c r="C104" s="23" t="s">
        <v>119</v>
      </c>
      <c r="D104" s="24">
        <v>640888.0</v>
      </c>
      <c r="E104" s="23" t="s">
        <v>161</v>
      </c>
      <c r="F104" s="23" t="s">
        <v>393</v>
      </c>
      <c r="G104" s="23" t="s">
        <v>394</v>
      </c>
      <c r="H104" s="24">
        <v>81861.0</v>
      </c>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7"/>
      <c r="BU104" s="26"/>
      <c r="BV104" s="26"/>
      <c r="BW104" s="26"/>
      <c r="BX104" s="24">
        <v>2400.0</v>
      </c>
      <c r="BY104" s="24" t="s">
        <v>123</v>
      </c>
      <c r="BZ104" s="87">
        <v>2400.0</v>
      </c>
      <c r="CA104" s="72"/>
      <c r="CB104" s="82"/>
      <c r="CC104" s="31"/>
      <c r="CD104" s="28">
        <v>2400.0</v>
      </c>
      <c r="CE104" s="88" t="s">
        <v>185</v>
      </c>
      <c r="CF104" s="33"/>
      <c r="CG104" s="34">
        <v>0.0</v>
      </c>
      <c r="CH104" s="89"/>
      <c r="CI104" s="36">
        <v>0.0</v>
      </c>
      <c r="CJ104" s="36">
        <v>208.0</v>
      </c>
      <c r="CK104" s="37">
        <v>-7.0</v>
      </c>
      <c r="CL104" s="36">
        <v>201.0</v>
      </c>
      <c r="CM104" s="38">
        <v>0.0</v>
      </c>
      <c r="CN104" s="36">
        <v>0.0</v>
      </c>
      <c r="CO104" s="39">
        <v>0.0</v>
      </c>
      <c r="CP104" s="40">
        <v>0.0</v>
      </c>
      <c r="CQ104" s="36">
        <v>0.0</v>
      </c>
      <c r="CR104" s="36">
        <v>0.0</v>
      </c>
      <c r="CS104" s="36">
        <v>0.0</v>
      </c>
      <c r="CT104" s="41"/>
      <c r="CU104" s="42"/>
      <c r="CV104" s="43"/>
      <c r="CW104" s="44">
        <v>8.0</v>
      </c>
      <c r="CX104" s="44" t="s">
        <v>125</v>
      </c>
      <c r="CY104" s="44" t="s">
        <v>126</v>
      </c>
      <c r="CZ104" s="45"/>
      <c r="DA104" s="43"/>
      <c r="DB104" s="44">
        <v>0.0</v>
      </c>
      <c r="DC104" s="43"/>
      <c r="DD104" s="78"/>
      <c r="DE104" s="43"/>
      <c r="DF104" s="43"/>
      <c r="DG104" s="48" t="s">
        <v>128</v>
      </c>
      <c r="DH104" s="48" t="s">
        <v>131</v>
      </c>
      <c r="DI104" s="48" t="s">
        <v>188</v>
      </c>
      <c r="DJ104" s="49">
        <v>1.0</v>
      </c>
      <c r="DK104" s="48" t="b">
        <v>0</v>
      </c>
      <c r="DL104" s="50" t="s">
        <v>360</v>
      </c>
      <c r="DM104" s="50" t="s">
        <v>131</v>
      </c>
      <c r="DN104" s="50" t="s">
        <v>361</v>
      </c>
      <c r="DO104" s="49">
        <v>0.05</v>
      </c>
      <c r="DP104" s="51"/>
      <c r="DQ104" s="48" t="s">
        <v>188</v>
      </c>
      <c r="DR104" s="51"/>
      <c r="DS104" s="48" t="s">
        <v>134</v>
      </c>
    </row>
    <row r="105">
      <c r="A105" s="52" t="s">
        <v>118</v>
      </c>
      <c r="B105" s="53">
        <v>3.0</v>
      </c>
      <c r="C105" s="52" t="s">
        <v>119</v>
      </c>
      <c r="D105" s="53">
        <v>631195.0</v>
      </c>
      <c r="E105" s="52" t="s">
        <v>140</v>
      </c>
      <c r="F105" s="52" t="s">
        <v>395</v>
      </c>
      <c r="G105" s="52" t="s">
        <v>396</v>
      </c>
      <c r="H105" s="53">
        <v>81861.0</v>
      </c>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81"/>
      <c r="BU105" s="54"/>
      <c r="BV105" s="54"/>
      <c r="BW105" s="54"/>
      <c r="BX105" s="53">
        <v>2400.0</v>
      </c>
      <c r="BY105" s="53" t="s">
        <v>123</v>
      </c>
      <c r="BZ105" s="58">
        <v>2400.0</v>
      </c>
      <c r="CA105" s="72"/>
      <c r="CB105" s="82"/>
      <c r="CC105" s="31"/>
      <c r="CD105" s="58">
        <v>2400.0</v>
      </c>
      <c r="CE105" s="83" t="s">
        <v>185</v>
      </c>
      <c r="CF105" s="60"/>
      <c r="CG105" s="61">
        <v>0.0</v>
      </c>
      <c r="CH105" s="84"/>
      <c r="CI105" s="63">
        <v>0.0</v>
      </c>
      <c r="CJ105" s="63">
        <v>208.0</v>
      </c>
      <c r="CK105" s="64">
        <v>-7.0</v>
      </c>
      <c r="CL105" s="63">
        <v>201.0</v>
      </c>
      <c r="CM105" s="65">
        <v>0.0</v>
      </c>
      <c r="CN105" s="63">
        <v>0.0</v>
      </c>
      <c r="CO105" s="66">
        <v>0.0</v>
      </c>
      <c r="CP105" s="67">
        <v>0.0</v>
      </c>
      <c r="CQ105" s="63">
        <v>0.0</v>
      </c>
      <c r="CR105" s="63">
        <v>0.0</v>
      </c>
      <c r="CS105" s="63">
        <v>0.0</v>
      </c>
      <c r="CT105" s="68"/>
      <c r="CU105" s="69"/>
      <c r="CV105" s="70"/>
      <c r="CW105" s="71">
        <v>8.0</v>
      </c>
      <c r="CX105" s="71" t="s">
        <v>125</v>
      </c>
      <c r="CY105" s="71" t="s">
        <v>126</v>
      </c>
      <c r="CZ105" s="45"/>
      <c r="DA105" s="43"/>
      <c r="DB105" s="44">
        <v>0.0</v>
      </c>
      <c r="DC105" s="43"/>
      <c r="DD105" s="78"/>
      <c r="DE105" s="43"/>
      <c r="DF105" s="43"/>
      <c r="DG105" s="48" t="s">
        <v>128</v>
      </c>
      <c r="DH105" s="48" t="s">
        <v>128</v>
      </c>
      <c r="DI105" s="85" t="str">
        <f>+ OFF 30 DIAS SIN VENTA</f>
        <v>#ERROR!</v>
      </c>
      <c r="DJ105" s="49">
        <v>1.0</v>
      </c>
      <c r="DK105" s="48" t="b">
        <v>0</v>
      </c>
      <c r="DL105" s="50" t="s">
        <v>360</v>
      </c>
      <c r="DM105" s="50" t="s">
        <v>131</v>
      </c>
      <c r="DN105" s="50" t="s">
        <v>361</v>
      </c>
      <c r="DO105" s="49">
        <v>0.05</v>
      </c>
      <c r="DP105" s="48" t="s">
        <v>128</v>
      </c>
      <c r="DQ105" s="86" t="str">
        <f>+ OFF 30 DIAS SIN VENTA</f>
        <v>#ERROR!</v>
      </c>
      <c r="DR105" s="51"/>
      <c r="DS105" s="48" t="s">
        <v>134</v>
      </c>
    </row>
    <row r="106">
      <c r="A106" s="23" t="s">
        <v>118</v>
      </c>
      <c r="B106" s="24">
        <v>3.0</v>
      </c>
      <c r="C106" s="23" t="s">
        <v>119</v>
      </c>
      <c r="D106" s="24">
        <v>669823.0</v>
      </c>
      <c r="E106" s="23" t="s">
        <v>214</v>
      </c>
      <c r="F106" s="23" t="s">
        <v>397</v>
      </c>
      <c r="G106" s="23" t="s">
        <v>398</v>
      </c>
      <c r="H106" s="24">
        <v>81861.0</v>
      </c>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7"/>
      <c r="BU106" s="26"/>
      <c r="BV106" s="26"/>
      <c r="BW106" s="26"/>
      <c r="BX106" s="24">
        <v>2400.0</v>
      </c>
      <c r="BY106" s="24" t="s">
        <v>123</v>
      </c>
      <c r="BZ106" s="28">
        <v>2400.0</v>
      </c>
      <c r="CA106" s="72"/>
      <c r="CB106" s="26"/>
      <c r="CC106" s="31"/>
      <c r="CD106" s="28">
        <v>2400.0</v>
      </c>
      <c r="CE106" s="88" t="s">
        <v>185</v>
      </c>
      <c r="CF106" s="33"/>
      <c r="CG106" s="34">
        <v>0.0</v>
      </c>
      <c r="CH106" s="89"/>
      <c r="CI106" s="36">
        <v>0.0</v>
      </c>
      <c r="CJ106" s="36">
        <v>208.0</v>
      </c>
      <c r="CK106" s="37">
        <v>-7.0</v>
      </c>
      <c r="CL106" s="36">
        <v>201.0</v>
      </c>
      <c r="CM106" s="38">
        <v>0.0</v>
      </c>
      <c r="CN106" s="36">
        <v>0.0</v>
      </c>
      <c r="CO106" s="39">
        <v>0.0</v>
      </c>
      <c r="CP106" s="40">
        <v>0.0</v>
      </c>
      <c r="CQ106" s="36">
        <v>0.0</v>
      </c>
      <c r="CR106" s="36">
        <v>0.0</v>
      </c>
      <c r="CS106" s="36">
        <v>0.0</v>
      </c>
      <c r="CT106" s="41"/>
      <c r="CU106" s="42"/>
      <c r="CV106" s="43"/>
      <c r="CW106" s="44">
        <v>8.0</v>
      </c>
      <c r="CX106" s="44" t="s">
        <v>125</v>
      </c>
      <c r="CY106" s="44" t="s">
        <v>126</v>
      </c>
      <c r="CZ106" s="45"/>
      <c r="DA106" s="43"/>
      <c r="DB106" s="44">
        <v>0.0</v>
      </c>
      <c r="DC106" s="43"/>
      <c r="DD106" s="78"/>
      <c r="DE106" s="43"/>
      <c r="DF106" s="43"/>
      <c r="DG106" s="48" t="s">
        <v>128</v>
      </c>
      <c r="DH106" s="48" t="s">
        <v>128</v>
      </c>
      <c r="DI106" s="85" t="str">
        <f>+ OFF 30 DIAS SIN VENTA</f>
        <v>#ERROR!</v>
      </c>
      <c r="DJ106" s="49">
        <v>1.0</v>
      </c>
      <c r="DK106" s="48" t="b">
        <v>0</v>
      </c>
      <c r="DL106" s="50" t="s">
        <v>360</v>
      </c>
      <c r="DM106" s="50" t="s">
        <v>131</v>
      </c>
      <c r="DN106" s="50" t="s">
        <v>361</v>
      </c>
      <c r="DO106" s="49">
        <v>0.05</v>
      </c>
      <c r="DP106" s="48" t="s">
        <v>128</v>
      </c>
      <c r="DQ106" s="86" t="str">
        <f>+ OFF 30 DIAS SIN VENTA</f>
        <v>#ERROR!</v>
      </c>
      <c r="DR106" s="51"/>
      <c r="DS106" s="48" t="s">
        <v>134</v>
      </c>
    </row>
    <row r="107">
      <c r="A107" s="52" t="s">
        <v>118</v>
      </c>
      <c r="B107" s="53">
        <v>3.0</v>
      </c>
      <c r="C107" s="52" t="s">
        <v>119</v>
      </c>
      <c r="D107" s="53">
        <v>680588.0</v>
      </c>
      <c r="E107" s="52" t="s">
        <v>251</v>
      </c>
      <c r="F107" s="52" t="s">
        <v>399</v>
      </c>
      <c r="G107" s="52" t="s">
        <v>400</v>
      </c>
      <c r="H107" s="53">
        <v>81861.0</v>
      </c>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81"/>
      <c r="BU107" s="54"/>
      <c r="BV107" s="54"/>
      <c r="BW107" s="54"/>
      <c r="BX107" s="53">
        <v>1800.0</v>
      </c>
      <c r="BY107" s="53" t="s">
        <v>123</v>
      </c>
      <c r="BZ107" s="58">
        <v>1800.0</v>
      </c>
      <c r="CA107" s="72"/>
      <c r="CB107" s="82"/>
      <c r="CC107" s="31"/>
      <c r="CD107" s="58">
        <v>1800.0</v>
      </c>
      <c r="CE107" s="83" t="s">
        <v>185</v>
      </c>
      <c r="CF107" s="60"/>
      <c r="CG107" s="61">
        <v>0.0</v>
      </c>
      <c r="CH107" s="84"/>
      <c r="CI107" s="63">
        <v>0.0</v>
      </c>
      <c r="CJ107" s="63">
        <v>208.0</v>
      </c>
      <c r="CK107" s="64">
        <v>-7.0</v>
      </c>
      <c r="CL107" s="63">
        <v>201.0</v>
      </c>
      <c r="CM107" s="65">
        <v>0.0</v>
      </c>
      <c r="CN107" s="63">
        <v>0.0</v>
      </c>
      <c r="CO107" s="66">
        <v>0.0</v>
      </c>
      <c r="CP107" s="67">
        <v>0.0</v>
      </c>
      <c r="CQ107" s="63">
        <v>0.0</v>
      </c>
      <c r="CR107" s="63">
        <v>0.0</v>
      </c>
      <c r="CS107" s="63">
        <v>0.0</v>
      </c>
      <c r="CT107" s="68"/>
      <c r="CU107" s="69"/>
      <c r="CV107" s="70"/>
      <c r="CW107" s="71">
        <v>6.0</v>
      </c>
      <c r="CX107" s="71" t="s">
        <v>401</v>
      </c>
      <c r="CY107" s="71" t="s">
        <v>402</v>
      </c>
      <c r="CZ107" s="45"/>
      <c r="DA107" s="43"/>
      <c r="DB107" s="44">
        <v>0.0</v>
      </c>
      <c r="DC107" s="43"/>
      <c r="DD107" s="78"/>
      <c r="DE107" s="43"/>
      <c r="DF107" s="43"/>
      <c r="DG107" s="48" t="s">
        <v>128</v>
      </c>
      <c r="DH107" s="48" t="s">
        <v>128</v>
      </c>
      <c r="DI107" s="85" t="str">
        <f>+ OFF 30 DIAS SIN VENTA</f>
        <v>#ERROR!</v>
      </c>
      <c r="DJ107" s="49">
        <v>1.0</v>
      </c>
      <c r="DK107" s="48" t="b">
        <v>0</v>
      </c>
      <c r="DL107" s="50" t="s">
        <v>360</v>
      </c>
      <c r="DM107" s="50" t="s">
        <v>131</v>
      </c>
      <c r="DN107" s="50" t="s">
        <v>361</v>
      </c>
      <c r="DO107" s="49">
        <v>0.05</v>
      </c>
      <c r="DP107" s="48" t="s">
        <v>128</v>
      </c>
      <c r="DQ107" s="86" t="str">
        <f>+ OFF 30 DIAS SIN VENTA</f>
        <v>#ERROR!</v>
      </c>
      <c r="DR107" s="51"/>
      <c r="DS107" s="48" t="s">
        <v>134</v>
      </c>
    </row>
    <row r="108">
      <c r="A108" s="23" t="s">
        <v>118</v>
      </c>
      <c r="B108" s="24">
        <v>3.0</v>
      </c>
      <c r="C108" s="23" t="s">
        <v>119</v>
      </c>
      <c r="D108" s="24">
        <v>680607.0</v>
      </c>
      <c r="E108" s="23" t="s">
        <v>246</v>
      </c>
      <c r="F108" s="23" t="s">
        <v>403</v>
      </c>
      <c r="G108" s="23" t="s">
        <v>404</v>
      </c>
      <c r="H108" s="24">
        <v>81861.0</v>
      </c>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7"/>
      <c r="BU108" s="26"/>
      <c r="BV108" s="26"/>
      <c r="BW108" s="26"/>
      <c r="BX108" s="24">
        <v>2100.0</v>
      </c>
      <c r="BY108" s="24" t="s">
        <v>123</v>
      </c>
      <c r="BZ108" s="28">
        <v>2100.0</v>
      </c>
      <c r="CA108" s="72"/>
      <c r="CB108" s="82"/>
      <c r="CC108" s="31"/>
      <c r="CD108" s="28">
        <v>2100.0</v>
      </c>
      <c r="CE108" s="88" t="s">
        <v>185</v>
      </c>
      <c r="CF108" s="33"/>
      <c r="CG108" s="34">
        <v>0.0</v>
      </c>
      <c r="CH108" s="89"/>
      <c r="CI108" s="36">
        <v>0.0</v>
      </c>
      <c r="CJ108" s="36">
        <v>208.0</v>
      </c>
      <c r="CK108" s="37">
        <v>-7.0</v>
      </c>
      <c r="CL108" s="36">
        <v>201.0</v>
      </c>
      <c r="CM108" s="38">
        <v>0.0</v>
      </c>
      <c r="CN108" s="36">
        <v>0.0</v>
      </c>
      <c r="CO108" s="39">
        <v>0.0</v>
      </c>
      <c r="CP108" s="40">
        <v>0.0</v>
      </c>
      <c r="CQ108" s="36">
        <v>0.0</v>
      </c>
      <c r="CR108" s="36">
        <v>0.0</v>
      </c>
      <c r="CS108" s="36">
        <v>0.0</v>
      </c>
      <c r="CT108" s="41"/>
      <c r="CU108" s="42"/>
      <c r="CV108" s="43"/>
      <c r="CW108" s="44">
        <v>7.0</v>
      </c>
      <c r="CX108" s="44" t="s">
        <v>201</v>
      </c>
      <c r="CY108" s="44" t="s">
        <v>202</v>
      </c>
      <c r="CZ108" s="45"/>
      <c r="DA108" s="43"/>
      <c r="DB108" s="44">
        <v>0.0</v>
      </c>
      <c r="DC108" s="43"/>
      <c r="DD108" s="78"/>
      <c r="DE108" s="43"/>
      <c r="DF108" s="43"/>
      <c r="DG108" s="48" t="s">
        <v>128</v>
      </c>
      <c r="DH108" s="48" t="s">
        <v>128</v>
      </c>
      <c r="DI108" s="85" t="str">
        <f>+ OFF 30 DIAS SIN VENTA</f>
        <v>#ERROR!</v>
      </c>
      <c r="DJ108" s="49">
        <v>1.0</v>
      </c>
      <c r="DK108" s="48" t="b">
        <v>0</v>
      </c>
      <c r="DL108" s="50" t="s">
        <v>360</v>
      </c>
      <c r="DM108" s="50" t="s">
        <v>131</v>
      </c>
      <c r="DN108" s="50" t="s">
        <v>361</v>
      </c>
      <c r="DO108" s="49">
        <v>0.05</v>
      </c>
      <c r="DP108" s="48" t="s">
        <v>128</v>
      </c>
      <c r="DQ108" s="86" t="str">
        <f>+ OFF 30 DIAS SIN VENTA</f>
        <v>#ERROR!</v>
      </c>
      <c r="DR108" s="51"/>
      <c r="DS108" s="48" t="s">
        <v>134</v>
      </c>
    </row>
    <row r="109">
      <c r="A109" s="52" t="s">
        <v>118</v>
      </c>
      <c r="B109" s="53">
        <v>3.0</v>
      </c>
      <c r="C109" s="52" t="s">
        <v>119</v>
      </c>
      <c r="D109" s="53">
        <v>627274.0</v>
      </c>
      <c r="E109" s="52" t="s">
        <v>173</v>
      </c>
      <c r="F109" s="52" t="s">
        <v>405</v>
      </c>
      <c r="G109" s="52" t="s">
        <v>406</v>
      </c>
      <c r="H109" s="53">
        <v>81861.0</v>
      </c>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81"/>
      <c r="BU109" s="54"/>
      <c r="BV109" s="54"/>
      <c r="BW109" s="54"/>
      <c r="BX109" s="53">
        <v>2100.0</v>
      </c>
      <c r="BY109" s="53" t="s">
        <v>123</v>
      </c>
      <c r="BZ109" s="58">
        <v>2100.0</v>
      </c>
      <c r="CA109" s="72"/>
      <c r="CB109" s="82"/>
      <c r="CC109" s="31"/>
      <c r="CD109" s="58">
        <v>2100.0</v>
      </c>
      <c r="CE109" s="83" t="s">
        <v>185</v>
      </c>
      <c r="CF109" s="60"/>
      <c r="CG109" s="61">
        <v>0.0</v>
      </c>
      <c r="CH109" s="84"/>
      <c r="CI109" s="63">
        <v>0.0</v>
      </c>
      <c r="CJ109" s="63">
        <v>208.0</v>
      </c>
      <c r="CK109" s="64">
        <v>-7.0</v>
      </c>
      <c r="CL109" s="63">
        <v>201.0</v>
      </c>
      <c r="CM109" s="65">
        <v>0.0</v>
      </c>
      <c r="CN109" s="63">
        <v>0.0</v>
      </c>
      <c r="CO109" s="66">
        <v>0.0</v>
      </c>
      <c r="CP109" s="67">
        <v>0.0</v>
      </c>
      <c r="CQ109" s="63">
        <v>0.0</v>
      </c>
      <c r="CR109" s="63">
        <v>0.0</v>
      </c>
      <c r="CS109" s="63">
        <v>0.0</v>
      </c>
      <c r="CT109" s="68"/>
      <c r="CU109" s="69"/>
      <c r="CV109" s="70"/>
      <c r="CW109" s="71">
        <v>7.0</v>
      </c>
      <c r="CX109" s="71" t="s">
        <v>201</v>
      </c>
      <c r="CY109" s="71" t="s">
        <v>202</v>
      </c>
      <c r="CZ109" s="45"/>
      <c r="DA109" s="43"/>
      <c r="DB109" s="44">
        <v>0.0</v>
      </c>
      <c r="DC109" s="43"/>
      <c r="DD109" s="78"/>
      <c r="DE109" s="43"/>
      <c r="DF109" s="43"/>
      <c r="DG109" s="48" t="s">
        <v>128</v>
      </c>
      <c r="DH109" s="48" t="s">
        <v>128</v>
      </c>
      <c r="DI109" s="85" t="str">
        <f>+ OFF 30 DIAS SIN VENTA</f>
        <v>#ERROR!</v>
      </c>
      <c r="DJ109" s="49">
        <v>1.0</v>
      </c>
      <c r="DK109" s="48" t="b">
        <v>0</v>
      </c>
      <c r="DL109" s="50" t="s">
        <v>360</v>
      </c>
      <c r="DM109" s="50" t="s">
        <v>131</v>
      </c>
      <c r="DN109" s="50" t="s">
        <v>361</v>
      </c>
      <c r="DO109" s="49">
        <v>0.05</v>
      </c>
      <c r="DP109" s="48" t="s">
        <v>128</v>
      </c>
      <c r="DQ109" s="86" t="str">
        <f>+ OFF 30 DIAS SIN VENTA</f>
        <v>#ERROR!</v>
      </c>
      <c r="DR109" s="51"/>
      <c r="DS109" s="48" t="s">
        <v>134</v>
      </c>
    </row>
    <row r="110">
      <c r="A110" s="23" t="s">
        <v>118</v>
      </c>
      <c r="B110" s="24">
        <v>3.0</v>
      </c>
      <c r="C110" s="23" t="s">
        <v>119</v>
      </c>
      <c r="D110" s="24">
        <v>681287.0</v>
      </c>
      <c r="E110" s="23" t="s">
        <v>354</v>
      </c>
      <c r="F110" s="23" t="s">
        <v>407</v>
      </c>
      <c r="G110" s="23" t="s">
        <v>408</v>
      </c>
      <c r="H110" s="24">
        <v>81861.0</v>
      </c>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7"/>
      <c r="BU110" s="26"/>
      <c r="BV110" s="26"/>
      <c r="BW110" s="26"/>
      <c r="BX110" s="24">
        <v>2400.0</v>
      </c>
      <c r="BY110" s="24" t="s">
        <v>123</v>
      </c>
      <c r="BZ110" s="28">
        <v>2400.0</v>
      </c>
      <c r="CA110" s="72"/>
      <c r="CB110" s="82"/>
      <c r="CC110" s="31"/>
      <c r="CD110" s="28">
        <v>2400.0</v>
      </c>
      <c r="CE110" s="88" t="s">
        <v>185</v>
      </c>
      <c r="CF110" s="33"/>
      <c r="CG110" s="34">
        <v>0.0</v>
      </c>
      <c r="CH110" s="89"/>
      <c r="CI110" s="36">
        <v>0.0</v>
      </c>
      <c r="CJ110" s="36">
        <v>208.0</v>
      </c>
      <c r="CK110" s="37">
        <v>-7.0</v>
      </c>
      <c r="CL110" s="36">
        <v>201.0</v>
      </c>
      <c r="CM110" s="38">
        <v>0.0</v>
      </c>
      <c r="CN110" s="36">
        <v>0.0</v>
      </c>
      <c r="CO110" s="39">
        <v>0.0</v>
      </c>
      <c r="CP110" s="40">
        <v>0.0</v>
      </c>
      <c r="CQ110" s="36">
        <v>0.0</v>
      </c>
      <c r="CR110" s="36">
        <v>0.0</v>
      </c>
      <c r="CS110" s="36">
        <v>0.0</v>
      </c>
      <c r="CT110" s="41"/>
      <c r="CU110" s="42"/>
      <c r="CV110" s="43"/>
      <c r="CW110" s="44">
        <v>8.0</v>
      </c>
      <c r="CX110" s="44" t="s">
        <v>125</v>
      </c>
      <c r="CY110" s="44" t="s">
        <v>126</v>
      </c>
      <c r="CZ110" s="45"/>
      <c r="DA110" s="43"/>
      <c r="DB110" s="44">
        <v>0.0</v>
      </c>
      <c r="DC110" s="43"/>
      <c r="DD110" s="78"/>
      <c r="DE110" s="43"/>
      <c r="DF110" s="43"/>
      <c r="DG110" s="48" t="s">
        <v>128</v>
      </c>
      <c r="DH110" s="48" t="s">
        <v>128</v>
      </c>
      <c r="DI110" s="85" t="str">
        <f>+ OFF 30 DIAS SIN VENTA</f>
        <v>#ERROR!</v>
      </c>
      <c r="DJ110" s="49">
        <v>1.0</v>
      </c>
      <c r="DK110" s="48" t="b">
        <v>0</v>
      </c>
      <c r="DL110" s="50" t="s">
        <v>360</v>
      </c>
      <c r="DM110" s="50" t="s">
        <v>131</v>
      </c>
      <c r="DN110" s="50" t="s">
        <v>361</v>
      </c>
      <c r="DO110" s="49">
        <v>0.05</v>
      </c>
      <c r="DP110" s="48" t="s">
        <v>128</v>
      </c>
      <c r="DQ110" s="86" t="str">
        <f>+ OFF 30 DIAS SIN VENTA</f>
        <v>#ERROR!</v>
      </c>
      <c r="DR110" s="51"/>
      <c r="DS110" s="48" t="s">
        <v>134</v>
      </c>
    </row>
    <row r="111">
      <c r="A111" s="52" t="s">
        <v>118</v>
      </c>
      <c r="B111" s="53">
        <v>3.0</v>
      </c>
      <c r="C111" s="52" t="s">
        <v>119</v>
      </c>
      <c r="D111" s="53">
        <v>536832.0</v>
      </c>
      <c r="E111" s="52" t="s">
        <v>158</v>
      </c>
      <c r="F111" s="52" t="s">
        <v>409</v>
      </c>
      <c r="G111" s="52" t="s">
        <v>410</v>
      </c>
      <c r="H111" s="53">
        <v>81861.0</v>
      </c>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81"/>
      <c r="BU111" s="54"/>
      <c r="BV111" s="54"/>
      <c r="BW111" s="54"/>
      <c r="BX111" s="53">
        <v>1.0</v>
      </c>
      <c r="BY111" s="53" t="s">
        <v>123</v>
      </c>
      <c r="BZ111" s="87">
        <v>1.0</v>
      </c>
      <c r="CA111" s="72"/>
      <c r="CB111" s="82"/>
      <c r="CC111" s="31"/>
      <c r="CD111" s="58">
        <v>1.0</v>
      </c>
      <c r="CE111" s="83" t="s">
        <v>185</v>
      </c>
      <c r="CF111" s="60"/>
      <c r="CG111" s="61">
        <v>0.0</v>
      </c>
      <c r="CH111" s="84"/>
      <c r="CI111" s="63">
        <v>0.0</v>
      </c>
      <c r="CJ111" s="63">
        <v>208.0</v>
      </c>
      <c r="CK111" s="64">
        <v>-7.0</v>
      </c>
      <c r="CL111" s="63">
        <v>201.0</v>
      </c>
      <c r="CM111" s="65">
        <v>0.0</v>
      </c>
      <c r="CN111" s="63">
        <v>0.0</v>
      </c>
      <c r="CO111" s="66">
        <v>0.0</v>
      </c>
      <c r="CP111" s="67">
        <v>0.0</v>
      </c>
      <c r="CQ111" s="63">
        <v>0.0</v>
      </c>
      <c r="CR111" s="63">
        <v>0.0</v>
      </c>
      <c r="CS111" s="63">
        <v>0.0</v>
      </c>
      <c r="CT111" s="68"/>
      <c r="CU111" s="69"/>
      <c r="CV111" s="70"/>
      <c r="CW111" s="71">
        <v>1.0</v>
      </c>
      <c r="CX111" s="71">
        <v>1.0</v>
      </c>
      <c r="CY111" s="71">
        <v>0.1</v>
      </c>
      <c r="CZ111" s="45"/>
      <c r="DA111" s="43"/>
      <c r="DB111" s="44">
        <v>0.0</v>
      </c>
      <c r="DC111" s="43"/>
      <c r="DD111" s="78"/>
      <c r="DE111" s="43"/>
      <c r="DF111" s="43"/>
      <c r="DG111" s="48" t="s">
        <v>128</v>
      </c>
      <c r="DH111" s="48" t="s">
        <v>131</v>
      </c>
      <c r="DI111" s="48" t="s">
        <v>188</v>
      </c>
      <c r="DJ111" s="49">
        <v>1.0</v>
      </c>
      <c r="DK111" s="48" t="b">
        <v>0</v>
      </c>
      <c r="DL111" s="50" t="s">
        <v>360</v>
      </c>
      <c r="DM111" s="50" t="s">
        <v>131</v>
      </c>
      <c r="DN111" s="50" t="s">
        <v>361</v>
      </c>
      <c r="DO111" s="49">
        <v>0.05</v>
      </c>
      <c r="DP111" s="51"/>
      <c r="DQ111" s="48" t="s">
        <v>188</v>
      </c>
      <c r="DR111" s="51"/>
      <c r="DS111" s="48" t="s">
        <v>134</v>
      </c>
    </row>
    <row r="112">
      <c r="A112" s="23" t="s">
        <v>118</v>
      </c>
      <c r="B112" s="24">
        <v>3.0</v>
      </c>
      <c r="C112" s="23" t="s">
        <v>119</v>
      </c>
      <c r="D112" s="24">
        <v>648803.0</v>
      </c>
      <c r="E112" s="23" t="s">
        <v>189</v>
      </c>
      <c r="F112" s="23" t="s">
        <v>411</v>
      </c>
      <c r="G112" s="23" t="s">
        <v>412</v>
      </c>
      <c r="H112" s="24">
        <v>81861.0</v>
      </c>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7"/>
      <c r="BU112" s="26"/>
      <c r="BV112" s="26"/>
      <c r="BW112" s="26"/>
      <c r="BX112" s="24">
        <v>2100.0</v>
      </c>
      <c r="BY112" s="24" t="s">
        <v>123</v>
      </c>
      <c r="BZ112" s="28">
        <v>2100.0</v>
      </c>
      <c r="CA112" s="72"/>
      <c r="CB112" s="82"/>
      <c r="CC112" s="31"/>
      <c r="CD112" s="28">
        <v>2100.0</v>
      </c>
      <c r="CE112" s="88" t="s">
        <v>185</v>
      </c>
      <c r="CF112" s="33"/>
      <c r="CG112" s="34">
        <v>0.0</v>
      </c>
      <c r="CH112" s="89"/>
      <c r="CI112" s="36">
        <v>0.0</v>
      </c>
      <c r="CJ112" s="36">
        <v>208.0</v>
      </c>
      <c r="CK112" s="37">
        <v>-7.0</v>
      </c>
      <c r="CL112" s="36">
        <v>201.0</v>
      </c>
      <c r="CM112" s="38">
        <v>0.0</v>
      </c>
      <c r="CN112" s="36">
        <v>0.0</v>
      </c>
      <c r="CO112" s="39">
        <v>0.0</v>
      </c>
      <c r="CP112" s="40">
        <v>0.0</v>
      </c>
      <c r="CQ112" s="36">
        <v>0.0</v>
      </c>
      <c r="CR112" s="36">
        <v>0.0</v>
      </c>
      <c r="CS112" s="36">
        <v>0.0</v>
      </c>
      <c r="CT112" s="41"/>
      <c r="CU112" s="42"/>
      <c r="CV112" s="43"/>
      <c r="CW112" s="44">
        <v>7.0</v>
      </c>
      <c r="CX112" s="44" t="s">
        <v>201</v>
      </c>
      <c r="CY112" s="44" t="s">
        <v>202</v>
      </c>
      <c r="CZ112" s="45"/>
      <c r="DA112" s="43"/>
      <c r="DB112" s="44">
        <v>0.0</v>
      </c>
      <c r="DC112" s="43"/>
      <c r="DD112" s="78"/>
      <c r="DE112" s="43"/>
      <c r="DF112" s="43"/>
      <c r="DG112" s="48" t="s">
        <v>128</v>
      </c>
      <c r="DH112" s="48" t="s">
        <v>128</v>
      </c>
      <c r="DI112" s="85" t="str">
        <f>+ OFF 30 DIAS SIN VENTA</f>
        <v>#ERROR!</v>
      </c>
      <c r="DJ112" s="49">
        <v>1.0</v>
      </c>
      <c r="DK112" s="48" t="b">
        <v>0</v>
      </c>
      <c r="DL112" s="50" t="s">
        <v>360</v>
      </c>
      <c r="DM112" s="50" t="s">
        <v>131</v>
      </c>
      <c r="DN112" s="50" t="s">
        <v>361</v>
      </c>
      <c r="DO112" s="49">
        <v>0.05</v>
      </c>
      <c r="DP112" s="48" t="s">
        <v>128</v>
      </c>
      <c r="DQ112" s="86" t="str">
        <f>+ OFF 30 DIAS SIN VENTA</f>
        <v>#ERROR!</v>
      </c>
      <c r="DR112" s="51"/>
      <c r="DS112" s="48" t="s">
        <v>134</v>
      </c>
    </row>
    <row r="113">
      <c r="A113" s="52" t="s">
        <v>118</v>
      </c>
      <c r="B113" s="53">
        <v>3.0</v>
      </c>
      <c r="C113" s="52" t="s">
        <v>119</v>
      </c>
      <c r="D113" s="53">
        <v>680603.0</v>
      </c>
      <c r="E113" s="52" t="s">
        <v>182</v>
      </c>
      <c r="F113" s="52" t="s">
        <v>413</v>
      </c>
      <c r="G113" s="52" t="s">
        <v>414</v>
      </c>
      <c r="H113" s="53">
        <v>81879.0</v>
      </c>
      <c r="I113" s="53">
        <v>2.0</v>
      </c>
      <c r="J113" s="53">
        <v>0.0</v>
      </c>
      <c r="K113" s="53">
        <v>0.0</v>
      </c>
      <c r="L113" s="53">
        <v>0.0</v>
      </c>
      <c r="M113" s="53">
        <v>0.0</v>
      </c>
      <c r="N113" s="53">
        <v>0.0</v>
      </c>
      <c r="O113" s="53">
        <v>1.0</v>
      </c>
      <c r="P113" s="53">
        <v>0.0</v>
      </c>
      <c r="Q113" s="53">
        <v>0.0</v>
      </c>
      <c r="R113" s="53">
        <v>0.0</v>
      </c>
      <c r="S113" s="53">
        <v>0.0</v>
      </c>
      <c r="T113" s="53">
        <v>0.0</v>
      </c>
      <c r="U113" s="53">
        <v>0.0</v>
      </c>
      <c r="V113" s="53">
        <v>0.0</v>
      </c>
      <c r="W113" s="53">
        <v>0.0</v>
      </c>
      <c r="X113" s="53">
        <v>0.0</v>
      </c>
      <c r="Y113" s="53">
        <v>0.0</v>
      </c>
      <c r="Z113" s="53">
        <v>0.0</v>
      </c>
      <c r="AA113" s="53">
        <v>1.0</v>
      </c>
      <c r="AB113" s="53">
        <v>0.0</v>
      </c>
      <c r="AC113" s="53">
        <v>0.0</v>
      </c>
      <c r="AD113" s="53">
        <v>0.0</v>
      </c>
      <c r="AE113" s="53">
        <v>0.0</v>
      </c>
      <c r="AF113" s="53">
        <v>0.0</v>
      </c>
      <c r="AG113" s="53">
        <v>0.0</v>
      </c>
      <c r="AH113" s="53">
        <v>0.0</v>
      </c>
      <c r="AI113" s="53">
        <v>0.0</v>
      </c>
      <c r="AJ113" s="53">
        <v>0.0</v>
      </c>
      <c r="AK113" s="53">
        <v>0.0</v>
      </c>
      <c r="AL113" s="53">
        <v>0.0</v>
      </c>
      <c r="AM113" s="53">
        <v>0.0</v>
      </c>
      <c r="AN113" s="53">
        <v>0.0</v>
      </c>
      <c r="AO113" s="25">
        <v>25.7</v>
      </c>
      <c r="AP113" s="54"/>
      <c r="AQ113" s="54"/>
      <c r="AR113" s="54"/>
      <c r="AS113" s="54"/>
      <c r="AT113" s="54"/>
      <c r="AU113" s="53">
        <v>25.28</v>
      </c>
      <c r="AV113" s="54"/>
      <c r="AW113" s="54"/>
      <c r="AX113" s="54"/>
      <c r="AY113" s="54"/>
      <c r="AZ113" s="54"/>
      <c r="BA113" s="54"/>
      <c r="BB113" s="54"/>
      <c r="BC113" s="54"/>
      <c r="BD113" s="54"/>
      <c r="BE113" s="54"/>
      <c r="BF113" s="54"/>
      <c r="BG113" s="53">
        <v>26.07</v>
      </c>
      <c r="BH113" s="54"/>
      <c r="BI113" s="54"/>
      <c r="BJ113" s="54"/>
      <c r="BK113" s="54"/>
      <c r="BL113" s="54"/>
      <c r="BM113" s="54"/>
      <c r="BN113" s="54"/>
      <c r="BO113" s="54"/>
      <c r="BP113" s="53">
        <v>3.66</v>
      </c>
      <c r="BQ113" s="53">
        <v>6.85</v>
      </c>
      <c r="BR113" s="53">
        <v>10.28</v>
      </c>
      <c r="BS113" s="25">
        <v>10.0</v>
      </c>
      <c r="BT113" s="56">
        <v>25.3</v>
      </c>
      <c r="BU113" s="25">
        <v>12.3</v>
      </c>
      <c r="BV113" s="57">
        <v>4.13</v>
      </c>
      <c r="BW113" s="54"/>
      <c r="BX113" s="53">
        <v>2100.0</v>
      </c>
      <c r="BY113" s="53" t="s">
        <v>123</v>
      </c>
      <c r="BZ113" s="58">
        <v>1800.0</v>
      </c>
      <c r="CA113" s="29" t="s">
        <v>124</v>
      </c>
      <c r="CB113" s="30">
        <v>2100.0</v>
      </c>
      <c r="CC113" s="31"/>
      <c r="CD113" s="58">
        <v>2100.0</v>
      </c>
      <c r="CE113" s="59" t="e">
        <v>#REF!</v>
      </c>
      <c r="CF113" s="60"/>
      <c r="CG113" s="61">
        <v>0.0</v>
      </c>
      <c r="CH113" s="62">
        <v>0.0</v>
      </c>
      <c r="CI113" s="63">
        <v>2.0</v>
      </c>
      <c r="CJ113" s="63">
        <v>620.0</v>
      </c>
      <c r="CK113" s="94">
        <f t="shared" ref="CK113:CK135" si="5">+4</f>
        <v>4</v>
      </c>
      <c r="CL113" s="63">
        <v>624.0</v>
      </c>
      <c r="CM113" s="65">
        <v>51.0</v>
      </c>
      <c r="CN113" s="63">
        <v>0.0</v>
      </c>
      <c r="CO113" s="66">
        <v>25.7</v>
      </c>
      <c r="CP113" s="67">
        <v>0.0</v>
      </c>
      <c r="CQ113" s="63">
        <v>7.0</v>
      </c>
      <c r="CR113" s="63">
        <v>7.0</v>
      </c>
      <c r="CS113" s="63">
        <v>20.0</v>
      </c>
      <c r="CT113" s="68"/>
      <c r="CU113" s="69"/>
      <c r="CV113" s="70"/>
      <c r="CW113" s="71">
        <v>7.0</v>
      </c>
      <c r="CX113" s="71" t="s">
        <v>201</v>
      </c>
      <c r="CY113" s="71" t="s">
        <v>202</v>
      </c>
      <c r="CZ113" s="45"/>
      <c r="DA113" s="44">
        <v>2100.0</v>
      </c>
      <c r="DB113" s="44">
        <v>0.0</v>
      </c>
      <c r="DC113" s="43"/>
      <c r="DD113" s="78"/>
      <c r="DE113" s="43"/>
      <c r="DF113" s="43"/>
      <c r="DG113" s="48" t="s">
        <v>128</v>
      </c>
      <c r="DH113" s="48" t="s">
        <v>128</v>
      </c>
      <c r="DI113" s="48" t="s">
        <v>128</v>
      </c>
      <c r="DJ113" s="49">
        <v>1.0</v>
      </c>
      <c r="DK113" s="48" t="b">
        <v>0</v>
      </c>
      <c r="DL113" s="50" t="s">
        <v>415</v>
      </c>
      <c r="DM113" s="50" t="s">
        <v>131</v>
      </c>
      <c r="DN113" s="50" t="s">
        <v>416</v>
      </c>
      <c r="DO113" s="49">
        <v>0.47</v>
      </c>
      <c r="DP113" s="48" t="s">
        <v>128</v>
      </c>
      <c r="DQ113" s="48" t="s">
        <v>417</v>
      </c>
      <c r="DR113" s="51"/>
      <c r="DS113" s="48" t="s">
        <v>134</v>
      </c>
    </row>
    <row r="114">
      <c r="A114" s="23" t="s">
        <v>118</v>
      </c>
      <c r="B114" s="24">
        <v>3.0</v>
      </c>
      <c r="C114" s="23" t="s">
        <v>119</v>
      </c>
      <c r="D114" s="24">
        <v>641645.0</v>
      </c>
      <c r="E114" s="23" t="s">
        <v>145</v>
      </c>
      <c r="F114" s="23" t="s">
        <v>418</v>
      </c>
      <c r="G114" s="23" t="s">
        <v>419</v>
      </c>
      <c r="H114" s="24">
        <v>81879.0</v>
      </c>
      <c r="I114" s="24">
        <v>8.0</v>
      </c>
      <c r="J114" s="24">
        <v>0.0</v>
      </c>
      <c r="K114" s="24">
        <v>0.0</v>
      </c>
      <c r="L114" s="24">
        <v>0.0</v>
      </c>
      <c r="M114" s="24">
        <v>0.0</v>
      </c>
      <c r="N114" s="24">
        <v>0.0</v>
      </c>
      <c r="O114" s="24">
        <v>0.0</v>
      </c>
      <c r="P114" s="24">
        <v>0.0</v>
      </c>
      <c r="Q114" s="24">
        <v>0.0</v>
      </c>
      <c r="R114" s="24">
        <v>0.0</v>
      </c>
      <c r="S114" s="24">
        <v>1.0</v>
      </c>
      <c r="T114" s="24">
        <v>0.0</v>
      </c>
      <c r="U114" s="24">
        <v>0.0</v>
      </c>
      <c r="V114" s="24">
        <v>0.0</v>
      </c>
      <c r="W114" s="24">
        <v>1.0</v>
      </c>
      <c r="X114" s="24">
        <v>1.0</v>
      </c>
      <c r="Y114" s="24">
        <v>0.0</v>
      </c>
      <c r="Z114" s="24">
        <v>0.0</v>
      </c>
      <c r="AA114" s="24">
        <v>1.0</v>
      </c>
      <c r="AB114" s="24">
        <v>0.0</v>
      </c>
      <c r="AC114" s="24">
        <v>1.0</v>
      </c>
      <c r="AD114" s="24">
        <v>2.0</v>
      </c>
      <c r="AE114" s="24">
        <v>0.0</v>
      </c>
      <c r="AF114" s="24">
        <v>1.0</v>
      </c>
      <c r="AG114" s="24">
        <v>0.0</v>
      </c>
      <c r="AH114" s="24">
        <v>0.0</v>
      </c>
      <c r="AI114" s="24">
        <v>0.0</v>
      </c>
      <c r="AJ114" s="24">
        <v>0.0</v>
      </c>
      <c r="AK114" s="24">
        <v>0.0</v>
      </c>
      <c r="AL114" s="24">
        <v>0.0</v>
      </c>
      <c r="AM114" s="24">
        <v>0.0</v>
      </c>
      <c r="AN114" s="24">
        <v>0.0</v>
      </c>
      <c r="AO114" s="25">
        <v>23.5</v>
      </c>
      <c r="AP114" s="26"/>
      <c r="AQ114" s="26"/>
      <c r="AR114" s="26"/>
      <c r="AS114" s="26"/>
      <c r="AT114" s="26"/>
      <c r="AU114" s="26"/>
      <c r="AV114" s="26"/>
      <c r="AW114" s="26"/>
      <c r="AX114" s="26"/>
      <c r="AY114" s="24">
        <v>17.7</v>
      </c>
      <c r="AZ114" s="26"/>
      <c r="BA114" s="26"/>
      <c r="BB114" s="26"/>
      <c r="BC114" s="24">
        <v>42.97</v>
      </c>
      <c r="BD114" s="24">
        <v>19.7</v>
      </c>
      <c r="BE114" s="26"/>
      <c r="BF114" s="26"/>
      <c r="BG114" s="24">
        <v>26.45</v>
      </c>
      <c r="BH114" s="26"/>
      <c r="BI114" s="24">
        <v>26.17</v>
      </c>
      <c r="BJ114" s="24">
        <v>20.26</v>
      </c>
      <c r="BK114" s="26"/>
      <c r="BL114" s="24">
        <v>14.88</v>
      </c>
      <c r="BM114" s="26"/>
      <c r="BN114" s="26"/>
      <c r="BO114" s="26"/>
      <c r="BP114" s="24">
        <v>6.69</v>
      </c>
      <c r="BQ114" s="24">
        <v>3.53</v>
      </c>
      <c r="BR114" s="24">
        <v>12.49</v>
      </c>
      <c r="BS114" s="25">
        <v>7.07</v>
      </c>
      <c r="BT114" s="56">
        <v>17.7</v>
      </c>
      <c r="BU114" s="25">
        <v>6.5</v>
      </c>
      <c r="BV114" s="57">
        <v>5.72</v>
      </c>
      <c r="BW114" s="26"/>
      <c r="BX114" s="24">
        <v>2100.0</v>
      </c>
      <c r="BY114" s="24" t="s">
        <v>123</v>
      </c>
      <c r="BZ114" s="28">
        <v>1800.0</v>
      </c>
      <c r="CA114" s="29" t="s">
        <v>124</v>
      </c>
      <c r="CB114" s="30">
        <v>2100.0</v>
      </c>
      <c r="CC114" s="31"/>
      <c r="CD114" s="28">
        <v>2100.0</v>
      </c>
      <c r="CE114" s="32" t="e">
        <v>#REF!</v>
      </c>
      <c r="CF114" s="33"/>
      <c r="CG114" s="34">
        <v>0.0</v>
      </c>
      <c r="CH114" s="35">
        <v>0.0</v>
      </c>
      <c r="CI114" s="36">
        <v>8.0</v>
      </c>
      <c r="CJ114" s="36">
        <v>620.0</v>
      </c>
      <c r="CK114" s="93">
        <f t="shared" si="5"/>
        <v>4</v>
      </c>
      <c r="CL114" s="36">
        <v>624.0</v>
      </c>
      <c r="CM114" s="38">
        <v>188.0</v>
      </c>
      <c r="CN114" s="36">
        <v>0.0</v>
      </c>
      <c r="CO114" s="39">
        <v>23.5</v>
      </c>
      <c r="CP114" s="40">
        <v>0.0</v>
      </c>
      <c r="CQ114" s="36">
        <v>54.0</v>
      </c>
      <c r="CR114" s="36">
        <v>54.0</v>
      </c>
      <c r="CS114" s="36">
        <v>57.0</v>
      </c>
      <c r="CT114" s="41"/>
      <c r="CU114" s="42"/>
      <c r="CV114" s="43"/>
      <c r="CW114" s="44">
        <v>7.0</v>
      </c>
      <c r="CX114" s="44" t="s">
        <v>201</v>
      </c>
      <c r="CY114" s="44" t="s">
        <v>202</v>
      </c>
      <c r="CZ114" s="45"/>
      <c r="DA114" s="44">
        <v>2100.0</v>
      </c>
      <c r="DB114" s="44">
        <v>0.0</v>
      </c>
      <c r="DC114" s="43"/>
      <c r="DD114" s="78"/>
      <c r="DE114" s="43"/>
      <c r="DF114" s="43"/>
      <c r="DG114" s="48" t="s">
        <v>128</v>
      </c>
      <c r="DH114" s="48" t="s">
        <v>128</v>
      </c>
      <c r="DI114" s="48" t="s">
        <v>128</v>
      </c>
      <c r="DJ114" s="49">
        <v>0.0</v>
      </c>
      <c r="DK114" s="48" t="b">
        <v>0</v>
      </c>
      <c r="DL114" s="50" t="s">
        <v>415</v>
      </c>
      <c r="DM114" s="50" t="s">
        <v>131</v>
      </c>
      <c r="DN114" s="50" t="s">
        <v>416</v>
      </c>
      <c r="DO114" s="49">
        <v>0.47</v>
      </c>
      <c r="DP114" s="48" t="s">
        <v>128</v>
      </c>
      <c r="DQ114" s="48" t="s">
        <v>128</v>
      </c>
      <c r="DR114" s="51"/>
      <c r="DS114" s="48" t="s">
        <v>134</v>
      </c>
    </row>
    <row r="115">
      <c r="A115" s="52" t="s">
        <v>118</v>
      </c>
      <c r="B115" s="53">
        <v>3.0</v>
      </c>
      <c r="C115" s="52" t="s">
        <v>119</v>
      </c>
      <c r="D115" s="53">
        <v>641892.0</v>
      </c>
      <c r="E115" s="52" t="s">
        <v>170</v>
      </c>
      <c r="F115" s="52" t="s">
        <v>420</v>
      </c>
      <c r="G115" s="52" t="s">
        <v>421</v>
      </c>
      <c r="H115" s="53">
        <v>81879.0</v>
      </c>
      <c r="I115" s="53">
        <v>9.0</v>
      </c>
      <c r="J115" s="53">
        <v>0.0</v>
      </c>
      <c r="K115" s="53">
        <v>0.0</v>
      </c>
      <c r="L115" s="53">
        <v>0.0</v>
      </c>
      <c r="M115" s="53">
        <v>0.0</v>
      </c>
      <c r="N115" s="53">
        <v>0.0</v>
      </c>
      <c r="O115" s="53">
        <v>0.0</v>
      </c>
      <c r="P115" s="53">
        <v>1.0</v>
      </c>
      <c r="Q115" s="53">
        <v>0.0</v>
      </c>
      <c r="R115" s="53">
        <v>0.0</v>
      </c>
      <c r="S115" s="53">
        <v>0.0</v>
      </c>
      <c r="T115" s="53">
        <v>1.0</v>
      </c>
      <c r="U115" s="53">
        <v>0.0</v>
      </c>
      <c r="V115" s="53">
        <v>0.0</v>
      </c>
      <c r="W115" s="53">
        <v>0.0</v>
      </c>
      <c r="X115" s="53">
        <v>1.0</v>
      </c>
      <c r="Y115" s="53">
        <v>0.0</v>
      </c>
      <c r="Z115" s="53">
        <v>0.0</v>
      </c>
      <c r="AA115" s="53">
        <v>0.0</v>
      </c>
      <c r="AB115" s="53">
        <v>0.0</v>
      </c>
      <c r="AC115" s="53">
        <v>0.0</v>
      </c>
      <c r="AD115" s="53">
        <v>0.0</v>
      </c>
      <c r="AE115" s="53">
        <v>0.0</v>
      </c>
      <c r="AF115" s="53">
        <v>0.0</v>
      </c>
      <c r="AG115" s="53">
        <v>0.0</v>
      </c>
      <c r="AH115" s="53">
        <v>2.0</v>
      </c>
      <c r="AI115" s="53">
        <v>1.0</v>
      </c>
      <c r="AJ115" s="53">
        <v>3.0</v>
      </c>
      <c r="AK115" s="53">
        <v>0.0</v>
      </c>
      <c r="AL115" s="53">
        <v>0.0</v>
      </c>
      <c r="AM115" s="53">
        <v>0.0</v>
      </c>
      <c r="AN115" s="53">
        <v>0.0</v>
      </c>
      <c r="AO115" s="25">
        <v>24.5</v>
      </c>
      <c r="AP115" s="54"/>
      <c r="AQ115" s="54"/>
      <c r="AR115" s="54"/>
      <c r="AS115" s="54"/>
      <c r="AT115" s="54"/>
      <c r="AU115" s="54"/>
      <c r="AV115" s="53">
        <v>26.25</v>
      </c>
      <c r="AW115" s="54"/>
      <c r="AX115" s="54"/>
      <c r="AY115" s="54"/>
      <c r="AZ115" s="53">
        <v>13.5</v>
      </c>
      <c r="BA115" s="54"/>
      <c r="BB115" s="54"/>
      <c r="BC115" s="54"/>
      <c r="BD115" s="53">
        <v>22.27</v>
      </c>
      <c r="BE115" s="54"/>
      <c r="BF115" s="54"/>
      <c r="BG115" s="54"/>
      <c r="BH115" s="54"/>
      <c r="BI115" s="54"/>
      <c r="BJ115" s="54"/>
      <c r="BK115" s="54"/>
      <c r="BL115" s="54"/>
      <c r="BM115" s="54"/>
      <c r="BN115" s="53">
        <v>28.75</v>
      </c>
      <c r="BO115" s="53">
        <v>0.42</v>
      </c>
      <c r="BP115" s="53">
        <v>4.59</v>
      </c>
      <c r="BQ115" s="53">
        <v>5.08</v>
      </c>
      <c r="BR115" s="53">
        <v>9.45</v>
      </c>
      <c r="BS115" s="25">
        <v>6.09</v>
      </c>
      <c r="BT115" s="56">
        <v>27.7</v>
      </c>
      <c r="BU115" s="25">
        <v>7.0</v>
      </c>
      <c r="BV115" s="25">
        <v>11.3</v>
      </c>
      <c r="BW115" s="54"/>
      <c r="BX115" s="53">
        <v>2700.0</v>
      </c>
      <c r="BY115" s="53" t="s">
        <v>123</v>
      </c>
      <c r="BZ115" s="58">
        <v>2400.0</v>
      </c>
      <c r="CA115" s="29" t="s">
        <v>124</v>
      </c>
      <c r="CB115" s="30">
        <v>2400.0</v>
      </c>
      <c r="CC115" s="31"/>
      <c r="CD115" s="58">
        <v>2400.0</v>
      </c>
      <c r="CE115" s="59" t="e">
        <v>#REF!</v>
      </c>
      <c r="CF115" s="105">
        <v>-300.0</v>
      </c>
      <c r="CG115" s="61">
        <v>-6.0</v>
      </c>
      <c r="CH115" s="62">
        <v>-0.67</v>
      </c>
      <c r="CI115" s="63">
        <v>3.0</v>
      </c>
      <c r="CJ115" s="63">
        <v>620.0</v>
      </c>
      <c r="CK115" s="94">
        <f t="shared" si="5"/>
        <v>4</v>
      </c>
      <c r="CL115" s="63">
        <v>624.0</v>
      </c>
      <c r="CM115" s="65">
        <v>221.0</v>
      </c>
      <c r="CN115" s="106"/>
      <c r="CO115" s="66">
        <v>73.5</v>
      </c>
      <c r="CP115" s="90">
        <f>+49</f>
        <v>49</v>
      </c>
      <c r="CQ115" s="63">
        <v>41.0</v>
      </c>
      <c r="CR115" s="63">
        <v>14.0</v>
      </c>
      <c r="CS115" s="63">
        <v>18.0</v>
      </c>
      <c r="CT115" s="68"/>
      <c r="CU115" s="69"/>
      <c r="CV115" s="70"/>
      <c r="CW115" s="71">
        <v>8.0</v>
      </c>
      <c r="CX115" s="71" t="s">
        <v>125</v>
      </c>
      <c r="CY115" s="71" t="s">
        <v>126</v>
      </c>
      <c r="CZ115" s="107" t="s">
        <v>124</v>
      </c>
      <c r="DA115" s="44">
        <v>2400.0</v>
      </c>
      <c r="DB115" s="44">
        <v>0.0</v>
      </c>
      <c r="DC115" s="43"/>
      <c r="DD115" s="78"/>
      <c r="DE115" s="43"/>
      <c r="DF115" s="43"/>
      <c r="DG115" s="48" t="s">
        <v>128</v>
      </c>
      <c r="DH115" s="48" t="s">
        <v>128</v>
      </c>
      <c r="DI115" s="48" t="s">
        <v>128</v>
      </c>
      <c r="DJ115" s="49">
        <v>0.0</v>
      </c>
      <c r="DK115" s="48" t="b">
        <v>0</v>
      </c>
      <c r="DL115" s="50" t="s">
        <v>415</v>
      </c>
      <c r="DM115" s="50" t="s">
        <v>131</v>
      </c>
      <c r="DN115" s="50" t="s">
        <v>416</v>
      </c>
      <c r="DO115" s="49">
        <v>0.47</v>
      </c>
      <c r="DP115" s="48" t="s">
        <v>128</v>
      </c>
      <c r="DQ115" s="48" t="s">
        <v>128</v>
      </c>
      <c r="DR115" s="51"/>
      <c r="DS115" s="48" t="s">
        <v>134</v>
      </c>
    </row>
    <row r="116">
      <c r="A116" s="23" t="s">
        <v>118</v>
      </c>
      <c r="B116" s="24">
        <v>3.0</v>
      </c>
      <c r="C116" s="23" t="s">
        <v>119</v>
      </c>
      <c r="D116" s="24">
        <v>643373.0</v>
      </c>
      <c r="E116" s="23" t="s">
        <v>120</v>
      </c>
      <c r="F116" s="23" t="s">
        <v>422</v>
      </c>
      <c r="G116" s="23" t="s">
        <v>423</v>
      </c>
      <c r="H116" s="24">
        <v>81879.0</v>
      </c>
      <c r="I116" s="24">
        <v>5.0</v>
      </c>
      <c r="J116" s="24">
        <v>0.0</v>
      </c>
      <c r="K116" s="24">
        <v>0.0</v>
      </c>
      <c r="L116" s="24">
        <v>1.0</v>
      </c>
      <c r="M116" s="24">
        <v>0.0</v>
      </c>
      <c r="N116" s="24">
        <v>0.0</v>
      </c>
      <c r="O116" s="24">
        <v>0.0</v>
      </c>
      <c r="P116" s="24">
        <v>0.0</v>
      </c>
      <c r="Q116" s="24">
        <v>0.0</v>
      </c>
      <c r="R116" s="24">
        <v>0.0</v>
      </c>
      <c r="S116" s="24">
        <v>0.0</v>
      </c>
      <c r="T116" s="24">
        <v>0.0</v>
      </c>
      <c r="U116" s="24">
        <v>0.0</v>
      </c>
      <c r="V116" s="24">
        <v>0.0</v>
      </c>
      <c r="W116" s="24">
        <v>0.0</v>
      </c>
      <c r="X116" s="24">
        <v>0.0</v>
      </c>
      <c r="Y116" s="24">
        <v>2.0</v>
      </c>
      <c r="Z116" s="24">
        <v>0.0</v>
      </c>
      <c r="AA116" s="24">
        <v>0.0</v>
      </c>
      <c r="AB116" s="24">
        <v>0.0</v>
      </c>
      <c r="AC116" s="24">
        <v>0.0</v>
      </c>
      <c r="AD116" s="24">
        <v>0.0</v>
      </c>
      <c r="AE116" s="24">
        <v>0.0</v>
      </c>
      <c r="AF116" s="24">
        <v>0.0</v>
      </c>
      <c r="AG116" s="24">
        <v>0.0</v>
      </c>
      <c r="AH116" s="24">
        <v>2.0</v>
      </c>
      <c r="AI116" s="24">
        <v>0.0</v>
      </c>
      <c r="AJ116" s="24">
        <v>0.0</v>
      </c>
      <c r="AK116" s="24">
        <v>0.0</v>
      </c>
      <c r="AL116" s="24">
        <v>0.0</v>
      </c>
      <c r="AM116" s="24">
        <v>0.0</v>
      </c>
      <c r="AN116" s="24">
        <v>0.0</v>
      </c>
      <c r="AO116" s="25">
        <v>19.3</v>
      </c>
      <c r="AP116" s="26"/>
      <c r="AQ116" s="26"/>
      <c r="AR116" s="24">
        <v>15.92</v>
      </c>
      <c r="AS116" s="26"/>
      <c r="AT116" s="26"/>
      <c r="AU116" s="26"/>
      <c r="AV116" s="26"/>
      <c r="AW116" s="26"/>
      <c r="AX116" s="26"/>
      <c r="AY116" s="26"/>
      <c r="AZ116" s="26"/>
      <c r="BA116" s="26"/>
      <c r="BB116" s="26"/>
      <c r="BC116" s="26"/>
      <c r="BD116" s="26"/>
      <c r="BE116" s="24">
        <v>19.5</v>
      </c>
      <c r="BF116" s="26"/>
      <c r="BG116" s="26"/>
      <c r="BH116" s="26"/>
      <c r="BI116" s="26"/>
      <c r="BJ116" s="26"/>
      <c r="BK116" s="26"/>
      <c r="BL116" s="26"/>
      <c r="BM116" s="26"/>
      <c r="BN116" s="24">
        <v>20.88</v>
      </c>
      <c r="BO116" s="26"/>
      <c r="BP116" s="24">
        <v>3.99</v>
      </c>
      <c r="BQ116" s="24">
        <v>5.23</v>
      </c>
      <c r="BR116" s="24">
        <v>9.03</v>
      </c>
      <c r="BS116" s="55">
        <v>3.69</v>
      </c>
      <c r="BT116" s="56">
        <v>18.0</v>
      </c>
      <c r="BU116" s="25">
        <v>9.1</v>
      </c>
      <c r="BV116" s="57">
        <v>3.85</v>
      </c>
      <c r="BW116" s="26"/>
      <c r="BX116" s="24">
        <v>2400.0</v>
      </c>
      <c r="BY116" s="24" t="s">
        <v>123</v>
      </c>
      <c r="BZ116" s="28">
        <v>2400.0</v>
      </c>
      <c r="CA116" s="72"/>
      <c r="CB116" s="30">
        <v>2700.0</v>
      </c>
      <c r="CC116" s="31"/>
      <c r="CD116" s="28">
        <v>2700.0</v>
      </c>
      <c r="CE116" s="32" t="e">
        <v>#REF!</v>
      </c>
      <c r="CF116" s="73">
        <f>+300</f>
        <v>300</v>
      </c>
      <c r="CG116" s="74">
        <f>+1</f>
        <v>1</v>
      </c>
      <c r="CH116" s="35">
        <v>0.2</v>
      </c>
      <c r="CI116" s="36">
        <v>6.0</v>
      </c>
      <c r="CJ116" s="36">
        <v>620.0</v>
      </c>
      <c r="CK116" s="93">
        <f t="shared" si="5"/>
        <v>4</v>
      </c>
      <c r="CL116" s="36">
        <v>624.0</v>
      </c>
      <c r="CM116" s="38">
        <v>97.0</v>
      </c>
      <c r="CN116" s="36">
        <v>-16.0</v>
      </c>
      <c r="CO116" s="39">
        <v>18.8</v>
      </c>
      <c r="CP116" s="40">
        <v>-0.6</v>
      </c>
      <c r="CQ116" s="36">
        <v>20.0</v>
      </c>
      <c r="CR116" s="36">
        <v>24.0</v>
      </c>
      <c r="CS116" s="36">
        <v>22.0</v>
      </c>
      <c r="CT116" s="41"/>
      <c r="CU116" s="42"/>
      <c r="CV116" s="43"/>
      <c r="CW116" s="44">
        <v>9.0</v>
      </c>
      <c r="CX116" s="44" t="s">
        <v>143</v>
      </c>
      <c r="CY116" s="44" t="s">
        <v>144</v>
      </c>
      <c r="CZ116" s="76" t="s">
        <v>151</v>
      </c>
      <c r="DA116" s="44">
        <v>2700.0</v>
      </c>
      <c r="DB116" s="44">
        <v>0.0</v>
      </c>
      <c r="DC116" s="46" t="s">
        <v>127</v>
      </c>
      <c r="DD116" s="47">
        <v>46246.0</v>
      </c>
      <c r="DE116" s="43"/>
      <c r="DF116" s="43"/>
      <c r="DG116" s="48" t="s">
        <v>128</v>
      </c>
      <c r="DH116" s="48" t="s">
        <v>128</v>
      </c>
      <c r="DI116" s="48" t="s">
        <v>128</v>
      </c>
      <c r="DJ116" s="49">
        <v>1.0</v>
      </c>
      <c r="DK116" s="48" t="b">
        <v>0</v>
      </c>
      <c r="DL116" s="50" t="s">
        <v>415</v>
      </c>
      <c r="DM116" s="50" t="s">
        <v>131</v>
      </c>
      <c r="DN116" s="50" t="s">
        <v>416</v>
      </c>
      <c r="DO116" s="49">
        <v>0.47</v>
      </c>
      <c r="DP116" s="48" t="s">
        <v>128</v>
      </c>
      <c r="DQ116" s="48" t="s">
        <v>128</v>
      </c>
      <c r="DR116" s="51"/>
      <c r="DS116" s="48" t="s">
        <v>134</v>
      </c>
    </row>
    <row r="117">
      <c r="A117" s="52" t="s">
        <v>118</v>
      </c>
      <c r="B117" s="53">
        <v>3.0</v>
      </c>
      <c r="C117" s="52" t="s">
        <v>119</v>
      </c>
      <c r="D117" s="53">
        <v>639495.0</v>
      </c>
      <c r="E117" s="52" t="s">
        <v>155</v>
      </c>
      <c r="F117" s="52" t="s">
        <v>424</v>
      </c>
      <c r="G117" s="52" t="s">
        <v>425</v>
      </c>
      <c r="H117" s="53">
        <v>81879.0</v>
      </c>
      <c r="I117" s="53">
        <v>36.0</v>
      </c>
      <c r="J117" s="53">
        <v>0.0</v>
      </c>
      <c r="K117" s="53">
        <v>0.0</v>
      </c>
      <c r="L117" s="53">
        <v>0.0</v>
      </c>
      <c r="M117" s="53">
        <v>0.0</v>
      </c>
      <c r="N117" s="53">
        <v>0.0</v>
      </c>
      <c r="O117" s="53">
        <v>1.0</v>
      </c>
      <c r="P117" s="53">
        <v>0.0</v>
      </c>
      <c r="Q117" s="53">
        <v>1.0</v>
      </c>
      <c r="R117" s="53">
        <v>0.0</v>
      </c>
      <c r="S117" s="53">
        <v>1.0</v>
      </c>
      <c r="T117" s="53">
        <v>1.0</v>
      </c>
      <c r="U117" s="53">
        <v>0.0</v>
      </c>
      <c r="V117" s="53">
        <v>2.0</v>
      </c>
      <c r="W117" s="53">
        <v>2.0</v>
      </c>
      <c r="X117" s="53">
        <v>2.0</v>
      </c>
      <c r="Y117" s="53">
        <v>1.0</v>
      </c>
      <c r="Z117" s="53">
        <v>2.0</v>
      </c>
      <c r="AA117" s="53">
        <v>0.0</v>
      </c>
      <c r="AB117" s="53">
        <v>0.0</v>
      </c>
      <c r="AC117" s="53">
        <v>0.0</v>
      </c>
      <c r="AD117" s="53">
        <v>5.0</v>
      </c>
      <c r="AE117" s="53">
        <v>3.0</v>
      </c>
      <c r="AF117" s="53">
        <v>5.0</v>
      </c>
      <c r="AG117" s="53">
        <v>4.0</v>
      </c>
      <c r="AH117" s="53">
        <v>1.0</v>
      </c>
      <c r="AI117" s="53">
        <v>2.0</v>
      </c>
      <c r="AJ117" s="53">
        <v>1.0</v>
      </c>
      <c r="AK117" s="53">
        <v>0.0</v>
      </c>
      <c r="AL117" s="53">
        <v>0.0</v>
      </c>
      <c r="AM117" s="53">
        <v>0.0</v>
      </c>
      <c r="AN117" s="53">
        <v>2.0</v>
      </c>
      <c r="AO117" s="25">
        <v>20.7</v>
      </c>
      <c r="AP117" s="54"/>
      <c r="AQ117" s="54"/>
      <c r="AR117" s="54"/>
      <c r="AS117" s="54"/>
      <c r="AT117" s="54"/>
      <c r="AU117" s="53">
        <v>20.75</v>
      </c>
      <c r="AV117" s="54"/>
      <c r="AW117" s="53">
        <v>21.55</v>
      </c>
      <c r="AX117" s="54"/>
      <c r="AY117" s="53">
        <v>20.9</v>
      </c>
      <c r="AZ117" s="53">
        <v>21.37</v>
      </c>
      <c r="BA117" s="54"/>
      <c r="BB117" s="53">
        <v>16.5</v>
      </c>
      <c r="BC117" s="53">
        <v>19.43</v>
      </c>
      <c r="BD117" s="53">
        <v>17.18</v>
      </c>
      <c r="BE117" s="53">
        <v>22.7</v>
      </c>
      <c r="BF117" s="53">
        <v>13.11</v>
      </c>
      <c r="BG117" s="54"/>
      <c r="BH117" s="54"/>
      <c r="BI117" s="54"/>
      <c r="BJ117" s="53">
        <v>18.17</v>
      </c>
      <c r="BK117" s="53">
        <v>22.13</v>
      </c>
      <c r="BL117" s="53">
        <v>23.57</v>
      </c>
      <c r="BM117" s="53">
        <v>26.63</v>
      </c>
      <c r="BN117" s="53">
        <v>20.4</v>
      </c>
      <c r="BO117" s="53">
        <v>0.34</v>
      </c>
      <c r="BP117" s="53">
        <v>4.82</v>
      </c>
      <c r="BQ117" s="53">
        <v>5.43</v>
      </c>
      <c r="BR117" s="53">
        <v>10.04</v>
      </c>
      <c r="BS117" s="55">
        <v>3.52</v>
      </c>
      <c r="BT117" s="56">
        <v>21.6</v>
      </c>
      <c r="BU117" s="25">
        <v>4.4</v>
      </c>
      <c r="BV117" s="55">
        <v>6.53</v>
      </c>
      <c r="BW117" s="53">
        <v>1300.0</v>
      </c>
      <c r="BX117" s="53">
        <v>2700.0</v>
      </c>
      <c r="BY117" s="53" t="s">
        <v>123</v>
      </c>
      <c r="BZ117" s="58">
        <v>2400.0</v>
      </c>
      <c r="CA117" s="29" t="s">
        <v>124</v>
      </c>
      <c r="CB117" s="30">
        <v>2700.0</v>
      </c>
      <c r="CC117" s="31"/>
      <c r="CD117" s="58">
        <v>2700.0</v>
      </c>
      <c r="CE117" s="59" t="e">
        <v>#REF!</v>
      </c>
      <c r="CF117" s="60"/>
      <c r="CG117" s="61">
        <v>0.0</v>
      </c>
      <c r="CH117" s="62">
        <v>0.0</v>
      </c>
      <c r="CI117" s="63">
        <v>36.0</v>
      </c>
      <c r="CJ117" s="63">
        <v>620.0</v>
      </c>
      <c r="CK117" s="94">
        <f t="shared" si="5"/>
        <v>4</v>
      </c>
      <c r="CL117" s="63">
        <v>624.0</v>
      </c>
      <c r="CM117" s="65">
        <v>745.0</v>
      </c>
      <c r="CN117" s="63">
        <v>0.0</v>
      </c>
      <c r="CO117" s="66">
        <v>20.7</v>
      </c>
      <c r="CP117" s="67">
        <v>0.0</v>
      </c>
      <c r="CQ117" s="63">
        <v>174.0</v>
      </c>
      <c r="CR117" s="63">
        <v>174.0</v>
      </c>
      <c r="CS117" s="63">
        <v>127.0</v>
      </c>
      <c r="CT117" s="68"/>
      <c r="CU117" s="69"/>
      <c r="CV117" s="70"/>
      <c r="CW117" s="71">
        <v>9.0</v>
      </c>
      <c r="CX117" s="71" t="s">
        <v>143</v>
      </c>
      <c r="CY117" s="71" t="s">
        <v>144</v>
      </c>
      <c r="CZ117" s="45"/>
      <c r="DA117" s="44">
        <v>2700.0</v>
      </c>
      <c r="DB117" s="44">
        <v>0.0</v>
      </c>
      <c r="DC117" s="43"/>
      <c r="DD117" s="78"/>
      <c r="DE117" s="43"/>
      <c r="DF117" s="43"/>
      <c r="DG117" s="48" t="s">
        <v>128</v>
      </c>
      <c r="DH117" s="48" t="s">
        <v>128</v>
      </c>
      <c r="DI117" s="48" t="s">
        <v>128</v>
      </c>
      <c r="DJ117" s="49">
        <v>1.0</v>
      </c>
      <c r="DK117" s="48" t="b">
        <v>0</v>
      </c>
      <c r="DL117" s="50" t="s">
        <v>415</v>
      </c>
      <c r="DM117" s="50" t="s">
        <v>131</v>
      </c>
      <c r="DN117" s="50" t="s">
        <v>416</v>
      </c>
      <c r="DO117" s="49">
        <v>0.47</v>
      </c>
      <c r="DP117" s="48" t="s">
        <v>128</v>
      </c>
      <c r="DQ117" s="48" t="s">
        <v>128</v>
      </c>
      <c r="DR117" s="51"/>
      <c r="DS117" s="48" t="s">
        <v>134</v>
      </c>
    </row>
    <row r="118">
      <c r="A118" s="23" t="s">
        <v>118</v>
      </c>
      <c r="B118" s="24">
        <v>3.0</v>
      </c>
      <c r="C118" s="23" t="s">
        <v>119</v>
      </c>
      <c r="D118" s="24">
        <v>642178.0</v>
      </c>
      <c r="E118" s="23" t="s">
        <v>205</v>
      </c>
      <c r="F118" s="23" t="s">
        <v>426</v>
      </c>
      <c r="G118" s="23" t="s">
        <v>427</v>
      </c>
      <c r="H118" s="24">
        <v>81879.0</v>
      </c>
      <c r="I118" s="24">
        <v>7.0</v>
      </c>
      <c r="J118" s="24">
        <v>0.0</v>
      </c>
      <c r="K118" s="24">
        <v>0.0</v>
      </c>
      <c r="L118" s="24">
        <v>0.0</v>
      </c>
      <c r="M118" s="24">
        <v>0.0</v>
      </c>
      <c r="N118" s="24">
        <v>0.0</v>
      </c>
      <c r="O118" s="24">
        <v>0.0</v>
      </c>
      <c r="P118" s="24">
        <v>0.0</v>
      </c>
      <c r="Q118" s="24">
        <v>1.0</v>
      </c>
      <c r="R118" s="24">
        <v>0.0</v>
      </c>
      <c r="S118" s="24">
        <v>0.0</v>
      </c>
      <c r="T118" s="24">
        <v>0.0</v>
      </c>
      <c r="U118" s="24">
        <v>0.0</v>
      </c>
      <c r="V118" s="24">
        <v>0.0</v>
      </c>
      <c r="W118" s="24">
        <v>4.0</v>
      </c>
      <c r="X118" s="24">
        <v>1.0</v>
      </c>
      <c r="Y118" s="24">
        <v>0.0</v>
      </c>
      <c r="Z118" s="24">
        <v>0.0</v>
      </c>
      <c r="AA118" s="24">
        <v>0.0</v>
      </c>
      <c r="AB118" s="24">
        <v>0.0</v>
      </c>
      <c r="AC118" s="24">
        <v>0.0</v>
      </c>
      <c r="AD118" s="24">
        <v>1.0</v>
      </c>
      <c r="AE118" s="24">
        <v>0.0</v>
      </c>
      <c r="AF118" s="24">
        <v>0.0</v>
      </c>
      <c r="AG118" s="24">
        <v>0.0</v>
      </c>
      <c r="AH118" s="24">
        <v>0.0</v>
      </c>
      <c r="AI118" s="24">
        <v>0.0</v>
      </c>
      <c r="AJ118" s="24">
        <v>0.0</v>
      </c>
      <c r="AK118" s="24">
        <v>0.0</v>
      </c>
      <c r="AL118" s="24">
        <v>0.0</v>
      </c>
      <c r="AM118" s="24">
        <v>0.0</v>
      </c>
      <c r="AN118" s="24">
        <v>0.0</v>
      </c>
      <c r="AO118" s="25">
        <v>20.5</v>
      </c>
      <c r="AP118" s="26"/>
      <c r="AQ118" s="26"/>
      <c r="AR118" s="26"/>
      <c r="AS118" s="26"/>
      <c r="AT118" s="26"/>
      <c r="AU118" s="26"/>
      <c r="AV118" s="26"/>
      <c r="AW118" s="24">
        <v>19.88</v>
      </c>
      <c r="AX118" s="26"/>
      <c r="AY118" s="26"/>
      <c r="AZ118" s="26"/>
      <c r="BA118" s="26"/>
      <c r="BB118" s="26"/>
      <c r="BC118" s="24">
        <v>21.32</v>
      </c>
      <c r="BD118" s="24">
        <v>17.98</v>
      </c>
      <c r="BE118" s="26"/>
      <c r="BF118" s="26"/>
      <c r="BG118" s="26"/>
      <c r="BH118" s="26"/>
      <c r="BI118" s="26"/>
      <c r="BJ118" s="24">
        <v>20.18</v>
      </c>
      <c r="BK118" s="26"/>
      <c r="BL118" s="26"/>
      <c r="BM118" s="26"/>
      <c r="BN118" s="26"/>
      <c r="BO118" s="26"/>
      <c r="BP118" s="24">
        <v>4.04</v>
      </c>
      <c r="BQ118" s="24">
        <v>7.14</v>
      </c>
      <c r="BR118" s="24">
        <v>10.98</v>
      </c>
      <c r="BS118" s="55">
        <v>3.5</v>
      </c>
      <c r="BT118" s="56">
        <v>22.7</v>
      </c>
      <c r="BU118" s="57">
        <v>0.8</v>
      </c>
      <c r="BV118" s="55">
        <v>6.23</v>
      </c>
      <c r="BW118" s="26"/>
      <c r="BX118" s="24">
        <v>2100.0</v>
      </c>
      <c r="BY118" s="24" t="s">
        <v>123</v>
      </c>
      <c r="BZ118" s="28">
        <v>1800.0</v>
      </c>
      <c r="CA118" s="29" t="s">
        <v>124</v>
      </c>
      <c r="CB118" s="30">
        <v>2100.0</v>
      </c>
      <c r="CC118" s="31"/>
      <c r="CD118" s="28">
        <v>2100.0</v>
      </c>
      <c r="CE118" s="32" t="e">
        <v>#REF!</v>
      </c>
      <c r="CF118" s="33"/>
      <c r="CG118" s="34">
        <v>0.0</v>
      </c>
      <c r="CH118" s="35">
        <v>0.0</v>
      </c>
      <c r="CI118" s="36">
        <v>7.0</v>
      </c>
      <c r="CJ118" s="36">
        <v>620.0</v>
      </c>
      <c r="CK118" s="93">
        <f t="shared" si="5"/>
        <v>4</v>
      </c>
      <c r="CL118" s="36">
        <v>624.0</v>
      </c>
      <c r="CM118" s="38">
        <v>144.0</v>
      </c>
      <c r="CN118" s="36">
        <v>0.0</v>
      </c>
      <c r="CO118" s="39">
        <v>20.5</v>
      </c>
      <c r="CP118" s="40">
        <v>0.0</v>
      </c>
      <c r="CQ118" s="36">
        <v>28.0</v>
      </c>
      <c r="CR118" s="36">
        <v>28.0</v>
      </c>
      <c r="CS118" s="36">
        <v>25.0</v>
      </c>
      <c r="CT118" s="41"/>
      <c r="CU118" s="42"/>
      <c r="CV118" s="43"/>
      <c r="CW118" s="44">
        <v>7.0</v>
      </c>
      <c r="CX118" s="44" t="s">
        <v>201</v>
      </c>
      <c r="CY118" s="44" t="s">
        <v>202</v>
      </c>
      <c r="CZ118" s="45"/>
      <c r="DA118" s="44">
        <v>2100.0</v>
      </c>
      <c r="DB118" s="44">
        <v>0.0</v>
      </c>
      <c r="DC118" s="43"/>
      <c r="DD118" s="78"/>
      <c r="DE118" s="43"/>
      <c r="DF118" s="43"/>
      <c r="DG118" s="48" t="s">
        <v>128</v>
      </c>
      <c r="DH118" s="48" t="s">
        <v>128</v>
      </c>
      <c r="DI118" s="48" t="s">
        <v>128</v>
      </c>
      <c r="DJ118" s="49">
        <v>1.0</v>
      </c>
      <c r="DK118" s="48" t="b">
        <v>0</v>
      </c>
      <c r="DL118" s="50" t="s">
        <v>415</v>
      </c>
      <c r="DM118" s="50" t="s">
        <v>131</v>
      </c>
      <c r="DN118" s="50" t="s">
        <v>416</v>
      </c>
      <c r="DO118" s="49">
        <v>0.47</v>
      </c>
      <c r="DP118" s="48" t="s">
        <v>128</v>
      </c>
      <c r="DQ118" s="48" t="s">
        <v>128</v>
      </c>
      <c r="DR118" s="51"/>
      <c r="DS118" s="48" t="s">
        <v>134</v>
      </c>
    </row>
    <row r="119">
      <c r="A119" s="52" t="s">
        <v>118</v>
      </c>
      <c r="B119" s="53">
        <v>3.0</v>
      </c>
      <c r="C119" s="52" t="s">
        <v>119</v>
      </c>
      <c r="D119" s="53">
        <v>536832.0</v>
      </c>
      <c r="E119" s="52" t="s">
        <v>158</v>
      </c>
      <c r="F119" s="52" t="s">
        <v>428</v>
      </c>
      <c r="G119" s="52" t="s">
        <v>429</v>
      </c>
      <c r="H119" s="53">
        <v>81879.0</v>
      </c>
      <c r="I119" s="53">
        <v>15.0</v>
      </c>
      <c r="J119" s="53">
        <v>0.0</v>
      </c>
      <c r="K119" s="53">
        <v>1.0</v>
      </c>
      <c r="L119" s="53">
        <v>0.0</v>
      </c>
      <c r="M119" s="53">
        <v>0.0</v>
      </c>
      <c r="N119" s="53">
        <v>0.0</v>
      </c>
      <c r="O119" s="53">
        <v>0.0</v>
      </c>
      <c r="P119" s="53">
        <v>1.0</v>
      </c>
      <c r="Q119" s="53">
        <v>1.0</v>
      </c>
      <c r="R119" s="53">
        <v>0.0</v>
      </c>
      <c r="S119" s="53">
        <v>1.0</v>
      </c>
      <c r="T119" s="53">
        <v>1.0</v>
      </c>
      <c r="U119" s="53">
        <v>1.0</v>
      </c>
      <c r="V119" s="53">
        <v>0.0</v>
      </c>
      <c r="W119" s="53">
        <v>0.0</v>
      </c>
      <c r="X119" s="53">
        <v>2.0</v>
      </c>
      <c r="Y119" s="53">
        <v>0.0</v>
      </c>
      <c r="Z119" s="53">
        <v>1.0</v>
      </c>
      <c r="AA119" s="53">
        <v>0.0</v>
      </c>
      <c r="AB119" s="53">
        <v>0.0</v>
      </c>
      <c r="AC119" s="53">
        <v>0.0</v>
      </c>
      <c r="AD119" s="53">
        <v>2.0</v>
      </c>
      <c r="AE119" s="53">
        <v>1.0</v>
      </c>
      <c r="AF119" s="53">
        <v>0.0</v>
      </c>
      <c r="AG119" s="53">
        <v>0.0</v>
      </c>
      <c r="AH119" s="53">
        <v>0.0</v>
      </c>
      <c r="AI119" s="53">
        <v>2.0</v>
      </c>
      <c r="AJ119" s="53">
        <v>0.0</v>
      </c>
      <c r="AK119" s="53">
        <v>0.0</v>
      </c>
      <c r="AL119" s="53">
        <v>0.0</v>
      </c>
      <c r="AM119" s="53">
        <v>0.0</v>
      </c>
      <c r="AN119" s="53">
        <v>1.0</v>
      </c>
      <c r="AO119" s="25">
        <v>20.8</v>
      </c>
      <c r="AP119" s="54"/>
      <c r="AQ119" s="53">
        <v>29.53</v>
      </c>
      <c r="AR119" s="54"/>
      <c r="AS119" s="54"/>
      <c r="AT119" s="54"/>
      <c r="AU119" s="54"/>
      <c r="AV119" s="53">
        <v>15.58</v>
      </c>
      <c r="AW119" s="53">
        <v>23.13</v>
      </c>
      <c r="AX119" s="54"/>
      <c r="AY119" s="53">
        <v>8.22</v>
      </c>
      <c r="AZ119" s="53">
        <v>16.92</v>
      </c>
      <c r="BA119" s="53">
        <v>16.78</v>
      </c>
      <c r="BB119" s="54"/>
      <c r="BC119" s="54"/>
      <c r="BD119" s="53">
        <v>28.23</v>
      </c>
      <c r="BE119" s="54"/>
      <c r="BF119" s="53">
        <v>18.2</v>
      </c>
      <c r="BG119" s="54"/>
      <c r="BH119" s="54"/>
      <c r="BI119" s="54"/>
      <c r="BJ119" s="53">
        <v>19.98</v>
      </c>
      <c r="BK119" s="53">
        <v>18.52</v>
      </c>
      <c r="BL119" s="54"/>
      <c r="BM119" s="54"/>
      <c r="BN119" s="54"/>
      <c r="BO119" s="53">
        <v>0.38</v>
      </c>
      <c r="BP119" s="53">
        <v>5.83</v>
      </c>
      <c r="BQ119" s="53">
        <v>5.93</v>
      </c>
      <c r="BR119" s="53">
        <v>11.53</v>
      </c>
      <c r="BS119" s="55">
        <v>3.13</v>
      </c>
      <c r="BT119" s="56">
        <v>23.0</v>
      </c>
      <c r="BU119" s="57">
        <v>2.2</v>
      </c>
      <c r="BV119" s="25">
        <v>7.45</v>
      </c>
      <c r="BW119" s="54"/>
      <c r="BX119" s="53">
        <v>2700.0</v>
      </c>
      <c r="BY119" s="53" t="s">
        <v>123</v>
      </c>
      <c r="BZ119" s="58">
        <v>2400.0</v>
      </c>
      <c r="CA119" s="29" t="s">
        <v>124</v>
      </c>
      <c r="CB119" s="30">
        <v>2700.0</v>
      </c>
      <c r="CC119" s="31"/>
      <c r="CD119" s="58">
        <v>2700.0</v>
      </c>
      <c r="CE119" s="59" t="e">
        <v>#REF!</v>
      </c>
      <c r="CF119" s="60"/>
      <c r="CG119" s="61">
        <v>0.0</v>
      </c>
      <c r="CH119" s="62">
        <v>0.0</v>
      </c>
      <c r="CI119" s="63">
        <v>15.0</v>
      </c>
      <c r="CJ119" s="63">
        <v>620.0</v>
      </c>
      <c r="CK119" s="94">
        <f t="shared" si="5"/>
        <v>4</v>
      </c>
      <c r="CL119" s="63">
        <v>624.0</v>
      </c>
      <c r="CM119" s="65">
        <v>312.0</v>
      </c>
      <c r="CN119" s="63">
        <v>0.0</v>
      </c>
      <c r="CO119" s="66">
        <v>20.8</v>
      </c>
      <c r="CP119" s="67">
        <v>0.0</v>
      </c>
      <c r="CQ119" s="63">
        <v>87.0</v>
      </c>
      <c r="CR119" s="63">
        <v>87.0</v>
      </c>
      <c r="CS119" s="63">
        <v>47.0</v>
      </c>
      <c r="CT119" s="68"/>
      <c r="CU119" s="69"/>
      <c r="CV119" s="70"/>
      <c r="CW119" s="71">
        <v>9.0</v>
      </c>
      <c r="CX119" s="71" t="s">
        <v>143</v>
      </c>
      <c r="CY119" s="71" t="s">
        <v>144</v>
      </c>
      <c r="CZ119" s="45"/>
      <c r="DA119" s="44">
        <v>2700.0</v>
      </c>
      <c r="DB119" s="44">
        <v>0.0</v>
      </c>
      <c r="DC119" s="46" t="s">
        <v>127</v>
      </c>
      <c r="DD119" s="47">
        <v>46240.0</v>
      </c>
      <c r="DE119" s="43"/>
      <c r="DF119" s="43"/>
      <c r="DG119" s="48" t="s">
        <v>128</v>
      </c>
      <c r="DH119" s="48" t="s">
        <v>128</v>
      </c>
      <c r="DI119" s="48" t="s">
        <v>128</v>
      </c>
      <c r="DJ119" s="49">
        <v>1.0</v>
      </c>
      <c r="DK119" s="48" t="b">
        <v>0</v>
      </c>
      <c r="DL119" s="50" t="s">
        <v>415</v>
      </c>
      <c r="DM119" s="50" t="s">
        <v>131</v>
      </c>
      <c r="DN119" s="50" t="s">
        <v>416</v>
      </c>
      <c r="DO119" s="49">
        <v>0.47</v>
      </c>
      <c r="DP119" s="48" t="s">
        <v>128</v>
      </c>
      <c r="DQ119" s="48" t="s">
        <v>128</v>
      </c>
      <c r="DR119" s="51"/>
      <c r="DS119" s="48" t="s">
        <v>134</v>
      </c>
    </row>
    <row r="120">
      <c r="A120" s="23" t="s">
        <v>118</v>
      </c>
      <c r="B120" s="24">
        <v>3.0</v>
      </c>
      <c r="C120" s="23" t="s">
        <v>119</v>
      </c>
      <c r="D120" s="24">
        <v>640888.0</v>
      </c>
      <c r="E120" s="23" t="s">
        <v>161</v>
      </c>
      <c r="F120" s="23" t="s">
        <v>430</v>
      </c>
      <c r="G120" s="23" t="s">
        <v>431</v>
      </c>
      <c r="H120" s="24">
        <v>81879.0</v>
      </c>
      <c r="I120" s="24">
        <v>15.0</v>
      </c>
      <c r="J120" s="24">
        <v>0.0</v>
      </c>
      <c r="K120" s="24">
        <v>0.0</v>
      </c>
      <c r="L120" s="24">
        <v>0.0</v>
      </c>
      <c r="M120" s="24">
        <v>0.0</v>
      </c>
      <c r="N120" s="24">
        <v>0.0</v>
      </c>
      <c r="O120" s="24">
        <v>0.0</v>
      </c>
      <c r="P120" s="24">
        <v>0.0</v>
      </c>
      <c r="Q120" s="24">
        <v>0.0</v>
      </c>
      <c r="R120" s="24">
        <v>0.0</v>
      </c>
      <c r="S120" s="24">
        <v>0.0</v>
      </c>
      <c r="T120" s="24">
        <v>0.0</v>
      </c>
      <c r="U120" s="24">
        <v>1.0</v>
      </c>
      <c r="V120" s="24">
        <v>1.0</v>
      </c>
      <c r="W120" s="24">
        <v>0.0</v>
      </c>
      <c r="X120" s="24">
        <v>0.0</v>
      </c>
      <c r="Y120" s="24">
        <v>1.0</v>
      </c>
      <c r="Z120" s="24">
        <v>2.0</v>
      </c>
      <c r="AA120" s="24">
        <v>0.0</v>
      </c>
      <c r="AB120" s="24">
        <v>0.0</v>
      </c>
      <c r="AC120" s="24">
        <v>0.0</v>
      </c>
      <c r="AD120" s="24">
        <v>1.0</v>
      </c>
      <c r="AE120" s="24">
        <v>2.0</v>
      </c>
      <c r="AF120" s="24">
        <v>0.0</v>
      </c>
      <c r="AG120" s="24">
        <v>1.0</v>
      </c>
      <c r="AH120" s="24">
        <v>0.0</v>
      </c>
      <c r="AI120" s="24">
        <v>2.0</v>
      </c>
      <c r="AJ120" s="24">
        <v>0.0</v>
      </c>
      <c r="AK120" s="24">
        <v>1.0</v>
      </c>
      <c r="AL120" s="24">
        <v>1.0</v>
      </c>
      <c r="AM120" s="24">
        <v>1.0</v>
      </c>
      <c r="AN120" s="24">
        <v>1.0</v>
      </c>
      <c r="AO120" s="25">
        <v>22.1</v>
      </c>
      <c r="AP120" s="26"/>
      <c r="AQ120" s="26"/>
      <c r="AR120" s="26"/>
      <c r="AS120" s="26"/>
      <c r="AT120" s="26"/>
      <c r="AU120" s="26"/>
      <c r="AV120" s="26"/>
      <c r="AW120" s="26"/>
      <c r="AX120" s="26"/>
      <c r="AY120" s="26"/>
      <c r="AZ120" s="26"/>
      <c r="BA120" s="24">
        <v>19.28</v>
      </c>
      <c r="BB120" s="24">
        <v>19.5</v>
      </c>
      <c r="BC120" s="26"/>
      <c r="BD120" s="26"/>
      <c r="BE120" s="24">
        <v>15.3</v>
      </c>
      <c r="BF120" s="24">
        <v>19.38</v>
      </c>
      <c r="BG120" s="26"/>
      <c r="BH120" s="26"/>
      <c r="BI120" s="26"/>
      <c r="BJ120" s="24">
        <v>23.03</v>
      </c>
      <c r="BK120" s="24">
        <v>22.53</v>
      </c>
      <c r="BL120" s="26"/>
      <c r="BM120" s="24">
        <v>15.12</v>
      </c>
      <c r="BN120" s="26"/>
      <c r="BO120" s="24">
        <v>0.43</v>
      </c>
      <c r="BP120" s="24">
        <v>5.67</v>
      </c>
      <c r="BQ120" s="24">
        <v>5.89</v>
      </c>
      <c r="BR120" s="24">
        <v>11.37</v>
      </c>
      <c r="BS120" s="57">
        <v>2.94</v>
      </c>
      <c r="BT120" s="56">
        <v>27.8</v>
      </c>
      <c r="BU120" s="57">
        <v>1.4</v>
      </c>
      <c r="BV120" s="25">
        <v>8.95</v>
      </c>
      <c r="BW120" s="26"/>
      <c r="BX120" s="24">
        <v>3000.0</v>
      </c>
      <c r="BY120" s="24" t="s">
        <v>123</v>
      </c>
      <c r="BZ120" s="28">
        <v>2700.0</v>
      </c>
      <c r="CA120" s="29" t="s">
        <v>124</v>
      </c>
      <c r="CB120" s="30">
        <v>3000.0</v>
      </c>
      <c r="CC120" s="31"/>
      <c r="CD120" s="28">
        <v>3000.0</v>
      </c>
      <c r="CE120" s="32" t="e">
        <v>#REF!</v>
      </c>
      <c r="CF120" s="33"/>
      <c r="CG120" s="34">
        <v>0.0</v>
      </c>
      <c r="CH120" s="35">
        <v>0.0</v>
      </c>
      <c r="CI120" s="36">
        <v>15.0</v>
      </c>
      <c r="CJ120" s="36">
        <v>620.0</v>
      </c>
      <c r="CK120" s="93">
        <f t="shared" si="5"/>
        <v>4</v>
      </c>
      <c r="CL120" s="36">
        <v>624.0</v>
      </c>
      <c r="CM120" s="38">
        <v>332.0</v>
      </c>
      <c r="CN120" s="36">
        <v>0.0</v>
      </c>
      <c r="CO120" s="39">
        <v>22.1</v>
      </c>
      <c r="CP120" s="40">
        <v>0.0</v>
      </c>
      <c r="CQ120" s="36">
        <v>85.0</v>
      </c>
      <c r="CR120" s="36">
        <v>85.0</v>
      </c>
      <c r="CS120" s="36">
        <v>44.0</v>
      </c>
      <c r="CT120" s="41"/>
      <c r="CU120" s="42"/>
      <c r="CV120" s="43"/>
      <c r="CW120" s="44">
        <v>10.0</v>
      </c>
      <c r="CX120" s="44" t="s">
        <v>138</v>
      </c>
      <c r="CY120" s="44" t="s">
        <v>139</v>
      </c>
      <c r="CZ120" s="45"/>
      <c r="DA120" s="44">
        <v>3000.0</v>
      </c>
      <c r="DB120" s="44">
        <v>0.0</v>
      </c>
      <c r="DC120" s="43"/>
      <c r="DD120" s="78"/>
      <c r="DE120" s="43"/>
      <c r="DF120" s="43"/>
      <c r="DG120" s="48" t="s">
        <v>128</v>
      </c>
      <c r="DH120" s="48" t="s">
        <v>128</v>
      </c>
      <c r="DI120" s="48" t="s">
        <v>128</v>
      </c>
      <c r="DJ120" s="49">
        <v>0.0</v>
      </c>
      <c r="DK120" s="48" t="b">
        <v>0</v>
      </c>
      <c r="DL120" s="50" t="s">
        <v>415</v>
      </c>
      <c r="DM120" s="50" t="s">
        <v>131</v>
      </c>
      <c r="DN120" s="50" t="s">
        <v>416</v>
      </c>
      <c r="DO120" s="49">
        <v>0.47</v>
      </c>
      <c r="DP120" s="48" t="s">
        <v>128</v>
      </c>
      <c r="DQ120" s="48" t="s">
        <v>128</v>
      </c>
      <c r="DR120" s="51"/>
      <c r="DS120" s="48" t="s">
        <v>134</v>
      </c>
    </row>
    <row r="121">
      <c r="A121" s="52" t="s">
        <v>118</v>
      </c>
      <c r="B121" s="53">
        <v>3.0</v>
      </c>
      <c r="C121" s="52" t="s">
        <v>119</v>
      </c>
      <c r="D121" s="53">
        <v>669823.0</v>
      </c>
      <c r="E121" s="52" t="s">
        <v>214</v>
      </c>
      <c r="F121" s="52" t="s">
        <v>432</v>
      </c>
      <c r="G121" s="52" t="s">
        <v>433</v>
      </c>
      <c r="H121" s="53">
        <v>81879.0</v>
      </c>
      <c r="I121" s="53">
        <v>5.0</v>
      </c>
      <c r="J121" s="53">
        <v>0.0</v>
      </c>
      <c r="K121" s="53">
        <v>0.0</v>
      </c>
      <c r="L121" s="53">
        <v>0.0</v>
      </c>
      <c r="M121" s="53">
        <v>0.0</v>
      </c>
      <c r="N121" s="53">
        <v>0.0</v>
      </c>
      <c r="O121" s="53">
        <v>0.0</v>
      </c>
      <c r="P121" s="53">
        <v>0.0</v>
      </c>
      <c r="Q121" s="53">
        <v>1.0</v>
      </c>
      <c r="R121" s="53">
        <v>0.0</v>
      </c>
      <c r="S121" s="53">
        <v>0.0</v>
      </c>
      <c r="T121" s="53">
        <v>0.0</v>
      </c>
      <c r="U121" s="53">
        <v>0.0</v>
      </c>
      <c r="V121" s="53">
        <v>0.0</v>
      </c>
      <c r="W121" s="53">
        <v>1.0</v>
      </c>
      <c r="X121" s="53">
        <v>1.0</v>
      </c>
      <c r="Y121" s="53">
        <v>0.0</v>
      </c>
      <c r="Z121" s="53">
        <v>1.0</v>
      </c>
      <c r="AA121" s="53">
        <v>0.0</v>
      </c>
      <c r="AB121" s="53">
        <v>0.0</v>
      </c>
      <c r="AC121" s="53">
        <v>0.0</v>
      </c>
      <c r="AD121" s="53">
        <v>0.0</v>
      </c>
      <c r="AE121" s="53">
        <v>0.0</v>
      </c>
      <c r="AF121" s="53">
        <v>0.0</v>
      </c>
      <c r="AG121" s="53">
        <v>1.0</v>
      </c>
      <c r="AH121" s="53">
        <v>0.0</v>
      </c>
      <c r="AI121" s="53">
        <v>0.0</v>
      </c>
      <c r="AJ121" s="53">
        <v>0.0</v>
      </c>
      <c r="AK121" s="53">
        <v>0.0</v>
      </c>
      <c r="AL121" s="53">
        <v>0.0</v>
      </c>
      <c r="AM121" s="53">
        <v>0.0</v>
      </c>
      <c r="AN121" s="53">
        <v>0.0</v>
      </c>
      <c r="AO121" s="25">
        <v>21.0</v>
      </c>
      <c r="AP121" s="54"/>
      <c r="AQ121" s="54"/>
      <c r="AR121" s="54"/>
      <c r="AS121" s="54"/>
      <c r="AT121" s="54"/>
      <c r="AU121" s="54"/>
      <c r="AV121" s="54"/>
      <c r="AW121" s="53">
        <v>19.95</v>
      </c>
      <c r="AX121" s="54"/>
      <c r="AY121" s="54"/>
      <c r="AZ121" s="54"/>
      <c r="BA121" s="54"/>
      <c r="BB121" s="54"/>
      <c r="BC121" s="53">
        <v>20.97</v>
      </c>
      <c r="BD121" s="53">
        <v>19.92</v>
      </c>
      <c r="BE121" s="54"/>
      <c r="BF121" s="53">
        <v>22.82</v>
      </c>
      <c r="BG121" s="54"/>
      <c r="BH121" s="54"/>
      <c r="BI121" s="54"/>
      <c r="BJ121" s="54"/>
      <c r="BK121" s="54"/>
      <c r="BL121" s="54"/>
      <c r="BM121" s="53">
        <v>21.28</v>
      </c>
      <c r="BN121" s="54"/>
      <c r="BO121" s="54"/>
      <c r="BP121" s="53">
        <v>2.62</v>
      </c>
      <c r="BQ121" s="53">
        <v>7.84</v>
      </c>
      <c r="BR121" s="53">
        <v>10.27</v>
      </c>
      <c r="BS121" s="57">
        <v>2.65</v>
      </c>
      <c r="BT121" s="81"/>
      <c r="BU121" s="54"/>
      <c r="BV121" s="54"/>
      <c r="BW121" s="54"/>
      <c r="BX121" s="53">
        <v>2400.0</v>
      </c>
      <c r="BY121" s="53" t="s">
        <v>123</v>
      </c>
      <c r="BZ121" s="58">
        <v>2100.0</v>
      </c>
      <c r="CA121" s="29" t="s">
        <v>124</v>
      </c>
      <c r="CB121" s="30">
        <v>2400.0</v>
      </c>
      <c r="CC121" s="31"/>
      <c r="CD121" s="58">
        <v>2400.0</v>
      </c>
      <c r="CE121" s="59" t="e">
        <v>#REF!</v>
      </c>
      <c r="CF121" s="60"/>
      <c r="CG121" s="61">
        <v>0.0</v>
      </c>
      <c r="CH121" s="62">
        <v>0.0</v>
      </c>
      <c r="CI121" s="63">
        <v>5.0</v>
      </c>
      <c r="CJ121" s="63">
        <v>620.0</v>
      </c>
      <c r="CK121" s="94">
        <f t="shared" si="5"/>
        <v>4</v>
      </c>
      <c r="CL121" s="63">
        <v>624.0</v>
      </c>
      <c r="CM121" s="65">
        <v>105.0</v>
      </c>
      <c r="CN121" s="63">
        <v>0.0</v>
      </c>
      <c r="CO121" s="66">
        <v>21.0</v>
      </c>
      <c r="CP121" s="67">
        <v>0.0</v>
      </c>
      <c r="CQ121" s="63">
        <v>13.0</v>
      </c>
      <c r="CR121" s="63">
        <v>13.0</v>
      </c>
      <c r="CS121" s="63">
        <v>13.0</v>
      </c>
      <c r="CT121" s="68"/>
      <c r="CU121" s="69"/>
      <c r="CV121" s="70"/>
      <c r="CW121" s="71">
        <v>8.0</v>
      </c>
      <c r="CX121" s="71" t="s">
        <v>125</v>
      </c>
      <c r="CY121" s="71" t="s">
        <v>126</v>
      </c>
      <c r="CZ121" s="45"/>
      <c r="DA121" s="44">
        <v>2400.0</v>
      </c>
      <c r="DB121" s="44">
        <v>0.0</v>
      </c>
      <c r="DC121" s="43"/>
      <c r="DD121" s="78"/>
      <c r="DE121" s="43"/>
      <c r="DF121" s="43"/>
      <c r="DG121" s="48" t="s">
        <v>128</v>
      </c>
      <c r="DH121" s="48" t="s">
        <v>128</v>
      </c>
      <c r="DI121" s="48" t="s">
        <v>129</v>
      </c>
      <c r="DJ121" s="49">
        <v>0.0</v>
      </c>
      <c r="DK121" s="48" t="b">
        <v>0</v>
      </c>
      <c r="DL121" s="50" t="s">
        <v>415</v>
      </c>
      <c r="DM121" s="50" t="s">
        <v>131</v>
      </c>
      <c r="DN121" s="50" t="s">
        <v>416</v>
      </c>
      <c r="DO121" s="49">
        <v>0.47</v>
      </c>
      <c r="DP121" s="48" t="s">
        <v>128</v>
      </c>
      <c r="DQ121" s="48" t="s">
        <v>133</v>
      </c>
      <c r="DR121" s="51"/>
      <c r="DS121" s="48" t="s">
        <v>134</v>
      </c>
    </row>
    <row r="122">
      <c r="A122" s="23" t="s">
        <v>118</v>
      </c>
      <c r="B122" s="24">
        <v>3.0</v>
      </c>
      <c r="C122" s="23" t="s">
        <v>119</v>
      </c>
      <c r="D122" s="24">
        <v>604008.0</v>
      </c>
      <c r="E122" s="23" t="s">
        <v>176</v>
      </c>
      <c r="F122" s="23" t="s">
        <v>434</v>
      </c>
      <c r="G122" s="23" t="s">
        <v>435</v>
      </c>
      <c r="H122" s="24">
        <v>81879.0</v>
      </c>
      <c r="I122" s="24">
        <v>5.0</v>
      </c>
      <c r="J122" s="24">
        <v>0.0</v>
      </c>
      <c r="K122" s="24">
        <v>0.0</v>
      </c>
      <c r="L122" s="24">
        <v>0.0</v>
      </c>
      <c r="M122" s="24">
        <v>0.0</v>
      </c>
      <c r="N122" s="24">
        <v>1.0</v>
      </c>
      <c r="O122" s="24">
        <v>0.0</v>
      </c>
      <c r="P122" s="24">
        <v>0.0</v>
      </c>
      <c r="Q122" s="24">
        <v>0.0</v>
      </c>
      <c r="R122" s="24">
        <v>0.0</v>
      </c>
      <c r="S122" s="24">
        <v>0.0</v>
      </c>
      <c r="T122" s="24">
        <v>0.0</v>
      </c>
      <c r="U122" s="24">
        <v>0.0</v>
      </c>
      <c r="V122" s="24">
        <v>0.0</v>
      </c>
      <c r="W122" s="24">
        <v>1.0</v>
      </c>
      <c r="X122" s="24">
        <v>0.0</v>
      </c>
      <c r="Y122" s="24">
        <v>0.0</v>
      </c>
      <c r="Z122" s="24">
        <v>0.0</v>
      </c>
      <c r="AA122" s="24">
        <v>0.0</v>
      </c>
      <c r="AB122" s="24">
        <v>0.0</v>
      </c>
      <c r="AC122" s="24">
        <v>0.0</v>
      </c>
      <c r="AD122" s="24">
        <v>0.0</v>
      </c>
      <c r="AE122" s="24">
        <v>0.0</v>
      </c>
      <c r="AF122" s="24">
        <v>0.0</v>
      </c>
      <c r="AG122" s="24">
        <v>0.0</v>
      </c>
      <c r="AH122" s="24">
        <v>0.0</v>
      </c>
      <c r="AI122" s="24">
        <v>0.0</v>
      </c>
      <c r="AJ122" s="24">
        <v>0.0</v>
      </c>
      <c r="AK122" s="24">
        <v>1.0</v>
      </c>
      <c r="AL122" s="24">
        <v>2.0</v>
      </c>
      <c r="AM122" s="24">
        <v>0.0</v>
      </c>
      <c r="AN122" s="24">
        <v>0.0</v>
      </c>
      <c r="AO122" s="25">
        <v>26.6</v>
      </c>
      <c r="AP122" s="26"/>
      <c r="AQ122" s="26"/>
      <c r="AR122" s="26"/>
      <c r="AS122" s="26"/>
      <c r="AT122" s="24">
        <v>0.0</v>
      </c>
      <c r="AU122" s="26"/>
      <c r="AV122" s="26"/>
      <c r="AW122" s="26"/>
      <c r="AX122" s="26"/>
      <c r="AY122" s="26"/>
      <c r="AZ122" s="26"/>
      <c r="BA122" s="26"/>
      <c r="BB122" s="26"/>
      <c r="BC122" s="24">
        <v>48.75</v>
      </c>
      <c r="BD122" s="26"/>
      <c r="BE122" s="26"/>
      <c r="BF122" s="26"/>
      <c r="BG122" s="26"/>
      <c r="BH122" s="26"/>
      <c r="BI122" s="26"/>
      <c r="BJ122" s="26"/>
      <c r="BK122" s="26"/>
      <c r="BL122" s="26"/>
      <c r="BM122" s="26"/>
      <c r="BN122" s="26"/>
      <c r="BO122" s="24">
        <v>0.38</v>
      </c>
      <c r="BP122" s="24">
        <v>10.27</v>
      </c>
      <c r="BQ122" s="24">
        <v>6.19</v>
      </c>
      <c r="BR122" s="24">
        <v>16.26</v>
      </c>
      <c r="BS122" s="57">
        <v>2.44</v>
      </c>
      <c r="BT122" s="56">
        <v>23.0</v>
      </c>
      <c r="BU122" s="57">
        <v>2.1</v>
      </c>
      <c r="BV122" s="25">
        <v>10.86</v>
      </c>
      <c r="BW122" s="26"/>
      <c r="BX122" s="24">
        <v>3000.0</v>
      </c>
      <c r="BY122" s="24" t="s">
        <v>123</v>
      </c>
      <c r="BZ122" s="28">
        <v>2700.0</v>
      </c>
      <c r="CA122" s="29" t="s">
        <v>124</v>
      </c>
      <c r="CB122" s="30">
        <v>3000.0</v>
      </c>
      <c r="CC122" s="31"/>
      <c r="CD122" s="28">
        <v>3000.0</v>
      </c>
      <c r="CE122" s="32" t="e">
        <v>#REF!</v>
      </c>
      <c r="CF122" s="33"/>
      <c r="CG122" s="34">
        <v>0.0</v>
      </c>
      <c r="CH122" s="35">
        <v>0.0</v>
      </c>
      <c r="CI122" s="36">
        <v>5.0</v>
      </c>
      <c r="CJ122" s="36">
        <v>620.0</v>
      </c>
      <c r="CK122" s="93">
        <f t="shared" si="5"/>
        <v>4</v>
      </c>
      <c r="CL122" s="36">
        <v>624.0</v>
      </c>
      <c r="CM122" s="38">
        <v>133.0</v>
      </c>
      <c r="CN122" s="36">
        <v>0.0</v>
      </c>
      <c r="CO122" s="39">
        <v>26.6</v>
      </c>
      <c r="CP122" s="40">
        <v>0.0</v>
      </c>
      <c r="CQ122" s="36">
        <v>51.0</v>
      </c>
      <c r="CR122" s="36">
        <v>51.0</v>
      </c>
      <c r="CS122" s="36">
        <v>12.0</v>
      </c>
      <c r="CT122" s="41"/>
      <c r="CU122" s="42"/>
      <c r="CV122" s="43"/>
      <c r="CW122" s="44">
        <v>10.0</v>
      </c>
      <c r="CX122" s="44" t="s">
        <v>138</v>
      </c>
      <c r="CY122" s="44" t="s">
        <v>139</v>
      </c>
      <c r="CZ122" s="45"/>
      <c r="DA122" s="44">
        <v>3000.0</v>
      </c>
      <c r="DB122" s="44">
        <v>0.0</v>
      </c>
      <c r="DC122" s="43"/>
      <c r="DD122" s="78"/>
      <c r="DE122" s="43"/>
      <c r="DF122" s="43"/>
      <c r="DG122" s="48" t="s">
        <v>128</v>
      </c>
      <c r="DH122" s="48" t="s">
        <v>128</v>
      </c>
      <c r="DI122" s="48" t="s">
        <v>128</v>
      </c>
      <c r="DJ122" s="49">
        <v>0.0</v>
      </c>
      <c r="DK122" s="48" t="b">
        <v>0</v>
      </c>
      <c r="DL122" s="50" t="s">
        <v>415</v>
      </c>
      <c r="DM122" s="50" t="s">
        <v>131</v>
      </c>
      <c r="DN122" s="50" t="s">
        <v>416</v>
      </c>
      <c r="DO122" s="49">
        <v>0.47</v>
      </c>
      <c r="DP122" s="48" t="s">
        <v>128</v>
      </c>
      <c r="DQ122" s="48" t="s">
        <v>128</v>
      </c>
      <c r="DR122" s="51"/>
      <c r="DS122" s="48" t="s">
        <v>134</v>
      </c>
    </row>
    <row r="123">
      <c r="A123" s="52" t="s">
        <v>118</v>
      </c>
      <c r="B123" s="53">
        <v>3.0</v>
      </c>
      <c r="C123" s="52" t="s">
        <v>119</v>
      </c>
      <c r="D123" s="53">
        <v>558730.0</v>
      </c>
      <c r="E123" s="52" t="s">
        <v>148</v>
      </c>
      <c r="F123" s="52" t="s">
        <v>436</v>
      </c>
      <c r="G123" s="52" t="s">
        <v>437</v>
      </c>
      <c r="H123" s="53">
        <v>81879.0</v>
      </c>
      <c r="I123" s="53">
        <v>9.0</v>
      </c>
      <c r="J123" s="53">
        <v>1.0</v>
      </c>
      <c r="K123" s="53">
        <v>0.0</v>
      </c>
      <c r="L123" s="53">
        <v>0.0</v>
      </c>
      <c r="M123" s="53">
        <v>0.0</v>
      </c>
      <c r="N123" s="53">
        <v>0.0</v>
      </c>
      <c r="O123" s="53">
        <v>0.0</v>
      </c>
      <c r="P123" s="53">
        <v>0.0</v>
      </c>
      <c r="Q123" s="53">
        <v>0.0</v>
      </c>
      <c r="R123" s="53">
        <v>0.0</v>
      </c>
      <c r="S123" s="53">
        <v>1.0</v>
      </c>
      <c r="T123" s="53">
        <v>0.0</v>
      </c>
      <c r="U123" s="53">
        <v>0.0</v>
      </c>
      <c r="V123" s="53">
        <v>1.0</v>
      </c>
      <c r="W123" s="53">
        <v>0.0</v>
      </c>
      <c r="X123" s="53">
        <v>0.0</v>
      </c>
      <c r="Y123" s="53">
        <v>1.0</v>
      </c>
      <c r="Z123" s="53">
        <v>1.0</v>
      </c>
      <c r="AA123" s="53">
        <v>0.0</v>
      </c>
      <c r="AB123" s="53">
        <v>1.0</v>
      </c>
      <c r="AC123" s="53">
        <v>0.0</v>
      </c>
      <c r="AD123" s="53">
        <v>0.0</v>
      </c>
      <c r="AE123" s="53">
        <v>0.0</v>
      </c>
      <c r="AF123" s="53">
        <v>0.0</v>
      </c>
      <c r="AG123" s="53">
        <v>1.0</v>
      </c>
      <c r="AH123" s="53">
        <v>2.0</v>
      </c>
      <c r="AI123" s="53">
        <v>0.0</v>
      </c>
      <c r="AJ123" s="53">
        <v>0.0</v>
      </c>
      <c r="AK123" s="53">
        <v>0.0</v>
      </c>
      <c r="AL123" s="53">
        <v>0.0</v>
      </c>
      <c r="AM123" s="53">
        <v>0.0</v>
      </c>
      <c r="AN123" s="53">
        <v>0.0</v>
      </c>
      <c r="AO123" s="25">
        <v>27.9</v>
      </c>
      <c r="AP123" s="53">
        <v>20.37</v>
      </c>
      <c r="AQ123" s="54"/>
      <c r="AR123" s="54"/>
      <c r="AS123" s="54"/>
      <c r="AT123" s="54"/>
      <c r="AU123" s="54"/>
      <c r="AV123" s="54"/>
      <c r="AW123" s="54"/>
      <c r="AX123" s="54"/>
      <c r="AY123" s="53">
        <v>16.6</v>
      </c>
      <c r="AZ123" s="54"/>
      <c r="BA123" s="54"/>
      <c r="BB123" s="53">
        <v>35.32</v>
      </c>
      <c r="BC123" s="54"/>
      <c r="BD123" s="54"/>
      <c r="BE123" s="53">
        <v>15.93</v>
      </c>
      <c r="BF123" s="53">
        <v>14.87</v>
      </c>
      <c r="BG123" s="54"/>
      <c r="BH123" s="53">
        <v>55.6</v>
      </c>
      <c r="BI123" s="54"/>
      <c r="BJ123" s="54"/>
      <c r="BK123" s="54"/>
      <c r="BL123" s="54"/>
      <c r="BM123" s="53">
        <v>39.22</v>
      </c>
      <c r="BN123" s="53">
        <v>26.68</v>
      </c>
      <c r="BO123" s="54"/>
      <c r="BP123" s="53">
        <v>8.09</v>
      </c>
      <c r="BQ123" s="53">
        <v>7.97</v>
      </c>
      <c r="BR123" s="53">
        <v>15.83</v>
      </c>
      <c r="BS123" s="57">
        <v>2.15</v>
      </c>
      <c r="BT123" s="56">
        <v>55.6</v>
      </c>
      <c r="BU123" s="57">
        <v>1.5</v>
      </c>
      <c r="BV123" s="25">
        <v>10.85</v>
      </c>
      <c r="BW123" s="54"/>
      <c r="BX123" s="53">
        <v>2400.0</v>
      </c>
      <c r="BY123" s="53" t="s">
        <v>123</v>
      </c>
      <c r="BZ123" s="58">
        <v>2100.0</v>
      </c>
      <c r="CA123" s="29" t="s">
        <v>124</v>
      </c>
      <c r="CB123" s="30">
        <v>2400.0</v>
      </c>
      <c r="CC123" s="31"/>
      <c r="CD123" s="58">
        <v>2400.0</v>
      </c>
      <c r="CE123" s="59" t="e">
        <v>#REF!</v>
      </c>
      <c r="CF123" s="60"/>
      <c r="CG123" s="61">
        <v>0.0</v>
      </c>
      <c r="CH123" s="62">
        <v>0.0</v>
      </c>
      <c r="CI123" s="63">
        <v>9.0</v>
      </c>
      <c r="CJ123" s="63">
        <v>620.0</v>
      </c>
      <c r="CK123" s="94">
        <f t="shared" si="5"/>
        <v>4</v>
      </c>
      <c r="CL123" s="63">
        <v>624.0</v>
      </c>
      <c r="CM123" s="65">
        <v>251.0</v>
      </c>
      <c r="CN123" s="63">
        <v>0.0</v>
      </c>
      <c r="CO123" s="66">
        <v>27.9</v>
      </c>
      <c r="CP123" s="67">
        <v>0.0</v>
      </c>
      <c r="CQ123" s="63">
        <v>73.0</v>
      </c>
      <c r="CR123" s="63">
        <v>73.0</v>
      </c>
      <c r="CS123" s="63">
        <v>19.0</v>
      </c>
      <c r="CT123" s="68"/>
      <c r="CU123" s="69"/>
      <c r="CV123" s="70"/>
      <c r="CW123" s="71">
        <v>8.0</v>
      </c>
      <c r="CX123" s="71" t="s">
        <v>125</v>
      </c>
      <c r="CY123" s="71" t="s">
        <v>126</v>
      </c>
      <c r="CZ123" s="45"/>
      <c r="DA123" s="44">
        <v>2400.0</v>
      </c>
      <c r="DB123" s="44">
        <v>0.0</v>
      </c>
      <c r="DC123" s="43"/>
      <c r="DD123" s="78"/>
      <c r="DE123" s="43"/>
      <c r="DF123" s="43"/>
      <c r="DG123" s="48" t="s">
        <v>128</v>
      </c>
      <c r="DH123" s="48" t="s">
        <v>128</v>
      </c>
      <c r="DI123" s="48" t="s">
        <v>128</v>
      </c>
      <c r="DJ123" s="49">
        <v>1.0</v>
      </c>
      <c r="DK123" s="48" t="b">
        <v>0</v>
      </c>
      <c r="DL123" s="50" t="s">
        <v>415</v>
      </c>
      <c r="DM123" s="50" t="s">
        <v>131</v>
      </c>
      <c r="DN123" s="50" t="s">
        <v>416</v>
      </c>
      <c r="DO123" s="49">
        <v>0.47</v>
      </c>
      <c r="DP123" s="48" t="s">
        <v>128</v>
      </c>
      <c r="DQ123" s="48" t="s">
        <v>128</v>
      </c>
      <c r="DR123" s="51"/>
      <c r="DS123" s="48" t="s">
        <v>134</v>
      </c>
    </row>
    <row r="124">
      <c r="A124" s="23" t="s">
        <v>118</v>
      </c>
      <c r="B124" s="24">
        <v>3.0</v>
      </c>
      <c r="C124" s="23" t="s">
        <v>119</v>
      </c>
      <c r="D124" s="24">
        <v>648806.0</v>
      </c>
      <c r="E124" s="23" t="s">
        <v>179</v>
      </c>
      <c r="F124" s="23" t="s">
        <v>438</v>
      </c>
      <c r="G124" s="23" t="s">
        <v>439</v>
      </c>
      <c r="H124" s="24">
        <v>81879.0</v>
      </c>
      <c r="I124" s="24">
        <v>3.0</v>
      </c>
      <c r="J124" s="24">
        <v>0.0</v>
      </c>
      <c r="K124" s="24">
        <v>0.0</v>
      </c>
      <c r="L124" s="24">
        <v>0.0</v>
      </c>
      <c r="M124" s="24">
        <v>0.0</v>
      </c>
      <c r="N124" s="24">
        <v>0.0</v>
      </c>
      <c r="O124" s="24">
        <v>0.0</v>
      </c>
      <c r="P124" s="24">
        <v>0.0</v>
      </c>
      <c r="Q124" s="24">
        <v>0.0</v>
      </c>
      <c r="R124" s="24">
        <v>0.0</v>
      </c>
      <c r="S124" s="24">
        <v>0.0</v>
      </c>
      <c r="T124" s="24">
        <v>0.0</v>
      </c>
      <c r="U124" s="24">
        <v>0.0</v>
      </c>
      <c r="V124" s="24">
        <v>0.0</v>
      </c>
      <c r="W124" s="24">
        <v>0.0</v>
      </c>
      <c r="X124" s="24">
        <v>0.0</v>
      </c>
      <c r="Y124" s="24">
        <v>0.0</v>
      </c>
      <c r="Z124" s="24">
        <v>0.0</v>
      </c>
      <c r="AA124" s="24">
        <v>0.0</v>
      </c>
      <c r="AB124" s="24">
        <v>0.0</v>
      </c>
      <c r="AC124" s="24">
        <v>0.0</v>
      </c>
      <c r="AD124" s="24">
        <v>0.0</v>
      </c>
      <c r="AE124" s="24">
        <v>0.0</v>
      </c>
      <c r="AF124" s="24">
        <v>0.0</v>
      </c>
      <c r="AG124" s="24">
        <v>0.0</v>
      </c>
      <c r="AH124" s="24">
        <v>0.0</v>
      </c>
      <c r="AI124" s="24">
        <v>0.0</v>
      </c>
      <c r="AJ124" s="24">
        <v>0.0</v>
      </c>
      <c r="AK124" s="24">
        <v>2.0</v>
      </c>
      <c r="AL124" s="24">
        <v>1.0</v>
      </c>
      <c r="AM124" s="24">
        <v>0.0</v>
      </c>
      <c r="AN124" s="24">
        <v>0.0</v>
      </c>
      <c r="AO124" s="25">
        <v>23.9</v>
      </c>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4">
        <v>0.4</v>
      </c>
      <c r="BP124" s="24">
        <v>4.02</v>
      </c>
      <c r="BQ124" s="24">
        <v>9.23</v>
      </c>
      <c r="BR124" s="24">
        <v>13.04</v>
      </c>
      <c r="BS124" s="57">
        <v>1.99</v>
      </c>
      <c r="BT124" s="56">
        <v>17.2</v>
      </c>
      <c r="BU124" s="55">
        <v>3.5</v>
      </c>
      <c r="BV124" s="25">
        <v>7.47</v>
      </c>
      <c r="BW124" s="26"/>
      <c r="BX124" s="24">
        <v>3000.0</v>
      </c>
      <c r="BY124" s="24" t="s">
        <v>123</v>
      </c>
      <c r="BZ124" s="28">
        <v>2700.0</v>
      </c>
      <c r="CA124" s="29" t="s">
        <v>124</v>
      </c>
      <c r="CB124" s="30">
        <v>3000.0</v>
      </c>
      <c r="CC124" s="31"/>
      <c r="CD124" s="28">
        <v>3000.0</v>
      </c>
      <c r="CE124" s="32" t="e">
        <v>#REF!</v>
      </c>
      <c r="CF124" s="33"/>
      <c r="CG124" s="34">
        <v>0.0</v>
      </c>
      <c r="CH124" s="35">
        <v>0.0</v>
      </c>
      <c r="CI124" s="36">
        <v>3.0</v>
      </c>
      <c r="CJ124" s="36">
        <v>620.0</v>
      </c>
      <c r="CK124" s="93">
        <f t="shared" si="5"/>
        <v>4</v>
      </c>
      <c r="CL124" s="36">
        <v>624.0</v>
      </c>
      <c r="CM124" s="38">
        <v>72.0</v>
      </c>
      <c r="CN124" s="36">
        <v>0.0</v>
      </c>
      <c r="CO124" s="39">
        <v>23.9</v>
      </c>
      <c r="CP124" s="40">
        <v>0.0</v>
      </c>
      <c r="CQ124" s="36">
        <v>12.0</v>
      </c>
      <c r="CR124" s="36">
        <v>12.0</v>
      </c>
      <c r="CS124" s="36">
        <v>6.0</v>
      </c>
      <c r="CT124" s="41"/>
      <c r="CU124" s="42"/>
      <c r="CV124" s="43"/>
      <c r="CW124" s="44">
        <v>10.0</v>
      </c>
      <c r="CX124" s="44" t="s">
        <v>138</v>
      </c>
      <c r="CY124" s="44" t="s">
        <v>139</v>
      </c>
      <c r="CZ124" s="45"/>
      <c r="DA124" s="44">
        <v>3000.0</v>
      </c>
      <c r="DB124" s="44">
        <v>0.0</v>
      </c>
      <c r="DC124" s="46" t="s">
        <v>127</v>
      </c>
      <c r="DD124" s="47">
        <v>46246.0</v>
      </c>
      <c r="DE124" s="43"/>
      <c r="DF124" s="43"/>
      <c r="DG124" s="48" t="s">
        <v>128</v>
      </c>
      <c r="DH124" s="48" t="s">
        <v>128</v>
      </c>
      <c r="DI124" s="48" t="s">
        <v>128</v>
      </c>
      <c r="DJ124" s="49">
        <v>1.0</v>
      </c>
      <c r="DK124" s="48" t="b">
        <v>0</v>
      </c>
      <c r="DL124" s="50" t="s">
        <v>415</v>
      </c>
      <c r="DM124" s="50" t="s">
        <v>131</v>
      </c>
      <c r="DN124" s="50" t="s">
        <v>416</v>
      </c>
      <c r="DO124" s="49">
        <v>0.47</v>
      </c>
      <c r="DP124" s="48" t="s">
        <v>128</v>
      </c>
      <c r="DQ124" s="48" t="s">
        <v>128</v>
      </c>
      <c r="DR124" s="51"/>
      <c r="DS124" s="48" t="s">
        <v>134</v>
      </c>
    </row>
    <row r="125">
      <c r="A125" s="52" t="s">
        <v>118</v>
      </c>
      <c r="B125" s="53">
        <v>3.0</v>
      </c>
      <c r="C125" s="52" t="s">
        <v>119</v>
      </c>
      <c r="D125" s="53">
        <v>588071.0</v>
      </c>
      <c r="E125" s="52" t="s">
        <v>152</v>
      </c>
      <c r="F125" s="52" t="s">
        <v>440</v>
      </c>
      <c r="G125" s="52" t="s">
        <v>441</v>
      </c>
      <c r="H125" s="53">
        <v>81879.0</v>
      </c>
      <c r="I125" s="53">
        <v>8.0</v>
      </c>
      <c r="J125" s="53">
        <v>0.0</v>
      </c>
      <c r="K125" s="53">
        <v>0.0</v>
      </c>
      <c r="L125" s="53">
        <v>0.0</v>
      </c>
      <c r="M125" s="53">
        <v>0.0</v>
      </c>
      <c r="N125" s="53">
        <v>0.0</v>
      </c>
      <c r="O125" s="53">
        <v>0.0</v>
      </c>
      <c r="P125" s="53">
        <v>0.0</v>
      </c>
      <c r="Q125" s="53">
        <v>0.0</v>
      </c>
      <c r="R125" s="53">
        <v>0.0</v>
      </c>
      <c r="S125" s="53">
        <v>0.0</v>
      </c>
      <c r="T125" s="53">
        <v>0.0</v>
      </c>
      <c r="U125" s="53">
        <v>0.0</v>
      </c>
      <c r="V125" s="53">
        <v>0.0</v>
      </c>
      <c r="W125" s="53">
        <v>1.0</v>
      </c>
      <c r="X125" s="53">
        <v>1.0</v>
      </c>
      <c r="Y125" s="53">
        <v>2.0</v>
      </c>
      <c r="Z125" s="53">
        <v>0.0</v>
      </c>
      <c r="AA125" s="53">
        <v>2.0</v>
      </c>
      <c r="AB125" s="53">
        <v>0.0</v>
      </c>
      <c r="AC125" s="53">
        <v>0.0</v>
      </c>
      <c r="AD125" s="53">
        <v>1.0</v>
      </c>
      <c r="AE125" s="53">
        <v>1.0</v>
      </c>
      <c r="AF125" s="53">
        <v>0.0</v>
      </c>
      <c r="AG125" s="53">
        <v>0.0</v>
      </c>
      <c r="AH125" s="53">
        <v>0.0</v>
      </c>
      <c r="AI125" s="53">
        <v>0.0</v>
      </c>
      <c r="AJ125" s="53">
        <v>0.0</v>
      </c>
      <c r="AK125" s="53">
        <v>0.0</v>
      </c>
      <c r="AL125" s="53">
        <v>0.0</v>
      </c>
      <c r="AM125" s="53">
        <v>0.0</v>
      </c>
      <c r="AN125" s="53">
        <v>0.0</v>
      </c>
      <c r="AO125" s="25">
        <v>20.0</v>
      </c>
      <c r="AP125" s="54"/>
      <c r="AQ125" s="54"/>
      <c r="AR125" s="54"/>
      <c r="AS125" s="54"/>
      <c r="AT125" s="54"/>
      <c r="AU125" s="54"/>
      <c r="AV125" s="54"/>
      <c r="AW125" s="54"/>
      <c r="AX125" s="54"/>
      <c r="AY125" s="54"/>
      <c r="AZ125" s="54"/>
      <c r="BA125" s="54"/>
      <c r="BB125" s="54"/>
      <c r="BC125" s="53">
        <v>15.57</v>
      </c>
      <c r="BD125" s="53">
        <v>19.87</v>
      </c>
      <c r="BE125" s="53">
        <v>16.14</v>
      </c>
      <c r="BF125" s="54"/>
      <c r="BG125" s="53">
        <v>13.38</v>
      </c>
      <c r="BH125" s="54"/>
      <c r="BI125" s="54"/>
      <c r="BJ125" s="53">
        <v>21.77</v>
      </c>
      <c r="BK125" s="53">
        <v>44.02</v>
      </c>
      <c r="BL125" s="54"/>
      <c r="BM125" s="54"/>
      <c r="BN125" s="54"/>
      <c r="BO125" s="54"/>
      <c r="BP125" s="53">
        <v>2.56</v>
      </c>
      <c r="BQ125" s="53">
        <v>7.84</v>
      </c>
      <c r="BR125" s="53">
        <v>10.19</v>
      </c>
      <c r="BS125" s="57">
        <v>1.92</v>
      </c>
      <c r="BT125" s="56">
        <v>17.4</v>
      </c>
      <c r="BU125" s="57">
        <v>1.7</v>
      </c>
      <c r="BV125" s="57">
        <v>5.75</v>
      </c>
      <c r="BW125" s="54"/>
      <c r="BX125" s="53">
        <v>2100.0</v>
      </c>
      <c r="BY125" s="53" t="s">
        <v>123</v>
      </c>
      <c r="BZ125" s="58">
        <v>1800.0</v>
      </c>
      <c r="CA125" s="29" t="s">
        <v>124</v>
      </c>
      <c r="CB125" s="30">
        <v>2100.0</v>
      </c>
      <c r="CC125" s="31"/>
      <c r="CD125" s="58">
        <v>2100.0</v>
      </c>
      <c r="CE125" s="59" t="e">
        <v>#REF!</v>
      </c>
      <c r="CF125" s="60"/>
      <c r="CG125" s="61">
        <v>0.0</v>
      </c>
      <c r="CH125" s="62">
        <v>0.0</v>
      </c>
      <c r="CI125" s="63">
        <v>8.0</v>
      </c>
      <c r="CJ125" s="63">
        <v>620.0</v>
      </c>
      <c r="CK125" s="94">
        <f t="shared" si="5"/>
        <v>4</v>
      </c>
      <c r="CL125" s="63">
        <v>624.0</v>
      </c>
      <c r="CM125" s="65">
        <v>160.0</v>
      </c>
      <c r="CN125" s="63">
        <v>0.0</v>
      </c>
      <c r="CO125" s="66">
        <v>20.0</v>
      </c>
      <c r="CP125" s="67">
        <v>0.0</v>
      </c>
      <c r="CQ125" s="63">
        <v>20.0</v>
      </c>
      <c r="CR125" s="63">
        <v>20.0</v>
      </c>
      <c r="CS125" s="63">
        <v>15.0</v>
      </c>
      <c r="CT125" s="68"/>
      <c r="CU125" s="69"/>
      <c r="CV125" s="70"/>
      <c r="CW125" s="71">
        <v>7.0</v>
      </c>
      <c r="CX125" s="71" t="s">
        <v>201</v>
      </c>
      <c r="CY125" s="71" t="s">
        <v>202</v>
      </c>
      <c r="CZ125" s="45"/>
      <c r="DA125" s="44">
        <v>2100.0</v>
      </c>
      <c r="DB125" s="44">
        <v>0.0</v>
      </c>
      <c r="DC125" s="46" t="s">
        <v>127</v>
      </c>
      <c r="DD125" s="47">
        <v>46245.0</v>
      </c>
      <c r="DE125" s="43"/>
      <c r="DF125" s="43"/>
      <c r="DG125" s="48" t="s">
        <v>128</v>
      </c>
      <c r="DH125" s="48" t="s">
        <v>128</v>
      </c>
      <c r="DI125" s="48" t="s">
        <v>128</v>
      </c>
      <c r="DJ125" s="49">
        <v>1.0</v>
      </c>
      <c r="DK125" s="48" t="b">
        <v>0</v>
      </c>
      <c r="DL125" s="50" t="s">
        <v>415</v>
      </c>
      <c r="DM125" s="50" t="s">
        <v>131</v>
      </c>
      <c r="DN125" s="50" t="s">
        <v>416</v>
      </c>
      <c r="DO125" s="49">
        <v>0.47</v>
      </c>
      <c r="DP125" s="48" t="s">
        <v>128</v>
      </c>
      <c r="DQ125" s="48" t="s">
        <v>128</v>
      </c>
      <c r="DR125" s="51"/>
      <c r="DS125" s="48" t="s">
        <v>134</v>
      </c>
    </row>
    <row r="126">
      <c r="A126" s="23" t="s">
        <v>118</v>
      </c>
      <c r="B126" s="24">
        <v>3.0</v>
      </c>
      <c r="C126" s="23" t="s">
        <v>119</v>
      </c>
      <c r="D126" s="24">
        <v>576393.0</v>
      </c>
      <c r="E126" s="23" t="s">
        <v>164</v>
      </c>
      <c r="F126" s="23" t="s">
        <v>442</v>
      </c>
      <c r="G126" s="23" t="s">
        <v>443</v>
      </c>
      <c r="H126" s="24">
        <v>81879.0</v>
      </c>
      <c r="I126" s="24">
        <v>16.0</v>
      </c>
      <c r="J126" s="24">
        <v>0.0</v>
      </c>
      <c r="K126" s="24">
        <v>0.0</v>
      </c>
      <c r="L126" s="24">
        <v>1.0</v>
      </c>
      <c r="M126" s="24">
        <v>0.0</v>
      </c>
      <c r="N126" s="24">
        <v>0.0</v>
      </c>
      <c r="O126" s="24">
        <v>0.0</v>
      </c>
      <c r="P126" s="24">
        <v>0.0</v>
      </c>
      <c r="Q126" s="24">
        <v>0.0</v>
      </c>
      <c r="R126" s="24">
        <v>0.0</v>
      </c>
      <c r="S126" s="24">
        <v>0.0</v>
      </c>
      <c r="T126" s="24">
        <v>0.0</v>
      </c>
      <c r="U126" s="24">
        <v>0.0</v>
      </c>
      <c r="V126" s="24">
        <v>0.0</v>
      </c>
      <c r="W126" s="24">
        <v>1.0</v>
      </c>
      <c r="X126" s="24">
        <v>0.0</v>
      </c>
      <c r="Y126" s="24">
        <v>0.0</v>
      </c>
      <c r="Z126" s="24">
        <v>0.0</v>
      </c>
      <c r="AA126" s="24">
        <v>0.0</v>
      </c>
      <c r="AB126" s="24">
        <v>0.0</v>
      </c>
      <c r="AC126" s="24">
        <v>1.0</v>
      </c>
      <c r="AD126" s="24">
        <v>0.0</v>
      </c>
      <c r="AE126" s="24">
        <v>3.0</v>
      </c>
      <c r="AF126" s="24">
        <v>2.0</v>
      </c>
      <c r="AG126" s="24">
        <v>0.0</v>
      </c>
      <c r="AH126" s="24">
        <v>3.0</v>
      </c>
      <c r="AI126" s="24">
        <v>0.0</v>
      </c>
      <c r="AJ126" s="24">
        <v>2.0</v>
      </c>
      <c r="AK126" s="24">
        <v>0.0</v>
      </c>
      <c r="AL126" s="24">
        <v>2.0</v>
      </c>
      <c r="AM126" s="24">
        <v>1.0</v>
      </c>
      <c r="AN126" s="24">
        <v>0.0</v>
      </c>
      <c r="AO126" s="25">
        <v>19.3</v>
      </c>
      <c r="AP126" s="26"/>
      <c r="AQ126" s="26"/>
      <c r="AR126" s="24">
        <v>12.5</v>
      </c>
      <c r="AS126" s="26"/>
      <c r="AT126" s="26"/>
      <c r="AU126" s="26"/>
      <c r="AV126" s="26"/>
      <c r="AW126" s="26"/>
      <c r="AX126" s="26"/>
      <c r="AY126" s="26"/>
      <c r="AZ126" s="26"/>
      <c r="BA126" s="26"/>
      <c r="BB126" s="26"/>
      <c r="BC126" s="24">
        <v>21.07</v>
      </c>
      <c r="BD126" s="26"/>
      <c r="BE126" s="26"/>
      <c r="BF126" s="26"/>
      <c r="BG126" s="26"/>
      <c r="BH126" s="26"/>
      <c r="BI126" s="26"/>
      <c r="BJ126" s="26"/>
      <c r="BK126" s="24">
        <v>16.66</v>
      </c>
      <c r="BL126" s="24">
        <v>21.81</v>
      </c>
      <c r="BM126" s="26"/>
      <c r="BN126" s="24">
        <v>29.93</v>
      </c>
      <c r="BO126" s="24">
        <v>0.31</v>
      </c>
      <c r="BP126" s="24">
        <v>4.81</v>
      </c>
      <c r="BQ126" s="24">
        <v>5.84</v>
      </c>
      <c r="BR126" s="24">
        <v>10.44</v>
      </c>
      <c r="BS126" s="57">
        <v>1.48</v>
      </c>
      <c r="BT126" s="56">
        <v>19.9</v>
      </c>
      <c r="BU126" s="57">
        <v>1.5</v>
      </c>
      <c r="BV126" s="25">
        <v>7.74</v>
      </c>
      <c r="BW126" s="26"/>
      <c r="BX126" s="24">
        <v>3000.0</v>
      </c>
      <c r="BY126" s="24" t="s">
        <v>123</v>
      </c>
      <c r="BZ126" s="28">
        <v>3000.0</v>
      </c>
      <c r="CA126" s="72"/>
      <c r="CB126" s="30">
        <v>3000.0</v>
      </c>
      <c r="CC126" s="31"/>
      <c r="CD126" s="28">
        <v>3000.0</v>
      </c>
      <c r="CE126" s="32" t="e">
        <v>#REF!</v>
      </c>
      <c r="CF126" s="33"/>
      <c r="CG126" s="34">
        <v>0.0</v>
      </c>
      <c r="CH126" s="35">
        <v>0.0</v>
      </c>
      <c r="CI126" s="36">
        <v>16.0</v>
      </c>
      <c r="CJ126" s="36">
        <v>620.0</v>
      </c>
      <c r="CK126" s="93">
        <f t="shared" si="5"/>
        <v>4</v>
      </c>
      <c r="CL126" s="36">
        <v>624.0</v>
      </c>
      <c r="CM126" s="38">
        <v>309.0</v>
      </c>
      <c r="CN126" s="36">
        <v>0.0</v>
      </c>
      <c r="CO126" s="39">
        <v>19.3</v>
      </c>
      <c r="CP126" s="40">
        <v>0.0</v>
      </c>
      <c r="CQ126" s="36">
        <v>77.0</v>
      </c>
      <c r="CR126" s="36">
        <v>77.0</v>
      </c>
      <c r="CS126" s="36">
        <v>24.0</v>
      </c>
      <c r="CT126" s="41"/>
      <c r="CU126" s="42"/>
      <c r="CV126" s="43"/>
      <c r="CW126" s="44">
        <v>10.0</v>
      </c>
      <c r="CX126" s="44" t="s">
        <v>138</v>
      </c>
      <c r="CY126" s="44" t="s">
        <v>139</v>
      </c>
      <c r="CZ126" s="45"/>
      <c r="DA126" s="44">
        <v>3000.0</v>
      </c>
      <c r="DB126" s="44">
        <v>0.0</v>
      </c>
      <c r="DC126" s="43"/>
      <c r="DD126" s="78"/>
      <c r="DE126" s="43"/>
      <c r="DF126" s="43"/>
      <c r="DG126" s="48" t="s">
        <v>128</v>
      </c>
      <c r="DH126" s="48" t="s">
        <v>128</v>
      </c>
      <c r="DI126" s="48" t="s">
        <v>128</v>
      </c>
      <c r="DJ126" s="49">
        <v>0.6667</v>
      </c>
      <c r="DK126" s="48" t="b">
        <v>0</v>
      </c>
      <c r="DL126" s="50" t="s">
        <v>415</v>
      </c>
      <c r="DM126" s="50" t="s">
        <v>131</v>
      </c>
      <c r="DN126" s="50" t="s">
        <v>416</v>
      </c>
      <c r="DO126" s="49">
        <v>0.47</v>
      </c>
      <c r="DP126" s="48" t="s">
        <v>128</v>
      </c>
      <c r="DQ126" s="48" t="s">
        <v>128</v>
      </c>
      <c r="DR126" s="51"/>
      <c r="DS126" s="48" t="s">
        <v>134</v>
      </c>
    </row>
    <row r="127">
      <c r="A127" s="52" t="s">
        <v>118</v>
      </c>
      <c r="B127" s="53">
        <v>3.0</v>
      </c>
      <c r="C127" s="52" t="s">
        <v>119</v>
      </c>
      <c r="D127" s="53">
        <v>680607.0</v>
      </c>
      <c r="E127" s="52" t="s">
        <v>246</v>
      </c>
      <c r="F127" s="52" t="s">
        <v>444</v>
      </c>
      <c r="G127" s="52" t="s">
        <v>445</v>
      </c>
      <c r="H127" s="53">
        <v>81879.0</v>
      </c>
      <c r="I127" s="53">
        <v>2.0</v>
      </c>
      <c r="J127" s="53">
        <v>0.0</v>
      </c>
      <c r="K127" s="53">
        <v>0.0</v>
      </c>
      <c r="L127" s="53">
        <v>0.0</v>
      </c>
      <c r="M127" s="53">
        <v>0.0</v>
      </c>
      <c r="N127" s="53">
        <v>0.0</v>
      </c>
      <c r="O127" s="53">
        <v>0.0</v>
      </c>
      <c r="P127" s="53">
        <v>0.0</v>
      </c>
      <c r="Q127" s="53">
        <v>0.0</v>
      </c>
      <c r="R127" s="53">
        <v>0.0</v>
      </c>
      <c r="S127" s="53">
        <v>0.0</v>
      </c>
      <c r="T127" s="53">
        <v>0.0</v>
      </c>
      <c r="U127" s="53">
        <v>0.0</v>
      </c>
      <c r="V127" s="53">
        <v>0.0</v>
      </c>
      <c r="W127" s="53">
        <v>0.0</v>
      </c>
      <c r="X127" s="53">
        <v>0.0</v>
      </c>
      <c r="Y127" s="53">
        <v>0.0</v>
      </c>
      <c r="Z127" s="53">
        <v>0.0</v>
      </c>
      <c r="AA127" s="53">
        <v>0.0</v>
      </c>
      <c r="AB127" s="53">
        <v>0.0</v>
      </c>
      <c r="AC127" s="53">
        <v>0.0</v>
      </c>
      <c r="AD127" s="53">
        <v>0.0</v>
      </c>
      <c r="AE127" s="53">
        <v>0.0</v>
      </c>
      <c r="AF127" s="53">
        <v>0.0</v>
      </c>
      <c r="AG127" s="53">
        <v>0.0</v>
      </c>
      <c r="AH127" s="53">
        <v>0.0</v>
      </c>
      <c r="AI127" s="53">
        <v>1.0</v>
      </c>
      <c r="AJ127" s="53">
        <v>0.0</v>
      </c>
      <c r="AK127" s="53">
        <v>1.0</v>
      </c>
      <c r="AL127" s="53">
        <v>0.0</v>
      </c>
      <c r="AM127" s="53">
        <v>0.0</v>
      </c>
      <c r="AN127" s="53">
        <v>0.0</v>
      </c>
      <c r="AO127" s="25">
        <v>35.2</v>
      </c>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3">
        <v>0.59</v>
      </c>
      <c r="BP127" s="53">
        <v>18.0</v>
      </c>
      <c r="BQ127" s="53">
        <v>6.12</v>
      </c>
      <c r="BR127" s="53">
        <v>23.92</v>
      </c>
      <c r="BS127" s="57">
        <v>1.21</v>
      </c>
      <c r="BT127" s="81"/>
      <c r="BU127" s="54"/>
      <c r="BV127" s="54"/>
      <c r="BW127" s="54"/>
      <c r="BX127" s="53">
        <v>3000.0</v>
      </c>
      <c r="BY127" s="53" t="s">
        <v>123</v>
      </c>
      <c r="BZ127" s="58">
        <v>2700.0</v>
      </c>
      <c r="CA127" s="29" t="s">
        <v>124</v>
      </c>
      <c r="CB127" s="30">
        <v>3000.0</v>
      </c>
      <c r="CC127" s="31"/>
      <c r="CD127" s="58">
        <v>3000.0</v>
      </c>
      <c r="CE127" s="59" t="e">
        <v>#REF!</v>
      </c>
      <c r="CF127" s="60"/>
      <c r="CG127" s="61">
        <v>0.0</v>
      </c>
      <c r="CH127" s="62">
        <v>0.0</v>
      </c>
      <c r="CI127" s="63">
        <v>2.0</v>
      </c>
      <c r="CJ127" s="63">
        <v>620.0</v>
      </c>
      <c r="CK127" s="94">
        <f t="shared" si="5"/>
        <v>4</v>
      </c>
      <c r="CL127" s="63">
        <v>624.0</v>
      </c>
      <c r="CM127" s="65">
        <v>70.0</v>
      </c>
      <c r="CN127" s="63">
        <v>0.0</v>
      </c>
      <c r="CO127" s="66">
        <v>35.2</v>
      </c>
      <c r="CP127" s="67">
        <v>0.0</v>
      </c>
      <c r="CQ127" s="63">
        <v>36.0</v>
      </c>
      <c r="CR127" s="63">
        <v>36.0</v>
      </c>
      <c r="CS127" s="63">
        <v>2.0</v>
      </c>
      <c r="CT127" s="68"/>
      <c r="CU127" s="69"/>
      <c r="CV127" s="70"/>
      <c r="CW127" s="71">
        <v>10.0</v>
      </c>
      <c r="CX127" s="71" t="s">
        <v>138</v>
      </c>
      <c r="CY127" s="71" t="s">
        <v>139</v>
      </c>
      <c r="CZ127" s="45"/>
      <c r="DA127" s="44">
        <v>3000.0</v>
      </c>
      <c r="DB127" s="44">
        <v>0.0</v>
      </c>
      <c r="DC127" s="43"/>
      <c r="DD127" s="78"/>
      <c r="DE127" s="43"/>
      <c r="DF127" s="43"/>
      <c r="DG127" s="48" t="s">
        <v>128</v>
      </c>
      <c r="DH127" s="48" t="s">
        <v>128</v>
      </c>
      <c r="DI127" s="48" t="s">
        <v>128</v>
      </c>
      <c r="DJ127" s="49">
        <v>1.0</v>
      </c>
      <c r="DK127" s="48" t="b">
        <v>0</v>
      </c>
      <c r="DL127" s="50" t="s">
        <v>415</v>
      </c>
      <c r="DM127" s="50" t="s">
        <v>131</v>
      </c>
      <c r="DN127" s="50" t="s">
        <v>416</v>
      </c>
      <c r="DO127" s="49">
        <v>0.47</v>
      </c>
      <c r="DP127" s="48" t="s">
        <v>128</v>
      </c>
      <c r="DQ127" s="48" t="s">
        <v>128</v>
      </c>
      <c r="DR127" s="51"/>
      <c r="DS127" s="48" t="s">
        <v>134</v>
      </c>
    </row>
    <row r="128">
      <c r="A128" s="23" t="s">
        <v>118</v>
      </c>
      <c r="B128" s="24">
        <v>3.0</v>
      </c>
      <c r="C128" s="23" t="s">
        <v>119</v>
      </c>
      <c r="D128" s="24">
        <v>627274.0</v>
      </c>
      <c r="E128" s="23" t="s">
        <v>173</v>
      </c>
      <c r="F128" s="23" t="s">
        <v>446</v>
      </c>
      <c r="G128" s="23" t="s">
        <v>447</v>
      </c>
      <c r="H128" s="24">
        <v>81879.0</v>
      </c>
      <c r="I128" s="24">
        <v>8.0</v>
      </c>
      <c r="J128" s="24">
        <v>0.0</v>
      </c>
      <c r="K128" s="24">
        <v>0.0</v>
      </c>
      <c r="L128" s="24">
        <v>0.0</v>
      </c>
      <c r="M128" s="24">
        <v>0.0</v>
      </c>
      <c r="N128" s="24">
        <v>0.0</v>
      </c>
      <c r="O128" s="24">
        <v>0.0</v>
      </c>
      <c r="P128" s="24">
        <v>0.0</v>
      </c>
      <c r="Q128" s="24">
        <v>0.0</v>
      </c>
      <c r="R128" s="24">
        <v>0.0</v>
      </c>
      <c r="S128" s="24">
        <v>0.0</v>
      </c>
      <c r="T128" s="24">
        <v>0.0</v>
      </c>
      <c r="U128" s="24">
        <v>0.0</v>
      </c>
      <c r="V128" s="24">
        <v>0.0</v>
      </c>
      <c r="W128" s="24">
        <v>0.0</v>
      </c>
      <c r="X128" s="24">
        <v>1.0</v>
      </c>
      <c r="Y128" s="24">
        <v>0.0</v>
      </c>
      <c r="Z128" s="24">
        <v>0.0</v>
      </c>
      <c r="AA128" s="24">
        <v>0.0</v>
      </c>
      <c r="AB128" s="24">
        <v>0.0</v>
      </c>
      <c r="AC128" s="24">
        <v>0.0</v>
      </c>
      <c r="AD128" s="24">
        <v>1.0</v>
      </c>
      <c r="AE128" s="24">
        <v>2.0</v>
      </c>
      <c r="AF128" s="24">
        <v>0.0</v>
      </c>
      <c r="AG128" s="24">
        <v>0.0</v>
      </c>
      <c r="AH128" s="24">
        <v>1.0</v>
      </c>
      <c r="AI128" s="24">
        <v>1.0</v>
      </c>
      <c r="AJ128" s="24">
        <v>0.0</v>
      </c>
      <c r="AK128" s="24">
        <v>2.0</v>
      </c>
      <c r="AL128" s="24">
        <v>0.0</v>
      </c>
      <c r="AM128" s="24">
        <v>0.0</v>
      </c>
      <c r="AN128" s="24">
        <v>0.0</v>
      </c>
      <c r="AO128" s="25">
        <v>23.8</v>
      </c>
      <c r="AP128" s="26"/>
      <c r="AQ128" s="26"/>
      <c r="AR128" s="26"/>
      <c r="AS128" s="26"/>
      <c r="AT128" s="26"/>
      <c r="AU128" s="26"/>
      <c r="AV128" s="26"/>
      <c r="AW128" s="26"/>
      <c r="AX128" s="26"/>
      <c r="AY128" s="26"/>
      <c r="AZ128" s="26"/>
      <c r="BA128" s="26"/>
      <c r="BB128" s="26"/>
      <c r="BC128" s="26"/>
      <c r="BD128" s="24">
        <v>16.57</v>
      </c>
      <c r="BE128" s="26"/>
      <c r="BF128" s="26"/>
      <c r="BG128" s="26"/>
      <c r="BH128" s="26"/>
      <c r="BI128" s="26"/>
      <c r="BJ128" s="24">
        <v>17.25</v>
      </c>
      <c r="BK128" s="24">
        <v>26.28</v>
      </c>
      <c r="BL128" s="26"/>
      <c r="BM128" s="26"/>
      <c r="BN128" s="24">
        <v>41.48</v>
      </c>
      <c r="BO128" s="24">
        <v>0.35</v>
      </c>
      <c r="BP128" s="24">
        <v>6.88</v>
      </c>
      <c r="BQ128" s="24">
        <v>7.69</v>
      </c>
      <c r="BR128" s="24">
        <v>14.36</v>
      </c>
      <c r="BS128" s="57">
        <v>1.2</v>
      </c>
      <c r="BT128" s="91">
        <v>16.6</v>
      </c>
      <c r="BU128" s="57">
        <v>0.4</v>
      </c>
      <c r="BV128" s="57">
        <v>5.35</v>
      </c>
      <c r="BW128" s="26"/>
      <c r="BX128" s="24">
        <v>3000.0</v>
      </c>
      <c r="BY128" s="24" t="s">
        <v>123</v>
      </c>
      <c r="BZ128" s="28">
        <v>2700.0</v>
      </c>
      <c r="CA128" s="29" t="s">
        <v>124</v>
      </c>
      <c r="CB128" s="30">
        <v>3000.0</v>
      </c>
      <c r="CC128" s="31"/>
      <c r="CD128" s="28">
        <v>3000.0</v>
      </c>
      <c r="CE128" s="32" t="e">
        <v>#REF!</v>
      </c>
      <c r="CF128" s="33"/>
      <c r="CG128" s="34">
        <v>0.0</v>
      </c>
      <c r="CH128" s="35">
        <v>0.0</v>
      </c>
      <c r="CI128" s="36">
        <v>8.0</v>
      </c>
      <c r="CJ128" s="36">
        <v>620.0</v>
      </c>
      <c r="CK128" s="93">
        <f t="shared" si="5"/>
        <v>4</v>
      </c>
      <c r="CL128" s="36">
        <v>624.0</v>
      </c>
      <c r="CM128" s="38">
        <v>190.0</v>
      </c>
      <c r="CN128" s="36">
        <v>0.0</v>
      </c>
      <c r="CO128" s="39">
        <v>23.8</v>
      </c>
      <c r="CP128" s="40">
        <v>0.0</v>
      </c>
      <c r="CQ128" s="36">
        <v>55.0</v>
      </c>
      <c r="CR128" s="36">
        <v>55.0</v>
      </c>
      <c r="CS128" s="36">
        <v>10.0</v>
      </c>
      <c r="CT128" s="41"/>
      <c r="CU128" s="42"/>
      <c r="CV128" s="43"/>
      <c r="CW128" s="44">
        <v>10.0</v>
      </c>
      <c r="CX128" s="44" t="s">
        <v>138</v>
      </c>
      <c r="CY128" s="44" t="s">
        <v>139</v>
      </c>
      <c r="CZ128" s="45"/>
      <c r="DA128" s="44">
        <v>3000.0</v>
      </c>
      <c r="DB128" s="44">
        <v>0.0</v>
      </c>
      <c r="DC128" s="46" t="s">
        <v>127</v>
      </c>
      <c r="DD128" s="47">
        <v>46245.0</v>
      </c>
      <c r="DE128" s="43"/>
      <c r="DF128" s="43"/>
      <c r="DG128" s="48" t="s">
        <v>128</v>
      </c>
      <c r="DH128" s="48" t="s">
        <v>128</v>
      </c>
      <c r="DI128" s="48" t="s">
        <v>128</v>
      </c>
      <c r="DJ128" s="49">
        <v>1.0</v>
      </c>
      <c r="DK128" s="48" t="b">
        <v>0</v>
      </c>
      <c r="DL128" s="50" t="s">
        <v>415</v>
      </c>
      <c r="DM128" s="50" t="s">
        <v>131</v>
      </c>
      <c r="DN128" s="50" t="s">
        <v>416</v>
      </c>
      <c r="DO128" s="49">
        <v>0.47</v>
      </c>
      <c r="DP128" s="48" t="s">
        <v>128</v>
      </c>
      <c r="DQ128" s="48" t="s">
        <v>128</v>
      </c>
      <c r="DR128" s="51"/>
      <c r="DS128" s="48" t="s">
        <v>134</v>
      </c>
    </row>
    <row r="129">
      <c r="A129" s="52" t="s">
        <v>118</v>
      </c>
      <c r="B129" s="53">
        <v>3.0</v>
      </c>
      <c r="C129" s="52" t="s">
        <v>119</v>
      </c>
      <c r="D129" s="53">
        <v>648803.0</v>
      </c>
      <c r="E129" s="52" t="s">
        <v>189</v>
      </c>
      <c r="F129" s="52" t="s">
        <v>448</v>
      </c>
      <c r="G129" s="52" t="s">
        <v>449</v>
      </c>
      <c r="H129" s="53">
        <v>81879.0</v>
      </c>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81"/>
      <c r="BU129" s="54"/>
      <c r="BV129" s="54"/>
      <c r="BW129" s="54"/>
      <c r="BX129" s="53">
        <v>1500.0</v>
      </c>
      <c r="BY129" s="53" t="s">
        <v>123</v>
      </c>
      <c r="BZ129" s="58">
        <v>1500.0</v>
      </c>
      <c r="CA129" s="72"/>
      <c r="CB129" s="82"/>
      <c r="CC129" s="31"/>
      <c r="CD129" s="58">
        <v>1500.0</v>
      </c>
      <c r="CE129" s="83" t="s">
        <v>185</v>
      </c>
      <c r="CF129" s="60"/>
      <c r="CG129" s="61">
        <v>0.0</v>
      </c>
      <c r="CH129" s="84"/>
      <c r="CI129" s="63">
        <v>0.0</v>
      </c>
      <c r="CJ129" s="63">
        <v>620.0</v>
      </c>
      <c r="CK129" s="94">
        <f t="shared" si="5"/>
        <v>4</v>
      </c>
      <c r="CL129" s="63">
        <v>624.0</v>
      </c>
      <c r="CM129" s="65">
        <v>0.0</v>
      </c>
      <c r="CN129" s="63">
        <v>0.0</v>
      </c>
      <c r="CO129" s="66">
        <v>0.0</v>
      </c>
      <c r="CP129" s="67">
        <v>0.0</v>
      </c>
      <c r="CQ129" s="63">
        <v>0.0</v>
      </c>
      <c r="CR129" s="63">
        <v>0.0</v>
      </c>
      <c r="CS129" s="63">
        <v>0.0</v>
      </c>
      <c r="CT129" s="68"/>
      <c r="CU129" s="69"/>
      <c r="CV129" s="70"/>
      <c r="CW129" s="71">
        <v>5.0</v>
      </c>
      <c r="CX129" s="71" t="s">
        <v>450</v>
      </c>
      <c r="CY129" s="71" t="s">
        <v>451</v>
      </c>
      <c r="CZ129" s="45"/>
      <c r="DA129" s="43"/>
      <c r="DB129" s="44">
        <v>0.0</v>
      </c>
      <c r="DC129" s="43"/>
      <c r="DD129" s="78"/>
      <c r="DE129" s="43"/>
      <c r="DF129" s="43"/>
      <c r="DG129" s="48" t="s">
        <v>128</v>
      </c>
      <c r="DH129" s="48" t="s">
        <v>128</v>
      </c>
      <c r="DI129" s="85" t="str">
        <f>+ OFF 30 DIAS SIN VENTA</f>
        <v>#ERROR!</v>
      </c>
      <c r="DJ129" s="49">
        <v>1.0</v>
      </c>
      <c r="DK129" s="48" t="b">
        <v>0</v>
      </c>
      <c r="DL129" s="50" t="s">
        <v>415</v>
      </c>
      <c r="DM129" s="50" t="s">
        <v>131</v>
      </c>
      <c r="DN129" s="50" t="s">
        <v>416</v>
      </c>
      <c r="DO129" s="49">
        <v>0.47</v>
      </c>
      <c r="DP129" s="48" t="s">
        <v>128</v>
      </c>
      <c r="DQ129" s="86" t="str">
        <f>+ OFF 30 DIAS SIN VENTA</f>
        <v>#ERROR!</v>
      </c>
      <c r="DR129" s="51"/>
      <c r="DS129" s="48" t="s">
        <v>134</v>
      </c>
    </row>
    <row r="130">
      <c r="A130" s="23" t="s">
        <v>118</v>
      </c>
      <c r="B130" s="24">
        <v>3.0</v>
      </c>
      <c r="C130" s="23" t="s">
        <v>119</v>
      </c>
      <c r="D130" s="24">
        <v>626041.0</v>
      </c>
      <c r="E130" s="23" t="s">
        <v>135</v>
      </c>
      <c r="F130" s="23" t="s">
        <v>452</v>
      </c>
      <c r="G130" s="23" t="s">
        <v>453</v>
      </c>
      <c r="H130" s="24">
        <v>81879.0</v>
      </c>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7"/>
      <c r="BU130" s="26"/>
      <c r="BV130" s="26"/>
      <c r="BW130" s="26"/>
      <c r="BX130" s="24">
        <v>2400.0</v>
      </c>
      <c r="BY130" s="24" t="s">
        <v>123</v>
      </c>
      <c r="BZ130" s="28">
        <v>2400.0</v>
      </c>
      <c r="CA130" s="72"/>
      <c r="CB130" s="82"/>
      <c r="CC130" s="31"/>
      <c r="CD130" s="28">
        <v>2400.0</v>
      </c>
      <c r="CE130" s="88" t="s">
        <v>185</v>
      </c>
      <c r="CF130" s="33"/>
      <c r="CG130" s="34">
        <v>0.0</v>
      </c>
      <c r="CH130" s="89"/>
      <c r="CI130" s="36">
        <v>0.0</v>
      </c>
      <c r="CJ130" s="36">
        <v>620.0</v>
      </c>
      <c r="CK130" s="93">
        <f t="shared" si="5"/>
        <v>4</v>
      </c>
      <c r="CL130" s="36">
        <v>624.0</v>
      </c>
      <c r="CM130" s="38">
        <v>0.0</v>
      </c>
      <c r="CN130" s="36">
        <v>0.0</v>
      </c>
      <c r="CO130" s="39">
        <v>0.0</v>
      </c>
      <c r="CP130" s="40">
        <v>0.0</v>
      </c>
      <c r="CQ130" s="36">
        <v>0.0</v>
      </c>
      <c r="CR130" s="36">
        <v>0.0</v>
      </c>
      <c r="CS130" s="36">
        <v>0.0</v>
      </c>
      <c r="CT130" s="41"/>
      <c r="CU130" s="42"/>
      <c r="CV130" s="43"/>
      <c r="CW130" s="44">
        <v>8.0</v>
      </c>
      <c r="CX130" s="44" t="s">
        <v>125</v>
      </c>
      <c r="CY130" s="44" t="s">
        <v>126</v>
      </c>
      <c r="CZ130" s="45"/>
      <c r="DA130" s="43"/>
      <c r="DB130" s="44">
        <v>0.0</v>
      </c>
      <c r="DC130" s="43"/>
      <c r="DD130" s="78"/>
      <c r="DE130" s="43"/>
      <c r="DF130" s="43"/>
      <c r="DG130" s="48" t="s">
        <v>128</v>
      </c>
      <c r="DH130" s="48" t="s">
        <v>128</v>
      </c>
      <c r="DI130" s="85" t="str">
        <f>+ OFF 30 DIAS SIN VENTA</f>
        <v>#ERROR!</v>
      </c>
      <c r="DJ130" s="49">
        <v>1.0</v>
      </c>
      <c r="DK130" s="48" t="b">
        <v>0</v>
      </c>
      <c r="DL130" s="50" t="s">
        <v>415</v>
      </c>
      <c r="DM130" s="50" t="s">
        <v>131</v>
      </c>
      <c r="DN130" s="50" t="s">
        <v>416</v>
      </c>
      <c r="DO130" s="49">
        <v>0.47</v>
      </c>
      <c r="DP130" s="48" t="s">
        <v>128</v>
      </c>
      <c r="DQ130" s="86" t="str">
        <f>+ OFF 30 DIAS SIN VENTA</f>
        <v>#ERROR!</v>
      </c>
      <c r="DR130" s="51"/>
      <c r="DS130" s="48" t="s">
        <v>134</v>
      </c>
    </row>
    <row r="131">
      <c r="A131" s="52" t="s">
        <v>118</v>
      </c>
      <c r="B131" s="53">
        <v>3.0</v>
      </c>
      <c r="C131" s="52" t="s">
        <v>119</v>
      </c>
      <c r="D131" s="53">
        <v>536832.0</v>
      </c>
      <c r="E131" s="52" t="s">
        <v>158</v>
      </c>
      <c r="F131" s="52" t="s">
        <v>454</v>
      </c>
      <c r="G131" s="52" t="s">
        <v>455</v>
      </c>
      <c r="H131" s="53">
        <v>81879.0</v>
      </c>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81"/>
      <c r="BU131" s="54"/>
      <c r="BV131" s="54"/>
      <c r="BW131" s="54"/>
      <c r="BX131" s="53">
        <v>1.0</v>
      </c>
      <c r="BY131" s="53" t="s">
        <v>123</v>
      </c>
      <c r="BZ131" s="87">
        <v>1.0</v>
      </c>
      <c r="CA131" s="72"/>
      <c r="CB131" s="82"/>
      <c r="CC131" s="31"/>
      <c r="CD131" s="58">
        <v>1.0</v>
      </c>
      <c r="CE131" s="83" t="s">
        <v>185</v>
      </c>
      <c r="CF131" s="60"/>
      <c r="CG131" s="61">
        <v>0.0</v>
      </c>
      <c r="CH131" s="84"/>
      <c r="CI131" s="63">
        <v>0.0</v>
      </c>
      <c r="CJ131" s="63">
        <v>620.0</v>
      </c>
      <c r="CK131" s="94">
        <f t="shared" si="5"/>
        <v>4</v>
      </c>
      <c r="CL131" s="63">
        <v>624.0</v>
      </c>
      <c r="CM131" s="65">
        <v>0.0</v>
      </c>
      <c r="CN131" s="63">
        <v>0.0</v>
      </c>
      <c r="CO131" s="66">
        <v>0.0</v>
      </c>
      <c r="CP131" s="67">
        <v>0.0</v>
      </c>
      <c r="CQ131" s="63">
        <v>0.0</v>
      </c>
      <c r="CR131" s="63">
        <v>0.0</v>
      </c>
      <c r="CS131" s="63">
        <v>0.0</v>
      </c>
      <c r="CT131" s="68"/>
      <c r="CU131" s="69"/>
      <c r="CV131" s="70"/>
      <c r="CW131" s="71">
        <v>1.0</v>
      </c>
      <c r="CX131" s="71">
        <v>1.0</v>
      </c>
      <c r="CY131" s="71">
        <v>0.1</v>
      </c>
      <c r="CZ131" s="45"/>
      <c r="DA131" s="43"/>
      <c r="DB131" s="44">
        <v>0.0</v>
      </c>
      <c r="DC131" s="43"/>
      <c r="DD131" s="78"/>
      <c r="DE131" s="43"/>
      <c r="DF131" s="43"/>
      <c r="DG131" s="48" t="s">
        <v>128</v>
      </c>
      <c r="DH131" s="48" t="s">
        <v>131</v>
      </c>
      <c r="DI131" s="48" t="s">
        <v>188</v>
      </c>
      <c r="DJ131" s="49">
        <v>1.0</v>
      </c>
      <c r="DK131" s="48" t="b">
        <v>0</v>
      </c>
      <c r="DL131" s="50" t="s">
        <v>415</v>
      </c>
      <c r="DM131" s="50" t="s">
        <v>131</v>
      </c>
      <c r="DN131" s="50" t="s">
        <v>416</v>
      </c>
      <c r="DO131" s="49">
        <v>0.47</v>
      </c>
      <c r="DP131" s="51"/>
      <c r="DQ131" s="48" t="s">
        <v>188</v>
      </c>
      <c r="DR131" s="51"/>
      <c r="DS131" s="48" t="s">
        <v>134</v>
      </c>
    </row>
    <row r="132">
      <c r="A132" s="23" t="s">
        <v>118</v>
      </c>
      <c r="B132" s="24">
        <v>3.0</v>
      </c>
      <c r="C132" s="23" t="s">
        <v>119</v>
      </c>
      <c r="D132" s="24">
        <v>680588.0</v>
      </c>
      <c r="E132" s="23" t="s">
        <v>251</v>
      </c>
      <c r="F132" s="23" t="s">
        <v>456</v>
      </c>
      <c r="G132" s="23" t="s">
        <v>457</v>
      </c>
      <c r="H132" s="24">
        <v>81879.0</v>
      </c>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7"/>
      <c r="BU132" s="26"/>
      <c r="BV132" s="26"/>
      <c r="BW132" s="26"/>
      <c r="BX132" s="24">
        <v>1800.0</v>
      </c>
      <c r="BY132" s="24" t="s">
        <v>123</v>
      </c>
      <c r="BZ132" s="28">
        <v>1800.0</v>
      </c>
      <c r="CA132" s="72"/>
      <c r="CB132" s="82"/>
      <c r="CC132" s="31"/>
      <c r="CD132" s="28">
        <v>1800.0</v>
      </c>
      <c r="CE132" s="88" t="s">
        <v>185</v>
      </c>
      <c r="CF132" s="33"/>
      <c r="CG132" s="34">
        <v>0.0</v>
      </c>
      <c r="CH132" s="89"/>
      <c r="CI132" s="36">
        <v>0.0</v>
      </c>
      <c r="CJ132" s="36">
        <v>620.0</v>
      </c>
      <c r="CK132" s="93">
        <f t="shared" si="5"/>
        <v>4</v>
      </c>
      <c r="CL132" s="36">
        <v>624.0</v>
      </c>
      <c r="CM132" s="38">
        <v>0.0</v>
      </c>
      <c r="CN132" s="36">
        <v>0.0</v>
      </c>
      <c r="CO132" s="39">
        <v>0.0</v>
      </c>
      <c r="CP132" s="40">
        <v>0.0</v>
      </c>
      <c r="CQ132" s="36">
        <v>0.0</v>
      </c>
      <c r="CR132" s="36">
        <v>0.0</v>
      </c>
      <c r="CS132" s="36">
        <v>0.0</v>
      </c>
      <c r="CT132" s="41"/>
      <c r="CU132" s="42"/>
      <c r="CV132" s="43"/>
      <c r="CW132" s="44">
        <v>6.0</v>
      </c>
      <c r="CX132" s="44" t="s">
        <v>401</v>
      </c>
      <c r="CY132" s="44" t="s">
        <v>402</v>
      </c>
      <c r="CZ132" s="45"/>
      <c r="DA132" s="43"/>
      <c r="DB132" s="44">
        <v>0.0</v>
      </c>
      <c r="DC132" s="43"/>
      <c r="DD132" s="78"/>
      <c r="DE132" s="43"/>
      <c r="DF132" s="43"/>
      <c r="DG132" s="48" t="s">
        <v>128</v>
      </c>
      <c r="DH132" s="48" t="s">
        <v>128</v>
      </c>
      <c r="DI132" s="85" t="str">
        <f>+ OFF 30 DIAS SIN VENTA</f>
        <v>#ERROR!</v>
      </c>
      <c r="DJ132" s="49">
        <v>0.0</v>
      </c>
      <c r="DK132" s="48" t="b">
        <v>0</v>
      </c>
      <c r="DL132" s="50" t="s">
        <v>415</v>
      </c>
      <c r="DM132" s="50" t="s">
        <v>131</v>
      </c>
      <c r="DN132" s="50" t="s">
        <v>416</v>
      </c>
      <c r="DO132" s="49">
        <v>0.47</v>
      </c>
      <c r="DP132" s="48" t="s">
        <v>128</v>
      </c>
      <c r="DQ132" s="86" t="str">
        <f>+ OFF 30 DIAS SIN VENTA</f>
        <v>#ERROR!</v>
      </c>
      <c r="DR132" s="51"/>
      <c r="DS132" s="48" t="s">
        <v>134</v>
      </c>
    </row>
    <row r="133">
      <c r="A133" s="52" t="s">
        <v>118</v>
      </c>
      <c r="B133" s="53">
        <v>3.0</v>
      </c>
      <c r="C133" s="52" t="s">
        <v>119</v>
      </c>
      <c r="D133" s="53">
        <v>610881.0</v>
      </c>
      <c r="E133" s="52" t="s">
        <v>167</v>
      </c>
      <c r="F133" s="52" t="s">
        <v>458</v>
      </c>
      <c r="G133" s="52" t="s">
        <v>459</v>
      </c>
      <c r="H133" s="53">
        <v>81879.0</v>
      </c>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81"/>
      <c r="BU133" s="54"/>
      <c r="BV133" s="54"/>
      <c r="BW133" s="54"/>
      <c r="BX133" s="53">
        <v>2400.0</v>
      </c>
      <c r="BY133" s="53" t="s">
        <v>123</v>
      </c>
      <c r="BZ133" s="58">
        <v>2400.0</v>
      </c>
      <c r="CA133" s="72"/>
      <c r="CB133" s="82"/>
      <c r="CC133" s="31"/>
      <c r="CD133" s="58">
        <v>2400.0</v>
      </c>
      <c r="CE133" s="83" t="s">
        <v>185</v>
      </c>
      <c r="CF133" s="60"/>
      <c r="CG133" s="61">
        <v>0.0</v>
      </c>
      <c r="CH133" s="84"/>
      <c r="CI133" s="63">
        <v>0.0</v>
      </c>
      <c r="CJ133" s="63">
        <v>620.0</v>
      </c>
      <c r="CK133" s="94">
        <f t="shared" si="5"/>
        <v>4</v>
      </c>
      <c r="CL133" s="63">
        <v>624.0</v>
      </c>
      <c r="CM133" s="65">
        <v>0.0</v>
      </c>
      <c r="CN133" s="63">
        <v>0.0</v>
      </c>
      <c r="CO133" s="66">
        <v>0.0</v>
      </c>
      <c r="CP133" s="67">
        <v>0.0</v>
      </c>
      <c r="CQ133" s="63">
        <v>0.0</v>
      </c>
      <c r="CR133" s="63">
        <v>0.0</v>
      </c>
      <c r="CS133" s="63">
        <v>0.0</v>
      </c>
      <c r="CT133" s="68"/>
      <c r="CU133" s="69"/>
      <c r="CV133" s="70"/>
      <c r="CW133" s="71">
        <v>8.0</v>
      </c>
      <c r="CX133" s="71" t="s">
        <v>125</v>
      </c>
      <c r="CY133" s="71" t="s">
        <v>126</v>
      </c>
      <c r="CZ133" s="45"/>
      <c r="DA133" s="43"/>
      <c r="DB133" s="44">
        <v>0.0</v>
      </c>
      <c r="DC133" s="43"/>
      <c r="DD133" s="78"/>
      <c r="DE133" s="43"/>
      <c r="DF133" s="43"/>
      <c r="DG133" s="48" t="s">
        <v>128</v>
      </c>
      <c r="DH133" s="48" t="s">
        <v>128</v>
      </c>
      <c r="DI133" s="85" t="str">
        <f>+ OFF 30 DIAS SIN VENTA</f>
        <v>#ERROR!</v>
      </c>
      <c r="DJ133" s="49">
        <v>1.0</v>
      </c>
      <c r="DK133" s="48" t="b">
        <v>0</v>
      </c>
      <c r="DL133" s="50" t="s">
        <v>415</v>
      </c>
      <c r="DM133" s="50" t="s">
        <v>131</v>
      </c>
      <c r="DN133" s="50" t="s">
        <v>416</v>
      </c>
      <c r="DO133" s="49">
        <v>0.47</v>
      </c>
      <c r="DP133" s="48" t="s">
        <v>128</v>
      </c>
      <c r="DQ133" s="86" t="str">
        <f>+ OFF 30 DIAS SIN VENTA</f>
        <v>#ERROR!</v>
      </c>
      <c r="DR133" s="51"/>
      <c r="DS133" s="48" t="s">
        <v>134</v>
      </c>
    </row>
    <row r="134">
      <c r="A134" s="23" t="s">
        <v>118</v>
      </c>
      <c r="B134" s="24">
        <v>3.0</v>
      </c>
      <c r="C134" s="23" t="s">
        <v>119</v>
      </c>
      <c r="D134" s="24">
        <v>631195.0</v>
      </c>
      <c r="E134" s="23" t="s">
        <v>140</v>
      </c>
      <c r="F134" s="23" t="s">
        <v>460</v>
      </c>
      <c r="G134" s="23" t="s">
        <v>461</v>
      </c>
      <c r="H134" s="24">
        <v>81879.0</v>
      </c>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7"/>
      <c r="BU134" s="26"/>
      <c r="BV134" s="26"/>
      <c r="BW134" s="26"/>
      <c r="BX134" s="24">
        <v>2100.0</v>
      </c>
      <c r="BY134" s="24" t="s">
        <v>123</v>
      </c>
      <c r="BZ134" s="28">
        <v>2100.0</v>
      </c>
      <c r="CA134" s="72"/>
      <c r="CB134" s="82"/>
      <c r="CC134" s="31"/>
      <c r="CD134" s="28">
        <v>2100.0</v>
      </c>
      <c r="CE134" s="88" t="s">
        <v>185</v>
      </c>
      <c r="CF134" s="33"/>
      <c r="CG134" s="34">
        <v>0.0</v>
      </c>
      <c r="CH134" s="89"/>
      <c r="CI134" s="36">
        <v>0.0</v>
      </c>
      <c r="CJ134" s="36">
        <v>620.0</v>
      </c>
      <c r="CK134" s="93">
        <f t="shared" si="5"/>
        <v>4</v>
      </c>
      <c r="CL134" s="36">
        <v>624.0</v>
      </c>
      <c r="CM134" s="38">
        <v>0.0</v>
      </c>
      <c r="CN134" s="36">
        <v>0.0</v>
      </c>
      <c r="CO134" s="39">
        <v>0.0</v>
      </c>
      <c r="CP134" s="40">
        <v>0.0</v>
      </c>
      <c r="CQ134" s="36">
        <v>0.0</v>
      </c>
      <c r="CR134" s="36">
        <v>0.0</v>
      </c>
      <c r="CS134" s="36">
        <v>0.0</v>
      </c>
      <c r="CT134" s="41"/>
      <c r="CU134" s="42"/>
      <c r="CV134" s="43"/>
      <c r="CW134" s="44">
        <v>7.0</v>
      </c>
      <c r="CX134" s="44" t="s">
        <v>201</v>
      </c>
      <c r="CY134" s="44" t="s">
        <v>202</v>
      </c>
      <c r="CZ134" s="45"/>
      <c r="DA134" s="43"/>
      <c r="DB134" s="44">
        <v>0.0</v>
      </c>
      <c r="DC134" s="43"/>
      <c r="DD134" s="78"/>
      <c r="DE134" s="43"/>
      <c r="DF134" s="43"/>
      <c r="DG134" s="48" t="s">
        <v>128</v>
      </c>
      <c r="DH134" s="48" t="s">
        <v>128</v>
      </c>
      <c r="DI134" s="85" t="str">
        <f>+ OFF 30 DIAS SIN VENTA</f>
        <v>#ERROR!</v>
      </c>
      <c r="DJ134" s="49">
        <v>0.0</v>
      </c>
      <c r="DK134" s="48" t="b">
        <v>0</v>
      </c>
      <c r="DL134" s="50" t="s">
        <v>415</v>
      </c>
      <c r="DM134" s="50" t="s">
        <v>131</v>
      </c>
      <c r="DN134" s="50" t="s">
        <v>416</v>
      </c>
      <c r="DO134" s="49">
        <v>0.47</v>
      </c>
      <c r="DP134" s="48" t="s">
        <v>128</v>
      </c>
      <c r="DQ134" s="86" t="str">
        <f>+ OFF 30 DIAS SIN VENTA</f>
        <v>#ERROR!</v>
      </c>
      <c r="DR134" s="51"/>
      <c r="DS134" s="48" t="s">
        <v>134</v>
      </c>
    </row>
    <row r="135">
      <c r="A135" s="52" t="s">
        <v>118</v>
      </c>
      <c r="B135" s="53">
        <v>3.0</v>
      </c>
      <c r="C135" s="52" t="s">
        <v>119</v>
      </c>
      <c r="D135" s="53">
        <v>680909.0</v>
      </c>
      <c r="E135" s="52" t="s">
        <v>288</v>
      </c>
      <c r="F135" s="52" t="s">
        <v>462</v>
      </c>
      <c r="G135" s="52" t="s">
        <v>463</v>
      </c>
      <c r="H135" s="53">
        <v>81879.0</v>
      </c>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81"/>
      <c r="BU135" s="54"/>
      <c r="BV135" s="54"/>
      <c r="BW135" s="54"/>
      <c r="BX135" s="53">
        <v>2400.0</v>
      </c>
      <c r="BY135" s="53" t="s">
        <v>123</v>
      </c>
      <c r="BZ135" s="58">
        <v>2400.0</v>
      </c>
      <c r="CA135" s="72"/>
      <c r="CB135" s="82"/>
      <c r="CC135" s="31"/>
      <c r="CD135" s="58">
        <v>2400.0</v>
      </c>
      <c r="CE135" s="83" t="s">
        <v>185</v>
      </c>
      <c r="CF135" s="60"/>
      <c r="CG135" s="61">
        <v>0.0</v>
      </c>
      <c r="CH135" s="84"/>
      <c r="CI135" s="63">
        <v>0.0</v>
      </c>
      <c r="CJ135" s="63">
        <v>620.0</v>
      </c>
      <c r="CK135" s="94">
        <f t="shared" si="5"/>
        <v>4</v>
      </c>
      <c r="CL135" s="63">
        <v>624.0</v>
      </c>
      <c r="CM135" s="65">
        <v>0.0</v>
      </c>
      <c r="CN135" s="63">
        <v>0.0</v>
      </c>
      <c r="CO135" s="66">
        <v>0.0</v>
      </c>
      <c r="CP135" s="67">
        <v>0.0</v>
      </c>
      <c r="CQ135" s="63">
        <v>0.0</v>
      </c>
      <c r="CR135" s="63">
        <v>0.0</v>
      </c>
      <c r="CS135" s="63">
        <v>0.0</v>
      </c>
      <c r="CT135" s="68"/>
      <c r="CU135" s="69"/>
      <c r="CV135" s="70"/>
      <c r="CW135" s="71">
        <v>8.0</v>
      </c>
      <c r="CX135" s="71" t="s">
        <v>125</v>
      </c>
      <c r="CY135" s="71" t="s">
        <v>126</v>
      </c>
      <c r="CZ135" s="45"/>
      <c r="DA135" s="43"/>
      <c r="DB135" s="44">
        <v>0.0</v>
      </c>
      <c r="DC135" s="43"/>
      <c r="DD135" s="78"/>
      <c r="DE135" s="43"/>
      <c r="DF135" s="43"/>
      <c r="DG135" s="48" t="s">
        <v>128</v>
      </c>
      <c r="DH135" s="48" t="s">
        <v>128</v>
      </c>
      <c r="DI135" s="85" t="str">
        <f>+ OFF 30 DIAS SIN VENTA</f>
        <v>#ERROR!</v>
      </c>
      <c r="DJ135" s="49">
        <v>1.0</v>
      </c>
      <c r="DK135" s="48" t="b">
        <v>0</v>
      </c>
      <c r="DL135" s="50" t="s">
        <v>415</v>
      </c>
      <c r="DM135" s="50" t="s">
        <v>131</v>
      </c>
      <c r="DN135" s="50" t="s">
        <v>416</v>
      </c>
      <c r="DO135" s="49">
        <v>0.47</v>
      </c>
      <c r="DP135" s="48" t="s">
        <v>128</v>
      </c>
      <c r="DQ135" s="86" t="str">
        <f>+ OFF 30 DIAS SIN VENTA</f>
        <v>#ERROR!</v>
      </c>
      <c r="DR135" s="51"/>
      <c r="DS135" s="48" t="s">
        <v>134</v>
      </c>
    </row>
    <row r="136">
      <c r="A136" s="23" t="s">
        <v>118</v>
      </c>
      <c r="B136" s="24">
        <v>3.0</v>
      </c>
      <c r="C136" s="23" t="s">
        <v>119</v>
      </c>
      <c r="D136" s="24">
        <v>604008.0</v>
      </c>
      <c r="E136" s="23" t="s">
        <v>176</v>
      </c>
      <c r="F136" s="23" t="s">
        <v>464</v>
      </c>
      <c r="G136" s="23" t="s">
        <v>465</v>
      </c>
      <c r="H136" s="24">
        <v>85339.0</v>
      </c>
      <c r="I136" s="24">
        <v>6.0</v>
      </c>
      <c r="J136" s="24">
        <v>0.0</v>
      </c>
      <c r="K136" s="24">
        <v>0.0</v>
      </c>
      <c r="L136" s="24">
        <v>0.0</v>
      </c>
      <c r="M136" s="24">
        <v>0.0</v>
      </c>
      <c r="N136" s="24">
        <v>0.0</v>
      </c>
      <c r="O136" s="24">
        <v>1.0</v>
      </c>
      <c r="P136" s="24">
        <v>0.0</v>
      </c>
      <c r="Q136" s="24">
        <v>0.0</v>
      </c>
      <c r="R136" s="24">
        <v>0.0</v>
      </c>
      <c r="S136" s="24">
        <v>1.0</v>
      </c>
      <c r="T136" s="24">
        <v>0.0</v>
      </c>
      <c r="U136" s="24">
        <v>0.0</v>
      </c>
      <c r="V136" s="24">
        <v>1.0</v>
      </c>
      <c r="W136" s="24">
        <v>0.0</v>
      </c>
      <c r="X136" s="24">
        <v>1.0</v>
      </c>
      <c r="Y136" s="24">
        <v>0.0</v>
      </c>
      <c r="Z136" s="24">
        <v>0.0</v>
      </c>
      <c r="AA136" s="24">
        <v>0.0</v>
      </c>
      <c r="AB136" s="24">
        <v>0.0</v>
      </c>
      <c r="AC136" s="24">
        <v>1.0</v>
      </c>
      <c r="AD136" s="24">
        <v>0.0</v>
      </c>
      <c r="AE136" s="24">
        <v>0.0</v>
      </c>
      <c r="AF136" s="24">
        <v>0.0</v>
      </c>
      <c r="AG136" s="24">
        <v>0.0</v>
      </c>
      <c r="AH136" s="24">
        <v>0.0</v>
      </c>
      <c r="AI136" s="24">
        <v>0.0</v>
      </c>
      <c r="AJ136" s="24">
        <v>0.0</v>
      </c>
      <c r="AK136" s="24">
        <v>0.0</v>
      </c>
      <c r="AL136" s="24">
        <v>0.0</v>
      </c>
      <c r="AM136" s="24">
        <v>0.0</v>
      </c>
      <c r="AN136" s="24">
        <v>1.0</v>
      </c>
      <c r="AO136" s="25">
        <v>21.0</v>
      </c>
      <c r="AP136" s="26"/>
      <c r="AQ136" s="26"/>
      <c r="AR136" s="26"/>
      <c r="AS136" s="26"/>
      <c r="AT136" s="26"/>
      <c r="AU136" s="24">
        <v>18.13</v>
      </c>
      <c r="AV136" s="26"/>
      <c r="AW136" s="26"/>
      <c r="AX136" s="26"/>
      <c r="AY136" s="24">
        <v>14.13</v>
      </c>
      <c r="AZ136" s="26"/>
      <c r="BA136" s="26"/>
      <c r="BB136" s="24">
        <v>16.65</v>
      </c>
      <c r="BC136" s="26"/>
      <c r="BD136" s="24">
        <v>19.83</v>
      </c>
      <c r="BE136" s="26"/>
      <c r="BF136" s="26"/>
      <c r="BG136" s="26"/>
      <c r="BH136" s="26"/>
      <c r="BI136" s="24">
        <v>33.02</v>
      </c>
      <c r="BJ136" s="26"/>
      <c r="BK136" s="26"/>
      <c r="BL136" s="26"/>
      <c r="BM136" s="26"/>
      <c r="BN136" s="26"/>
      <c r="BO136" s="24">
        <v>0.4</v>
      </c>
      <c r="BP136" s="24">
        <v>0.73</v>
      </c>
      <c r="BQ136" s="24">
        <v>2.61</v>
      </c>
      <c r="BR136" s="24">
        <v>3.13</v>
      </c>
      <c r="BS136" s="25">
        <v>6.64</v>
      </c>
      <c r="BT136" s="27"/>
      <c r="BU136" s="26"/>
      <c r="BV136" s="26"/>
      <c r="BW136" s="26"/>
      <c r="BX136" s="24">
        <v>2100.0</v>
      </c>
      <c r="BY136" s="24" t="s">
        <v>123</v>
      </c>
      <c r="BZ136" s="28">
        <v>1800.0</v>
      </c>
      <c r="CA136" s="29" t="s">
        <v>124</v>
      </c>
      <c r="CB136" s="30">
        <v>2100.0</v>
      </c>
      <c r="CC136" s="31"/>
      <c r="CD136" s="28">
        <v>2100.0</v>
      </c>
      <c r="CE136" s="32" t="e">
        <v>#REF!</v>
      </c>
      <c r="CF136" s="33"/>
      <c r="CG136" s="34">
        <v>0.0</v>
      </c>
      <c r="CH136" s="35">
        <v>0.0</v>
      </c>
      <c r="CI136" s="36">
        <v>6.0</v>
      </c>
      <c r="CJ136" s="36">
        <v>3108.0</v>
      </c>
      <c r="CK136" s="37">
        <v>-47.0</v>
      </c>
      <c r="CL136" s="36">
        <v>3061.0</v>
      </c>
      <c r="CM136" s="38">
        <v>126.0</v>
      </c>
      <c r="CN136" s="36">
        <v>0.0</v>
      </c>
      <c r="CO136" s="39">
        <v>21.0</v>
      </c>
      <c r="CP136" s="40">
        <v>0.0</v>
      </c>
      <c r="CQ136" s="36">
        <v>4.0</v>
      </c>
      <c r="CR136" s="36">
        <v>4.0</v>
      </c>
      <c r="CS136" s="36">
        <v>40.0</v>
      </c>
      <c r="CT136" s="41"/>
      <c r="CU136" s="42"/>
      <c r="CV136" s="43"/>
      <c r="CW136" s="44">
        <v>7.0</v>
      </c>
      <c r="CX136" s="44" t="s">
        <v>201</v>
      </c>
      <c r="CY136" s="44" t="s">
        <v>202</v>
      </c>
      <c r="CZ136" s="45"/>
      <c r="DA136" s="44">
        <v>2100.0</v>
      </c>
      <c r="DB136" s="44">
        <v>0.0</v>
      </c>
      <c r="DC136" s="43"/>
      <c r="DD136" s="78"/>
      <c r="DE136" s="43"/>
      <c r="DF136" s="43"/>
      <c r="DG136" s="48" t="s">
        <v>128</v>
      </c>
      <c r="DH136" s="48" t="s">
        <v>128</v>
      </c>
      <c r="DI136" s="48" t="s">
        <v>128</v>
      </c>
      <c r="DJ136" s="49">
        <v>1.0</v>
      </c>
      <c r="DK136" s="48" t="b">
        <v>0</v>
      </c>
      <c r="DL136" s="50" t="s">
        <v>466</v>
      </c>
      <c r="DM136" s="50" t="s">
        <v>131</v>
      </c>
      <c r="DN136" s="50" t="s">
        <v>467</v>
      </c>
      <c r="DO136" s="49">
        <v>0.86</v>
      </c>
      <c r="DP136" s="48" t="s">
        <v>128</v>
      </c>
      <c r="DQ136" s="48" t="s">
        <v>128</v>
      </c>
      <c r="DR136" s="51"/>
      <c r="DS136" s="48" t="s">
        <v>134</v>
      </c>
    </row>
    <row r="137">
      <c r="A137" s="52" t="s">
        <v>118</v>
      </c>
      <c r="B137" s="53">
        <v>3.0</v>
      </c>
      <c r="C137" s="52" t="s">
        <v>119</v>
      </c>
      <c r="D137" s="53">
        <v>588071.0</v>
      </c>
      <c r="E137" s="52" t="s">
        <v>152</v>
      </c>
      <c r="F137" s="52" t="s">
        <v>468</v>
      </c>
      <c r="G137" s="52" t="s">
        <v>469</v>
      </c>
      <c r="H137" s="53">
        <v>85339.0</v>
      </c>
      <c r="I137" s="53">
        <v>49.0</v>
      </c>
      <c r="J137" s="53">
        <v>0.0</v>
      </c>
      <c r="K137" s="53">
        <v>0.0</v>
      </c>
      <c r="L137" s="53">
        <v>0.0</v>
      </c>
      <c r="M137" s="53">
        <v>2.0</v>
      </c>
      <c r="N137" s="53">
        <v>2.0</v>
      </c>
      <c r="O137" s="53">
        <v>1.0</v>
      </c>
      <c r="P137" s="53">
        <v>1.0</v>
      </c>
      <c r="Q137" s="53">
        <v>5.0</v>
      </c>
      <c r="R137" s="53">
        <v>2.0</v>
      </c>
      <c r="S137" s="53">
        <v>2.0</v>
      </c>
      <c r="T137" s="53">
        <v>5.0</v>
      </c>
      <c r="U137" s="53">
        <v>3.0</v>
      </c>
      <c r="V137" s="53">
        <v>1.0</v>
      </c>
      <c r="W137" s="53">
        <v>4.0</v>
      </c>
      <c r="X137" s="53">
        <v>2.0</v>
      </c>
      <c r="Y137" s="53">
        <v>5.0</v>
      </c>
      <c r="Z137" s="53">
        <v>2.0</v>
      </c>
      <c r="AA137" s="53">
        <v>1.0</v>
      </c>
      <c r="AB137" s="53">
        <v>3.0</v>
      </c>
      <c r="AC137" s="53">
        <v>1.0</v>
      </c>
      <c r="AD137" s="53">
        <v>3.0</v>
      </c>
      <c r="AE137" s="53">
        <v>1.0</v>
      </c>
      <c r="AF137" s="53">
        <v>0.0</v>
      </c>
      <c r="AG137" s="53">
        <v>1.0</v>
      </c>
      <c r="AH137" s="53">
        <v>1.0</v>
      </c>
      <c r="AI137" s="53">
        <v>0.0</v>
      </c>
      <c r="AJ137" s="53">
        <v>0.0</v>
      </c>
      <c r="AK137" s="53">
        <v>1.0</v>
      </c>
      <c r="AL137" s="53">
        <v>0.0</v>
      </c>
      <c r="AM137" s="53">
        <v>0.0</v>
      </c>
      <c r="AN137" s="53">
        <v>0.0</v>
      </c>
      <c r="AO137" s="25">
        <v>20.7</v>
      </c>
      <c r="AP137" s="54"/>
      <c r="AQ137" s="54"/>
      <c r="AR137" s="54"/>
      <c r="AS137" s="53">
        <v>18.82</v>
      </c>
      <c r="AT137" s="53">
        <v>22.18</v>
      </c>
      <c r="AU137" s="53">
        <v>17.1</v>
      </c>
      <c r="AV137" s="53">
        <v>26.17</v>
      </c>
      <c r="AW137" s="53">
        <v>16.36</v>
      </c>
      <c r="AX137" s="53">
        <v>20.18</v>
      </c>
      <c r="AY137" s="53">
        <v>22.98</v>
      </c>
      <c r="AZ137" s="53">
        <v>17.44</v>
      </c>
      <c r="BA137" s="53">
        <v>20.44</v>
      </c>
      <c r="BB137" s="53">
        <v>14.68</v>
      </c>
      <c r="BC137" s="53">
        <v>18.09</v>
      </c>
      <c r="BD137" s="53">
        <v>15.26</v>
      </c>
      <c r="BE137" s="53">
        <v>25.8</v>
      </c>
      <c r="BF137" s="53">
        <v>28.01</v>
      </c>
      <c r="BG137" s="53">
        <v>17.53</v>
      </c>
      <c r="BH137" s="53">
        <v>22.26</v>
      </c>
      <c r="BI137" s="53">
        <v>22.02</v>
      </c>
      <c r="BJ137" s="53">
        <v>25.56</v>
      </c>
      <c r="BK137" s="53">
        <v>17.77</v>
      </c>
      <c r="BL137" s="54"/>
      <c r="BM137" s="53">
        <v>19.45</v>
      </c>
      <c r="BN137" s="53">
        <v>27.45</v>
      </c>
      <c r="BO137" s="53">
        <v>0.34</v>
      </c>
      <c r="BP137" s="53">
        <v>2.8</v>
      </c>
      <c r="BQ137" s="53">
        <v>2.97</v>
      </c>
      <c r="BR137" s="53">
        <v>5.57</v>
      </c>
      <c r="BS137" s="25">
        <v>6.21</v>
      </c>
      <c r="BT137" s="56">
        <v>19.0</v>
      </c>
      <c r="BU137" s="25">
        <v>4.5</v>
      </c>
      <c r="BV137" s="55">
        <v>6.62</v>
      </c>
      <c r="BW137" s="53">
        <v>300.0</v>
      </c>
      <c r="BX137" s="53">
        <v>2100.0</v>
      </c>
      <c r="BY137" s="53" t="s">
        <v>123</v>
      </c>
      <c r="BZ137" s="58">
        <v>2100.0</v>
      </c>
      <c r="CA137" s="72"/>
      <c r="CB137" s="30">
        <v>2100.0</v>
      </c>
      <c r="CC137" s="31"/>
      <c r="CD137" s="58">
        <v>2100.0</v>
      </c>
      <c r="CE137" s="59" t="e">
        <v>#REF!</v>
      </c>
      <c r="CF137" s="60"/>
      <c r="CG137" s="61">
        <v>0.0</v>
      </c>
      <c r="CH137" s="62">
        <v>0.0</v>
      </c>
      <c r="CI137" s="63">
        <v>49.0</v>
      </c>
      <c r="CJ137" s="63">
        <v>3108.0</v>
      </c>
      <c r="CK137" s="64">
        <v>-47.0</v>
      </c>
      <c r="CL137" s="63">
        <v>3061.0</v>
      </c>
      <c r="CM137" s="65">
        <v>1014.0</v>
      </c>
      <c r="CN137" s="63">
        <v>0.0</v>
      </c>
      <c r="CO137" s="66">
        <v>20.7</v>
      </c>
      <c r="CP137" s="67">
        <v>0.0</v>
      </c>
      <c r="CQ137" s="63">
        <v>137.0</v>
      </c>
      <c r="CR137" s="63">
        <v>137.0</v>
      </c>
      <c r="CS137" s="63">
        <v>304.0</v>
      </c>
      <c r="CT137" s="68"/>
      <c r="CU137" s="69"/>
      <c r="CV137" s="70"/>
      <c r="CW137" s="71">
        <v>7.0</v>
      </c>
      <c r="CX137" s="71" t="s">
        <v>201</v>
      </c>
      <c r="CY137" s="71" t="s">
        <v>202</v>
      </c>
      <c r="CZ137" s="45"/>
      <c r="DA137" s="44">
        <v>2100.0</v>
      </c>
      <c r="DB137" s="44">
        <v>0.0</v>
      </c>
      <c r="DC137" s="43"/>
      <c r="DD137" s="78"/>
      <c r="DE137" s="43"/>
      <c r="DF137" s="43"/>
      <c r="DG137" s="48" t="s">
        <v>128</v>
      </c>
      <c r="DH137" s="48" t="s">
        <v>128</v>
      </c>
      <c r="DI137" s="48" t="s">
        <v>128</v>
      </c>
      <c r="DJ137" s="49">
        <v>1.0</v>
      </c>
      <c r="DK137" s="48" t="b">
        <v>0</v>
      </c>
      <c r="DL137" s="50" t="s">
        <v>466</v>
      </c>
      <c r="DM137" s="50" t="s">
        <v>131</v>
      </c>
      <c r="DN137" s="50" t="s">
        <v>467</v>
      </c>
      <c r="DO137" s="49">
        <v>0.86</v>
      </c>
      <c r="DP137" s="48" t="s">
        <v>128</v>
      </c>
      <c r="DQ137" s="48" t="s">
        <v>128</v>
      </c>
      <c r="DR137" s="51"/>
      <c r="DS137" s="48" t="s">
        <v>134</v>
      </c>
    </row>
    <row r="138">
      <c r="A138" s="23" t="s">
        <v>118</v>
      </c>
      <c r="B138" s="24">
        <v>3.0</v>
      </c>
      <c r="C138" s="23" t="s">
        <v>119</v>
      </c>
      <c r="D138" s="24">
        <v>648803.0</v>
      </c>
      <c r="E138" s="23" t="s">
        <v>189</v>
      </c>
      <c r="F138" s="23" t="s">
        <v>470</v>
      </c>
      <c r="G138" s="23" t="s">
        <v>471</v>
      </c>
      <c r="H138" s="24">
        <v>85339.0</v>
      </c>
      <c r="I138" s="24">
        <v>9.0</v>
      </c>
      <c r="J138" s="24">
        <v>0.0</v>
      </c>
      <c r="K138" s="24">
        <v>0.0</v>
      </c>
      <c r="L138" s="24">
        <v>0.0</v>
      </c>
      <c r="M138" s="24">
        <v>0.0</v>
      </c>
      <c r="N138" s="24">
        <v>0.0</v>
      </c>
      <c r="O138" s="24">
        <v>1.0</v>
      </c>
      <c r="P138" s="24">
        <v>0.0</v>
      </c>
      <c r="Q138" s="24">
        <v>1.0</v>
      </c>
      <c r="R138" s="24">
        <v>0.0</v>
      </c>
      <c r="S138" s="24">
        <v>1.0</v>
      </c>
      <c r="T138" s="24">
        <v>0.0</v>
      </c>
      <c r="U138" s="24">
        <v>0.0</v>
      </c>
      <c r="V138" s="24">
        <v>1.0</v>
      </c>
      <c r="W138" s="24">
        <v>1.0</v>
      </c>
      <c r="X138" s="24">
        <v>0.0</v>
      </c>
      <c r="Y138" s="24">
        <v>1.0</v>
      </c>
      <c r="Z138" s="24">
        <v>1.0</v>
      </c>
      <c r="AA138" s="24">
        <v>0.0</v>
      </c>
      <c r="AB138" s="24">
        <v>0.0</v>
      </c>
      <c r="AC138" s="24">
        <v>0.0</v>
      </c>
      <c r="AD138" s="24">
        <v>0.0</v>
      </c>
      <c r="AE138" s="24">
        <v>1.0</v>
      </c>
      <c r="AF138" s="24">
        <v>1.0</v>
      </c>
      <c r="AG138" s="24">
        <v>0.0</v>
      </c>
      <c r="AH138" s="24">
        <v>0.0</v>
      </c>
      <c r="AI138" s="24">
        <v>0.0</v>
      </c>
      <c r="AJ138" s="24">
        <v>0.0</v>
      </c>
      <c r="AK138" s="24">
        <v>0.0</v>
      </c>
      <c r="AL138" s="24">
        <v>0.0</v>
      </c>
      <c r="AM138" s="24">
        <v>0.0</v>
      </c>
      <c r="AN138" s="24">
        <v>0.0</v>
      </c>
      <c r="AO138" s="25">
        <v>21.3</v>
      </c>
      <c r="AP138" s="26"/>
      <c r="AQ138" s="26"/>
      <c r="AR138" s="26"/>
      <c r="AS138" s="26"/>
      <c r="AT138" s="26"/>
      <c r="AU138" s="24">
        <v>20.1</v>
      </c>
      <c r="AV138" s="26"/>
      <c r="AW138" s="24">
        <v>14.68</v>
      </c>
      <c r="AX138" s="26"/>
      <c r="AY138" s="24">
        <v>19.2</v>
      </c>
      <c r="AZ138" s="26"/>
      <c r="BA138" s="26"/>
      <c r="BB138" s="24">
        <v>18.1</v>
      </c>
      <c r="BC138" s="24">
        <v>26.77</v>
      </c>
      <c r="BD138" s="26"/>
      <c r="BE138" s="24">
        <v>16.8</v>
      </c>
      <c r="BF138" s="24">
        <v>16.35</v>
      </c>
      <c r="BG138" s="26"/>
      <c r="BH138" s="26"/>
      <c r="BI138" s="26"/>
      <c r="BJ138" s="26"/>
      <c r="BK138" s="24">
        <v>29.57</v>
      </c>
      <c r="BL138" s="24">
        <v>29.68</v>
      </c>
      <c r="BM138" s="26"/>
      <c r="BN138" s="26"/>
      <c r="BO138" s="26"/>
      <c r="BP138" s="24">
        <v>4.58</v>
      </c>
      <c r="BQ138" s="24">
        <v>2.51</v>
      </c>
      <c r="BR138" s="24">
        <v>6.89</v>
      </c>
      <c r="BS138" s="25">
        <v>6.16</v>
      </c>
      <c r="BT138" s="91">
        <v>16.4</v>
      </c>
      <c r="BU138" s="25">
        <v>4.9</v>
      </c>
      <c r="BV138" s="57">
        <v>5.38</v>
      </c>
      <c r="BW138" s="26"/>
      <c r="BX138" s="24">
        <v>2100.0</v>
      </c>
      <c r="BY138" s="24" t="s">
        <v>123</v>
      </c>
      <c r="BZ138" s="28">
        <v>1800.0</v>
      </c>
      <c r="CA138" s="29" t="s">
        <v>124</v>
      </c>
      <c r="CB138" s="30">
        <v>2100.0</v>
      </c>
      <c r="CC138" s="31"/>
      <c r="CD138" s="28">
        <v>2100.0</v>
      </c>
      <c r="CE138" s="32" t="e">
        <v>#REF!</v>
      </c>
      <c r="CF138" s="33"/>
      <c r="CG138" s="34">
        <v>0.0</v>
      </c>
      <c r="CH138" s="35">
        <v>0.0</v>
      </c>
      <c r="CI138" s="36">
        <v>9.0</v>
      </c>
      <c r="CJ138" s="36">
        <v>3108.0</v>
      </c>
      <c r="CK138" s="37">
        <v>-47.0</v>
      </c>
      <c r="CL138" s="36">
        <v>3061.0</v>
      </c>
      <c r="CM138" s="38">
        <v>192.0</v>
      </c>
      <c r="CN138" s="36">
        <v>0.0</v>
      </c>
      <c r="CO138" s="39">
        <v>21.3</v>
      </c>
      <c r="CP138" s="40">
        <v>0.0</v>
      </c>
      <c r="CQ138" s="36">
        <v>41.0</v>
      </c>
      <c r="CR138" s="36">
        <v>41.0</v>
      </c>
      <c r="CS138" s="36">
        <v>55.0</v>
      </c>
      <c r="CT138" s="41"/>
      <c r="CU138" s="42"/>
      <c r="CV138" s="43"/>
      <c r="CW138" s="44">
        <v>7.0</v>
      </c>
      <c r="CX138" s="44" t="s">
        <v>201</v>
      </c>
      <c r="CY138" s="44" t="s">
        <v>202</v>
      </c>
      <c r="CZ138" s="45"/>
      <c r="DA138" s="44">
        <v>2100.0</v>
      </c>
      <c r="DB138" s="44">
        <v>0.0</v>
      </c>
      <c r="DC138" s="46" t="s">
        <v>127</v>
      </c>
      <c r="DD138" s="47">
        <v>46186.0</v>
      </c>
      <c r="DE138" s="43"/>
      <c r="DF138" s="43"/>
      <c r="DG138" s="48" t="s">
        <v>128</v>
      </c>
      <c r="DH138" s="48" t="s">
        <v>128</v>
      </c>
      <c r="DI138" s="48" t="s">
        <v>128</v>
      </c>
      <c r="DJ138" s="49">
        <v>0.0</v>
      </c>
      <c r="DK138" s="48" t="b">
        <v>0</v>
      </c>
      <c r="DL138" s="50" t="s">
        <v>466</v>
      </c>
      <c r="DM138" s="50" t="s">
        <v>131</v>
      </c>
      <c r="DN138" s="50" t="s">
        <v>467</v>
      </c>
      <c r="DO138" s="49">
        <v>0.86</v>
      </c>
      <c r="DP138" s="48" t="s">
        <v>128</v>
      </c>
      <c r="DQ138" s="48" t="s">
        <v>128</v>
      </c>
      <c r="DR138" s="51"/>
      <c r="DS138" s="48" t="s">
        <v>134</v>
      </c>
    </row>
    <row r="139">
      <c r="A139" s="52" t="s">
        <v>118</v>
      </c>
      <c r="B139" s="53">
        <v>3.0</v>
      </c>
      <c r="C139" s="52" t="s">
        <v>119</v>
      </c>
      <c r="D139" s="53">
        <v>641892.0</v>
      </c>
      <c r="E139" s="52" t="s">
        <v>170</v>
      </c>
      <c r="F139" s="52" t="s">
        <v>472</v>
      </c>
      <c r="G139" s="52" t="s">
        <v>473</v>
      </c>
      <c r="H139" s="53">
        <v>85339.0</v>
      </c>
      <c r="I139" s="53">
        <v>22.0</v>
      </c>
      <c r="J139" s="53">
        <v>0.0</v>
      </c>
      <c r="K139" s="53">
        <v>0.0</v>
      </c>
      <c r="L139" s="53">
        <v>0.0</v>
      </c>
      <c r="M139" s="53">
        <v>2.0</v>
      </c>
      <c r="N139" s="53">
        <v>1.0</v>
      </c>
      <c r="O139" s="53">
        <v>2.0</v>
      </c>
      <c r="P139" s="53">
        <v>1.0</v>
      </c>
      <c r="Q139" s="53">
        <v>1.0</v>
      </c>
      <c r="R139" s="53">
        <v>1.0</v>
      </c>
      <c r="S139" s="53">
        <v>0.0</v>
      </c>
      <c r="T139" s="53">
        <v>0.0</v>
      </c>
      <c r="U139" s="53">
        <v>0.0</v>
      </c>
      <c r="V139" s="53">
        <v>3.0</v>
      </c>
      <c r="W139" s="53">
        <v>2.0</v>
      </c>
      <c r="X139" s="53">
        <v>1.0</v>
      </c>
      <c r="Y139" s="53">
        <v>2.0</v>
      </c>
      <c r="Z139" s="53">
        <v>1.0</v>
      </c>
      <c r="AA139" s="53">
        <v>2.0</v>
      </c>
      <c r="AB139" s="53">
        <v>1.0</v>
      </c>
      <c r="AC139" s="53">
        <v>1.0</v>
      </c>
      <c r="AD139" s="53">
        <v>0.0</v>
      </c>
      <c r="AE139" s="53">
        <v>0.0</v>
      </c>
      <c r="AF139" s="53">
        <v>0.0</v>
      </c>
      <c r="AG139" s="53">
        <v>0.0</v>
      </c>
      <c r="AH139" s="53">
        <v>0.0</v>
      </c>
      <c r="AI139" s="53">
        <v>0.0</v>
      </c>
      <c r="AJ139" s="53">
        <v>0.0</v>
      </c>
      <c r="AK139" s="53">
        <v>0.0</v>
      </c>
      <c r="AL139" s="53">
        <v>0.0</v>
      </c>
      <c r="AM139" s="53">
        <v>0.0</v>
      </c>
      <c r="AN139" s="53">
        <v>1.0</v>
      </c>
      <c r="AO139" s="25">
        <v>17.5</v>
      </c>
      <c r="AP139" s="54"/>
      <c r="AQ139" s="54"/>
      <c r="AR139" s="54"/>
      <c r="AS139" s="53">
        <v>14.54</v>
      </c>
      <c r="AT139" s="53">
        <v>11.18</v>
      </c>
      <c r="AU139" s="53">
        <v>13.16</v>
      </c>
      <c r="AV139" s="53">
        <v>15.12</v>
      </c>
      <c r="AW139" s="53">
        <v>20.85</v>
      </c>
      <c r="AX139" s="53">
        <v>22.35</v>
      </c>
      <c r="AY139" s="54"/>
      <c r="AZ139" s="54"/>
      <c r="BA139" s="54"/>
      <c r="BB139" s="53">
        <v>20.18</v>
      </c>
      <c r="BC139" s="53">
        <v>16.47</v>
      </c>
      <c r="BD139" s="53">
        <v>20.5</v>
      </c>
      <c r="BE139" s="53">
        <v>22.88</v>
      </c>
      <c r="BF139" s="53">
        <v>15.63</v>
      </c>
      <c r="BG139" s="53">
        <v>12.39</v>
      </c>
      <c r="BH139" s="53">
        <v>17.12</v>
      </c>
      <c r="BI139" s="53">
        <v>15.82</v>
      </c>
      <c r="BJ139" s="54"/>
      <c r="BK139" s="54"/>
      <c r="BL139" s="54"/>
      <c r="BM139" s="54"/>
      <c r="BN139" s="54"/>
      <c r="BO139" s="53">
        <v>0.27</v>
      </c>
      <c r="BP139" s="53">
        <v>1.3</v>
      </c>
      <c r="BQ139" s="53">
        <v>1.75</v>
      </c>
      <c r="BR139" s="53">
        <v>2.84</v>
      </c>
      <c r="BS139" s="25">
        <v>6.04</v>
      </c>
      <c r="BT139" s="91">
        <v>15.5</v>
      </c>
      <c r="BU139" s="55">
        <v>3.8</v>
      </c>
      <c r="BV139" s="55">
        <v>6.52</v>
      </c>
      <c r="BW139" s="54"/>
      <c r="BX139" s="53">
        <v>2100.0</v>
      </c>
      <c r="BY139" s="53" t="s">
        <v>123</v>
      </c>
      <c r="BZ139" s="58">
        <v>1800.0</v>
      </c>
      <c r="CA139" s="29" t="s">
        <v>124</v>
      </c>
      <c r="CB139" s="30">
        <v>2100.0</v>
      </c>
      <c r="CC139" s="31"/>
      <c r="CD139" s="58">
        <v>2100.0</v>
      </c>
      <c r="CE139" s="59" t="e">
        <v>#REF!</v>
      </c>
      <c r="CF139" s="60"/>
      <c r="CG139" s="61">
        <v>0.0</v>
      </c>
      <c r="CH139" s="62">
        <v>0.0</v>
      </c>
      <c r="CI139" s="63">
        <v>22.0</v>
      </c>
      <c r="CJ139" s="63">
        <v>3108.0</v>
      </c>
      <c r="CK139" s="64">
        <v>-47.0</v>
      </c>
      <c r="CL139" s="63">
        <v>3061.0</v>
      </c>
      <c r="CM139" s="65">
        <v>385.0</v>
      </c>
      <c r="CN139" s="63">
        <v>0.0</v>
      </c>
      <c r="CO139" s="66">
        <v>17.5</v>
      </c>
      <c r="CP139" s="67">
        <v>0.0</v>
      </c>
      <c r="CQ139" s="63">
        <v>29.0</v>
      </c>
      <c r="CR139" s="63">
        <v>29.0</v>
      </c>
      <c r="CS139" s="63">
        <v>133.0</v>
      </c>
      <c r="CT139" s="68"/>
      <c r="CU139" s="69"/>
      <c r="CV139" s="70"/>
      <c r="CW139" s="71">
        <v>7.0</v>
      </c>
      <c r="CX139" s="71" t="s">
        <v>201</v>
      </c>
      <c r="CY139" s="71" t="s">
        <v>202</v>
      </c>
      <c r="CZ139" s="45"/>
      <c r="DA139" s="44">
        <v>2100.0</v>
      </c>
      <c r="DB139" s="44">
        <v>0.0</v>
      </c>
      <c r="DC139" s="46" t="s">
        <v>127</v>
      </c>
      <c r="DD139" s="47">
        <v>46245.0</v>
      </c>
      <c r="DE139" s="43"/>
      <c r="DF139" s="43"/>
      <c r="DG139" s="48" t="s">
        <v>128</v>
      </c>
      <c r="DH139" s="48" t="s">
        <v>128</v>
      </c>
      <c r="DI139" s="48" t="s">
        <v>128</v>
      </c>
      <c r="DJ139" s="49">
        <v>1.0</v>
      </c>
      <c r="DK139" s="48" t="b">
        <v>1</v>
      </c>
      <c r="DL139" s="50" t="s">
        <v>466</v>
      </c>
      <c r="DM139" s="50" t="s">
        <v>131</v>
      </c>
      <c r="DN139" s="50" t="s">
        <v>467</v>
      </c>
      <c r="DO139" s="49">
        <v>0.86</v>
      </c>
      <c r="DP139" s="48" t="s">
        <v>128</v>
      </c>
      <c r="DQ139" s="48" t="s">
        <v>128</v>
      </c>
      <c r="DR139" s="51"/>
      <c r="DS139" s="48" t="s">
        <v>134</v>
      </c>
    </row>
    <row r="140">
      <c r="A140" s="23" t="s">
        <v>118</v>
      </c>
      <c r="B140" s="24">
        <v>3.0</v>
      </c>
      <c r="C140" s="23" t="s">
        <v>119</v>
      </c>
      <c r="D140" s="24">
        <v>640888.0</v>
      </c>
      <c r="E140" s="23" t="s">
        <v>161</v>
      </c>
      <c r="F140" s="23" t="s">
        <v>474</v>
      </c>
      <c r="G140" s="23" t="s">
        <v>475</v>
      </c>
      <c r="H140" s="24">
        <v>85339.0</v>
      </c>
      <c r="I140" s="24">
        <v>9.0</v>
      </c>
      <c r="J140" s="24">
        <v>0.0</v>
      </c>
      <c r="K140" s="24">
        <v>1.0</v>
      </c>
      <c r="L140" s="24">
        <v>0.0</v>
      </c>
      <c r="M140" s="24">
        <v>0.0</v>
      </c>
      <c r="N140" s="24">
        <v>0.0</v>
      </c>
      <c r="O140" s="24">
        <v>0.0</v>
      </c>
      <c r="P140" s="24">
        <v>2.0</v>
      </c>
      <c r="Q140" s="24">
        <v>1.0</v>
      </c>
      <c r="R140" s="24">
        <v>0.0</v>
      </c>
      <c r="S140" s="24">
        <v>0.0</v>
      </c>
      <c r="T140" s="24">
        <v>0.0</v>
      </c>
      <c r="U140" s="24">
        <v>0.0</v>
      </c>
      <c r="V140" s="24">
        <v>1.0</v>
      </c>
      <c r="W140" s="24">
        <v>0.0</v>
      </c>
      <c r="X140" s="24">
        <v>1.0</v>
      </c>
      <c r="Y140" s="24">
        <v>0.0</v>
      </c>
      <c r="Z140" s="24">
        <v>0.0</v>
      </c>
      <c r="AA140" s="24">
        <v>0.0</v>
      </c>
      <c r="AB140" s="24">
        <v>0.0</v>
      </c>
      <c r="AC140" s="24">
        <v>1.0</v>
      </c>
      <c r="AD140" s="24">
        <v>1.0</v>
      </c>
      <c r="AE140" s="24">
        <v>1.0</v>
      </c>
      <c r="AF140" s="24">
        <v>0.0</v>
      </c>
      <c r="AG140" s="24">
        <v>0.0</v>
      </c>
      <c r="AH140" s="24">
        <v>0.0</v>
      </c>
      <c r="AI140" s="24">
        <v>0.0</v>
      </c>
      <c r="AJ140" s="24">
        <v>0.0</v>
      </c>
      <c r="AK140" s="24">
        <v>0.0</v>
      </c>
      <c r="AL140" s="24">
        <v>0.0</v>
      </c>
      <c r="AM140" s="24">
        <v>0.0</v>
      </c>
      <c r="AN140" s="24">
        <v>0.0</v>
      </c>
      <c r="AO140" s="25">
        <v>19.7</v>
      </c>
      <c r="AP140" s="26"/>
      <c r="AQ140" s="24">
        <v>14.75</v>
      </c>
      <c r="AR140" s="26"/>
      <c r="AS140" s="26"/>
      <c r="AT140" s="26"/>
      <c r="AU140" s="26"/>
      <c r="AV140" s="24">
        <v>14.05</v>
      </c>
      <c r="AW140" s="24">
        <v>15.45</v>
      </c>
      <c r="AX140" s="26"/>
      <c r="AY140" s="26"/>
      <c r="AZ140" s="26"/>
      <c r="BA140" s="26"/>
      <c r="BB140" s="24">
        <v>30.2</v>
      </c>
      <c r="BC140" s="26"/>
      <c r="BD140" s="24">
        <v>19.28</v>
      </c>
      <c r="BE140" s="26"/>
      <c r="BF140" s="26"/>
      <c r="BG140" s="26"/>
      <c r="BH140" s="26"/>
      <c r="BI140" s="24">
        <v>27.88</v>
      </c>
      <c r="BJ140" s="24">
        <v>19.65</v>
      </c>
      <c r="BK140" s="24">
        <v>21.67</v>
      </c>
      <c r="BL140" s="26"/>
      <c r="BM140" s="26"/>
      <c r="BN140" s="26"/>
      <c r="BO140" s="26"/>
      <c r="BP140" s="24">
        <v>1.96</v>
      </c>
      <c r="BQ140" s="24">
        <v>3.54</v>
      </c>
      <c r="BR140" s="24">
        <v>5.29</v>
      </c>
      <c r="BS140" s="25">
        <v>5.93</v>
      </c>
      <c r="BT140" s="56">
        <v>21.7</v>
      </c>
      <c r="BU140" s="57">
        <v>0.8</v>
      </c>
      <c r="BV140" s="25">
        <v>9.35</v>
      </c>
      <c r="BW140" s="24">
        <v>1900.0</v>
      </c>
      <c r="BX140" s="24">
        <v>2100.0</v>
      </c>
      <c r="BY140" s="24" t="s">
        <v>123</v>
      </c>
      <c r="BZ140" s="28">
        <v>1800.0</v>
      </c>
      <c r="CA140" s="29" t="s">
        <v>124</v>
      </c>
      <c r="CB140" s="30">
        <v>2100.0</v>
      </c>
      <c r="CC140" s="31"/>
      <c r="CD140" s="28">
        <v>2100.0</v>
      </c>
      <c r="CE140" s="32" t="e">
        <v>#REF!</v>
      </c>
      <c r="CF140" s="33"/>
      <c r="CG140" s="34">
        <v>0.0</v>
      </c>
      <c r="CH140" s="35">
        <v>0.0</v>
      </c>
      <c r="CI140" s="36">
        <v>9.0</v>
      </c>
      <c r="CJ140" s="36">
        <v>3108.0</v>
      </c>
      <c r="CK140" s="37">
        <v>-47.0</v>
      </c>
      <c r="CL140" s="36">
        <v>3061.0</v>
      </c>
      <c r="CM140" s="38">
        <v>177.0</v>
      </c>
      <c r="CN140" s="36">
        <v>0.0</v>
      </c>
      <c r="CO140" s="39">
        <v>19.7</v>
      </c>
      <c r="CP140" s="40">
        <v>0.0</v>
      </c>
      <c r="CQ140" s="36">
        <v>18.0</v>
      </c>
      <c r="CR140" s="36">
        <v>18.0</v>
      </c>
      <c r="CS140" s="36">
        <v>53.0</v>
      </c>
      <c r="CT140" s="41"/>
      <c r="CU140" s="42"/>
      <c r="CV140" s="43"/>
      <c r="CW140" s="44">
        <v>7.0</v>
      </c>
      <c r="CX140" s="44" t="s">
        <v>201</v>
      </c>
      <c r="CY140" s="44" t="s">
        <v>202</v>
      </c>
      <c r="CZ140" s="45"/>
      <c r="DA140" s="44">
        <v>2100.0</v>
      </c>
      <c r="DB140" s="44">
        <v>0.0</v>
      </c>
      <c r="DC140" s="43"/>
      <c r="DD140" s="78"/>
      <c r="DE140" s="43"/>
      <c r="DF140" s="43"/>
      <c r="DG140" s="48" t="s">
        <v>128</v>
      </c>
      <c r="DH140" s="48" t="s">
        <v>128</v>
      </c>
      <c r="DI140" s="48" t="s">
        <v>128</v>
      </c>
      <c r="DJ140" s="49">
        <v>1.0</v>
      </c>
      <c r="DK140" s="48" t="b">
        <v>0</v>
      </c>
      <c r="DL140" s="50" t="s">
        <v>466</v>
      </c>
      <c r="DM140" s="50" t="s">
        <v>131</v>
      </c>
      <c r="DN140" s="50" t="s">
        <v>467</v>
      </c>
      <c r="DO140" s="49">
        <v>0.86</v>
      </c>
      <c r="DP140" s="48" t="s">
        <v>128</v>
      </c>
      <c r="DQ140" s="48" t="s">
        <v>128</v>
      </c>
      <c r="DR140" s="51"/>
      <c r="DS140" s="48" t="s">
        <v>134</v>
      </c>
    </row>
    <row r="141">
      <c r="A141" s="52" t="s">
        <v>118</v>
      </c>
      <c r="B141" s="53">
        <v>3.0</v>
      </c>
      <c r="C141" s="52" t="s">
        <v>119</v>
      </c>
      <c r="D141" s="53">
        <v>642178.0</v>
      </c>
      <c r="E141" s="52" t="s">
        <v>205</v>
      </c>
      <c r="F141" s="52" t="s">
        <v>476</v>
      </c>
      <c r="G141" s="52" t="s">
        <v>477</v>
      </c>
      <c r="H141" s="53">
        <v>85339.0</v>
      </c>
      <c r="I141" s="53">
        <v>31.0</v>
      </c>
      <c r="J141" s="53">
        <v>0.0</v>
      </c>
      <c r="K141" s="53">
        <v>0.0</v>
      </c>
      <c r="L141" s="53">
        <v>1.0</v>
      </c>
      <c r="M141" s="53">
        <v>1.0</v>
      </c>
      <c r="N141" s="53">
        <v>5.0</v>
      </c>
      <c r="O141" s="53">
        <v>1.0</v>
      </c>
      <c r="P141" s="53">
        <v>1.0</v>
      </c>
      <c r="Q141" s="53">
        <v>4.0</v>
      </c>
      <c r="R141" s="53">
        <v>1.0</v>
      </c>
      <c r="S141" s="53">
        <v>2.0</v>
      </c>
      <c r="T141" s="53">
        <v>2.0</v>
      </c>
      <c r="U141" s="53">
        <v>0.0</v>
      </c>
      <c r="V141" s="53">
        <v>1.0</v>
      </c>
      <c r="W141" s="53">
        <v>0.0</v>
      </c>
      <c r="X141" s="53">
        <v>5.0</v>
      </c>
      <c r="Y141" s="53">
        <v>1.0</v>
      </c>
      <c r="Z141" s="53">
        <v>0.0</v>
      </c>
      <c r="AA141" s="53">
        <v>4.0</v>
      </c>
      <c r="AB141" s="53">
        <v>0.0</v>
      </c>
      <c r="AC141" s="53">
        <v>1.0</v>
      </c>
      <c r="AD141" s="53">
        <v>1.0</v>
      </c>
      <c r="AE141" s="53">
        <v>0.0</v>
      </c>
      <c r="AF141" s="53">
        <v>0.0</v>
      </c>
      <c r="AG141" s="53">
        <v>0.0</v>
      </c>
      <c r="AH141" s="53">
        <v>0.0</v>
      </c>
      <c r="AI141" s="53">
        <v>0.0</v>
      </c>
      <c r="AJ141" s="53">
        <v>0.0</v>
      </c>
      <c r="AK141" s="53">
        <v>0.0</v>
      </c>
      <c r="AL141" s="53">
        <v>0.0</v>
      </c>
      <c r="AM141" s="53">
        <v>0.0</v>
      </c>
      <c r="AN141" s="53">
        <v>0.0</v>
      </c>
      <c r="AO141" s="25">
        <v>18.6</v>
      </c>
      <c r="AP141" s="54"/>
      <c r="AQ141" s="54"/>
      <c r="AR141" s="53">
        <v>17.08</v>
      </c>
      <c r="AS141" s="53">
        <v>11.27</v>
      </c>
      <c r="AT141" s="53">
        <v>71.6</v>
      </c>
      <c r="AU141" s="53">
        <v>39.77</v>
      </c>
      <c r="AV141" s="53">
        <v>18.52</v>
      </c>
      <c r="AW141" s="53">
        <v>16.45</v>
      </c>
      <c r="AX141" s="53">
        <v>15.05</v>
      </c>
      <c r="AY141" s="53">
        <v>19.18</v>
      </c>
      <c r="AZ141" s="53">
        <v>14.85</v>
      </c>
      <c r="BA141" s="54"/>
      <c r="BB141" s="53">
        <v>11.62</v>
      </c>
      <c r="BC141" s="54"/>
      <c r="BD141" s="53">
        <v>22.37</v>
      </c>
      <c r="BE141" s="53">
        <v>20.9</v>
      </c>
      <c r="BF141" s="54"/>
      <c r="BG141" s="53">
        <v>20.78</v>
      </c>
      <c r="BH141" s="54"/>
      <c r="BI141" s="53">
        <v>27.15</v>
      </c>
      <c r="BJ141" s="53">
        <v>16.35</v>
      </c>
      <c r="BK141" s="54"/>
      <c r="BL141" s="54"/>
      <c r="BM141" s="54"/>
      <c r="BN141" s="54"/>
      <c r="BO141" s="54"/>
      <c r="BP141" s="53">
        <v>1.56</v>
      </c>
      <c r="BQ141" s="53">
        <v>3.33</v>
      </c>
      <c r="BR141" s="53">
        <v>4.69</v>
      </c>
      <c r="BS141" s="25">
        <v>5.76</v>
      </c>
      <c r="BT141" s="56">
        <v>18.1</v>
      </c>
      <c r="BU141" s="25">
        <v>5.6</v>
      </c>
      <c r="BV141" s="57">
        <v>5.5</v>
      </c>
      <c r="BW141" s="53">
        <v>400.0</v>
      </c>
      <c r="BX141" s="53">
        <v>2100.0</v>
      </c>
      <c r="BY141" s="53" t="s">
        <v>123</v>
      </c>
      <c r="BZ141" s="58">
        <v>1800.0</v>
      </c>
      <c r="CA141" s="29" t="s">
        <v>124</v>
      </c>
      <c r="CB141" s="30">
        <v>2100.0</v>
      </c>
      <c r="CC141" s="31"/>
      <c r="CD141" s="58">
        <v>2100.0</v>
      </c>
      <c r="CE141" s="59" t="e">
        <v>#REF!</v>
      </c>
      <c r="CF141" s="60"/>
      <c r="CG141" s="61">
        <v>0.0</v>
      </c>
      <c r="CH141" s="62">
        <v>0.0</v>
      </c>
      <c r="CI141" s="63">
        <v>31.0</v>
      </c>
      <c r="CJ141" s="63">
        <v>3108.0</v>
      </c>
      <c r="CK141" s="64">
        <v>-47.0</v>
      </c>
      <c r="CL141" s="63">
        <v>3061.0</v>
      </c>
      <c r="CM141" s="65">
        <v>577.0</v>
      </c>
      <c r="CN141" s="63">
        <v>0.0</v>
      </c>
      <c r="CO141" s="66">
        <v>18.6</v>
      </c>
      <c r="CP141" s="67">
        <v>0.0</v>
      </c>
      <c r="CQ141" s="63">
        <v>48.0</v>
      </c>
      <c r="CR141" s="63">
        <v>48.0</v>
      </c>
      <c r="CS141" s="63">
        <v>179.0</v>
      </c>
      <c r="CT141" s="68"/>
      <c r="CU141" s="69"/>
      <c r="CV141" s="70"/>
      <c r="CW141" s="71">
        <v>7.0</v>
      </c>
      <c r="CX141" s="71" t="s">
        <v>201</v>
      </c>
      <c r="CY141" s="71" t="s">
        <v>202</v>
      </c>
      <c r="CZ141" s="45"/>
      <c r="DA141" s="44">
        <v>2100.0</v>
      </c>
      <c r="DB141" s="44">
        <v>0.0</v>
      </c>
      <c r="DC141" s="46" t="s">
        <v>127</v>
      </c>
      <c r="DD141" s="47">
        <v>46240.0</v>
      </c>
      <c r="DE141" s="43"/>
      <c r="DF141" s="43"/>
      <c r="DG141" s="48" t="s">
        <v>128</v>
      </c>
      <c r="DH141" s="48" t="s">
        <v>128</v>
      </c>
      <c r="DI141" s="48" t="s">
        <v>128</v>
      </c>
      <c r="DJ141" s="49">
        <v>1.0</v>
      </c>
      <c r="DK141" s="48" t="b">
        <v>0</v>
      </c>
      <c r="DL141" s="50" t="s">
        <v>466</v>
      </c>
      <c r="DM141" s="50" t="s">
        <v>131</v>
      </c>
      <c r="DN141" s="50" t="s">
        <v>467</v>
      </c>
      <c r="DO141" s="49">
        <v>0.86</v>
      </c>
      <c r="DP141" s="48" t="s">
        <v>128</v>
      </c>
      <c r="DQ141" s="48" t="s">
        <v>128</v>
      </c>
      <c r="DR141" s="51"/>
      <c r="DS141" s="48" t="s">
        <v>134</v>
      </c>
    </row>
    <row r="142">
      <c r="A142" s="23" t="s">
        <v>118</v>
      </c>
      <c r="B142" s="24">
        <v>3.0</v>
      </c>
      <c r="C142" s="23" t="s">
        <v>119</v>
      </c>
      <c r="D142" s="24">
        <v>641645.0</v>
      </c>
      <c r="E142" s="23" t="s">
        <v>145</v>
      </c>
      <c r="F142" s="23" t="s">
        <v>478</v>
      </c>
      <c r="G142" s="23" t="s">
        <v>479</v>
      </c>
      <c r="H142" s="24">
        <v>85339.0</v>
      </c>
      <c r="I142" s="24">
        <v>36.0</v>
      </c>
      <c r="J142" s="24">
        <v>0.0</v>
      </c>
      <c r="K142" s="24">
        <v>1.0</v>
      </c>
      <c r="L142" s="24">
        <v>0.0</v>
      </c>
      <c r="M142" s="24">
        <v>1.0</v>
      </c>
      <c r="N142" s="24">
        <v>3.0</v>
      </c>
      <c r="O142" s="24">
        <v>0.0</v>
      </c>
      <c r="P142" s="24">
        <v>0.0</v>
      </c>
      <c r="Q142" s="24">
        <v>0.0</v>
      </c>
      <c r="R142" s="24">
        <v>2.0</v>
      </c>
      <c r="S142" s="24">
        <v>0.0</v>
      </c>
      <c r="T142" s="24">
        <v>3.0</v>
      </c>
      <c r="U142" s="24">
        <v>2.0</v>
      </c>
      <c r="V142" s="24">
        <v>1.0</v>
      </c>
      <c r="W142" s="24">
        <v>4.0</v>
      </c>
      <c r="X142" s="24">
        <v>2.0</v>
      </c>
      <c r="Y142" s="24">
        <v>1.0</v>
      </c>
      <c r="Z142" s="24">
        <v>0.0</v>
      </c>
      <c r="AA142" s="24">
        <v>4.0</v>
      </c>
      <c r="AB142" s="24">
        <v>5.0</v>
      </c>
      <c r="AC142" s="24">
        <v>2.0</v>
      </c>
      <c r="AD142" s="24">
        <v>3.0</v>
      </c>
      <c r="AE142" s="24">
        <v>0.0</v>
      </c>
      <c r="AF142" s="24">
        <v>1.0</v>
      </c>
      <c r="AG142" s="24">
        <v>0.0</v>
      </c>
      <c r="AH142" s="24">
        <v>0.0</v>
      </c>
      <c r="AI142" s="24">
        <v>0.0</v>
      </c>
      <c r="AJ142" s="24">
        <v>0.0</v>
      </c>
      <c r="AK142" s="24">
        <v>0.0</v>
      </c>
      <c r="AL142" s="24">
        <v>0.0</v>
      </c>
      <c r="AM142" s="24">
        <v>0.0</v>
      </c>
      <c r="AN142" s="24">
        <v>1.0</v>
      </c>
      <c r="AO142" s="25">
        <v>18.8</v>
      </c>
      <c r="AP142" s="26"/>
      <c r="AQ142" s="24">
        <v>8.28</v>
      </c>
      <c r="AR142" s="26"/>
      <c r="AS142" s="24">
        <v>16.17</v>
      </c>
      <c r="AT142" s="24">
        <v>45.58</v>
      </c>
      <c r="AU142" s="26"/>
      <c r="AV142" s="26"/>
      <c r="AW142" s="26"/>
      <c r="AX142" s="24">
        <v>18.18</v>
      </c>
      <c r="AY142" s="26"/>
      <c r="AZ142" s="24">
        <v>14.46</v>
      </c>
      <c r="BA142" s="24">
        <v>22.26</v>
      </c>
      <c r="BB142" s="24">
        <v>17.27</v>
      </c>
      <c r="BC142" s="24">
        <v>17.76</v>
      </c>
      <c r="BD142" s="24">
        <v>21.07</v>
      </c>
      <c r="BE142" s="24">
        <v>26.23</v>
      </c>
      <c r="BF142" s="26"/>
      <c r="BG142" s="24">
        <v>18.32</v>
      </c>
      <c r="BH142" s="24">
        <v>23.51</v>
      </c>
      <c r="BI142" s="24">
        <v>16.92</v>
      </c>
      <c r="BJ142" s="24">
        <v>22.01</v>
      </c>
      <c r="BK142" s="26"/>
      <c r="BL142" s="24">
        <v>16.95</v>
      </c>
      <c r="BM142" s="26"/>
      <c r="BN142" s="26"/>
      <c r="BO142" s="24">
        <v>0.32</v>
      </c>
      <c r="BP142" s="24">
        <v>1.7</v>
      </c>
      <c r="BQ142" s="24">
        <v>2.41</v>
      </c>
      <c r="BR142" s="24">
        <v>3.9</v>
      </c>
      <c r="BS142" s="25">
        <v>5.64</v>
      </c>
      <c r="BT142" s="77">
        <v>14.3</v>
      </c>
      <c r="BU142" s="25">
        <v>4.9</v>
      </c>
      <c r="BV142" s="57">
        <v>4.07</v>
      </c>
      <c r="BW142" s="24">
        <v>1100.0</v>
      </c>
      <c r="BX142" s="24">
        <v>2100.0</v>
      </c>
      <c r="BY142" s="24" t="s">
        <v>123</v>
      </c>
      <c r="BZ142" s="28">
        <v>1800.0</v>
      </c>
      <c r="CA142" s="29" t="s">
        <v>124</v>
      </c>
      <c r="CB142" s="30">
        <v>2100.0</v>
      </c>
      <c r="CC142" s="31"/>
      <c r="CD142" s="28">
        <v>2100.0</v>
      </c>
      <c r="CE142" s="32" t="e">
        <v>#REF!</v>
      </c>
      <c r="CF142" s="33"/>
      <c r="CG142" s="34">
        <v>0.0</v>
      </c>
      <c r="CH142" s="35">
        <v>0.0</v>
      </c>
      <c r="CI142" s="36">
        <v>36.0</v>
      </c>
      <c r="CJ142" s="36">
        <v>3108.0</v>
      </c>
      <c r="CK142" s="37">
        <v>-47.0</v>
      </c>
      <c r="CL142" s="36">
        <v>3061.0</v>
      </c>
      <c r="CM142" s="38">
        <v>677.0</v>
      </c>
      <c r="CN142" s="36">
        <v>0.0</v>
      </c>
      <c r="CO142" s="39">
        <v>18.8</v>
      </c>
      <c r="CP142" s="40">
        <v>0.0</v>
      </c>
      <c r="CQ142" s="36">
        <v>61.0</v>
      </c>
      <c r="CR142" s="36">
        <v>61.0</v>
      </c>
      <c r="CS142" s="36">
        <v>203.0</v>
      </c>
      <c r="CT142" s="41"/>
      <c r="CU142" s="42"/>
      <c r="CV142" s="43"/>
      <c r="CW142" s="44">
        <v>7.0</v>
      </c>
      <c r="CX142" s="44" t="s">
        <v>201</v>
      </c>
      <c r="CY142" s="44" t="s">
        <v>202</v>
      </c>
      <c r="CZ142" s="45"/>
      <c r="DA142" s="44">
        <v>2100.0</v>
      </c>
      <c r="DB142" s="44">
        <v>0.0</v>
      </c>
      <c r="DC142" s="46" t="s">
        <v>127</v>
      </c>
      <c r="DD142" s="47">
        <v>46246.0</v>
      </c>
      <c r="DE142" s="43"/>
      <c r="DF142" s="43"/>
      <c r="DG142" s="48" t="s">
        <v>128</v>
      </c>
      <c r="DH142" s="48" t="s">
        <v>128</v>
      </c>
      <c r="DI142" s="48" t="s">
        <v>128</v>
      </c>
      <c r="DJ142" s="49">
        <v>1.0</v>
      </c>
      <c r="DK142" s="48" t="b">
        <v>1</v>
      </c>
      <c r="DL142" s="50" t="s">
        <v>466</v>
      </c>
      <c r="DM142" s="50" t="s">
        <v>131</v>
      </c>
      <c r="DN142" s="50" t="s">
        <v>467</v>
      </c>
      <c r="DO142" s="49">
        <v>0.86</v>
      </c>
      <c r="DP142" s="48" t="s">
        <v>128</v>
      </c>
      <c r="DQ142" s="48" t="s">
        <v>128</v>
      </c>
      <c r="DR142" s="51"/>
      <c r="DS142" s="48" t="s">
        <v>134</v>
      </c>
    </row>
    <row r="143">
      <c r="A143" s="52" t="s">
        <v>118</v>
      </c>
      <c r="B143" s="53">
        <v>3.0</v>
      </c>
      <c r="C143" s="52" t="s">
        <v>119</v>
      </c>
      <c r="D143" s="53">
        <v>639495.0</v>
      </c>
      <c r="E143" s="52" t="s">
        <v>155</v>
      </c>
      <c r="F143" s="52" t="s">
        <v>480</v>
      </c>
      <c r="G143" s="52" t="s">
        <v>481</v>
      </c>
      <c r="H143" s="53">
        <v>85339.0</v>
      </c>
      <c r="I143" s="53">
        <v>107.0</v>
      </c>
      <c r="J143" s="53">
        <v>0.0</v>
      </c>
      <c r="K143" s="53">
        <v>1.0</v>
      </c>
      <c r="L143" s="53">
        <v>0.0</v>
      </c>
      <c r="M143" s="53">
        <v>0.0</v>
      </c>
      <c r="N143" s="53">
        <v>1.0</v>
      </c>
      <c r="O143" s="53">
        <v>3.0</v>
      </c>
      <c r="P143" s="53">
        <v>1.0</v>
      </c>
      <c r="Q143" s="53">
        <v>10.0</v>
      </c>
      <c r="R143" s="53">
        <v>4.0</v>
      </c>
      <c r="S143" s="53">
        <v>5.0</v>
      </c>
      <c r="T143" s="53">
        <v>4.0</v>
      </c>
      <c r="U143" s="53">
        <v>12.0</v>
      </c>
      <c r="V143" s="53">
        <v>3.0</v>
      </c>
      <c r="W143" s="53">
        <v>6.0</v>
      </c>
      <c r="X143" s="53">
        <v>3.0</v>
      </c>
      <c r="Y143" s="53">
        <v>7.0</v>
      </c>
      <c r="Z143" s="53">
        <v>3.0</v>
      </c>
      <c r="AA143" s="53">
        <v>4.0</v>
      </c>
      <c r="AB143" s="53">
        <v>2.0</v>
      </c>
      <c r="AC143" s="53">
        <v>6.0</v>
      </c>
      <c r="AD143" s="53">
        <v>14.0</v>
      </c>
      <c r="AE143" s="53">
        <v>6.0</v>
      </c>
      <c r="AF143" s="53">
        <v>2.0</v>
      </c>
      <c r="AG143" s="53">
        <v>6.0</v>
      </c>
      <c r="AH143" s="53">
        <v>1.0</v>
      </c>
      <c r="AI143" s="53">
        <v>0.0</v>
      </c>
      <c r="AJ143" s="53">
        <v>2.0</v>
      </c>
      <c r="AK143" s="53">
        <v>0.0</v>
      </c>
      <c r="AL143" s="53">
        <v>0.0</v>
      </c>
      <c r="AM143" s="53">
        <v>0.0</v>
      </c>
      <c r="AN143" s="53">
        <v>1.0</v>
      </c>
      <c r="AO143" s="25">
        <v>18.7</v>
      </c>
      <c r="AP143" s="54"/>
      <c r="AQ143" s="53">
        <v>11.77</v>
      </c>
      <c r="AR143" s="54"/>
      <c r="AS143" s="54"/>
      <c r="AT143" s="53">
        <v>0.0</v>
      </c>
      <c r="AU143" s="53">
        <v>14.63</v>
      </c>
      <c r="AV143" s="53">
        <v>11.5</v>
      </c>
      <c r="AW143" s="53">
        <v>14.89</v>
      </c>
      <c r="AX143" s="53">
        <v>16.03</v>
      </c>
      <c r="AY143" s="53">
        <v>16.38</v>
      </c>
      <c r="AZ143" s="53">
        <v>16.14</v>
      </c>
      <c r="BA143" s="53">
        <v>15.62</v>
      </c>
      <c r="BB143" s="53">
        <v>18.61</v>
      </c>
      <c r="BC143" s="53">
        <v>22.63</v>
      </c>
      <c r="BD143" s="53">
        <v>17.74</v>
      </c>
      <c r="BE143" s="53">
        <v>18.46</v>
      </c>
      <c r="BF143" s="53">
        <v>23.44</v>
      </c>
      <c r="BG143" s="53">
        <v>23.7</v>
      </c>
      <c r="BH143" s="53">
        <v>21.98</v>
      </c>
      <c r="BI143" s="53">
        <v>19.52</v>
      </c>
      <c r="BJ143" s="53">
        <v>20.86</v>
      </c>
      <c r="BK143" s="53">
        <v>23.02</v>
      </c>
      <c r="BL143" s="53">
        <v>19.67</v>
      </c>
      <c r="BM143" s="53">
        <v>22.89</v>
      </c>
      <c r="BN143" s="53">
        <v>16.68</v>
      </c>
      <c r="BO143" s="53">
        <v>0.31</v>
      </c>
      <c r="BP143" s="53">
        <v>1.76</v>
      </c>
      <c r="BQ143" s="53">
        <v>3.44</v>
      </c>
      <c r="BR143" s="53">
        <v>4.99</v>
      </c>
      <c r="BS143" s="25">
        <v>4.95</v>
      </c>
      <c r="BT143" s="56">
        <v>17.9</v>
      </c>
      <c r="BU143" s="25">
        <v>4.1</v>
      </c>
      <c r="BV143" s="55">
        <v>6.29</v>
      </c>
      <c r="BW143" s="53">
        <v>1200.0</v>
      </c>
      <c r="BX143" s="53">
        <v>2100.0</v>
      </c>
      <c r="BY143" s="53" t="s">
        <v>123</v>
      </c>
      <c r="BZ143" s="58">
        <v>2100.0</v>
      </c>
      <c r="CA143" s="72"/>
      <c r="CB143" s="30">
        <v>2400.0</v>
      </c>
      <c r="CC143" s="31"/>
      <c r="CD143" s="58">
        <v>2400.0</v>
      </c>
      <c r="CE143" s="59" t="e">
        <v>#REF!</v>
      </c>
      <c r="CF143" s="79">
        <f t="shared" ref="CF143:CF144" si="6">+300</f>
        <v>300</v>
      </c>
      <c r="CG143" s="80">
        <f>+16</f>
        <v>16</v>
      </c>
      <c r="CH143" s="62">
        <v>0.15</v>
      </c>
      <c r="CI143" s="63">
        <v>123.0</v>
      </c>
      <c r="CJ143" s="63">
        <v>3108.0</v>
      </c>
      <c r="CK143" s="64">
        <v>-47.0</v>
      </c>
      <c r="CL143" s="63">
        <v>3061.0</v>
      </c>
      <c r="CM143" s="65">
        <v>2001.0</v>
      </c>
      <c r="CN143" s="63">
        <v>-365.0</v>
      </c>
      <c r="CO143" s="66">
        <v>19.2</v>
      </c>
      <c r="CP143" s="67">
        <v>0.5</v>
      </c>
      <c r="CQ143" s="63">
        <v>188.0</v>
      </c>
      <c r="CR143" s="63">
        <v>216.0</v>
      </c>
      <c r="CS143" s="63">
        <v>609.0</v>
      </c>
      <c r="CT143" s="68"/>
      <c r="CU143" s="69"/>
      <c r="CV143" s="70"/>
      <c r="CW143" s="71">
        <v>8.0</v>
      </c>
      <c r="CX143" s="71" t="s">
        <v>125</v>
      </c>
      <c r="CY143" s="71" t="s">
        <v>126</v>
      </c>
      <c r="CZ143" s="76" t="s">
        <v>151</v>
      </c>
      <c r="DA143" s="44">
        <v>2400.0</v>
      </c>
      <c r="DB143" s="44">
        <v>0.0</v>
      </c>
      <c r="DC143" s="43"/>
      <c r="DD143" s="78"/>
      <c r="DE143" s="43"/>
      <c r="DF143" s="43"/>
      <c r="DG143" s="48" t="s">
        <v>128</v>
      </c>
      <c r="DH143" s="48" t="s">
        <v>128</v>
      </c>
      <c r="DI143" s="48" t="s">
        <v>128</v>
      </c>
      <c r="DJ143" s="49">
        <v>1.0</v>
      </c>
      <c r="DK143" s="48" t="b">
        <v>0</v>
      </c>
      <c r="DL143" s="50" t="s">
        <v>466</v>
      </c>
      <c r="DM143" s="50" t="s">
        <v>131</v>
      </c>
      <c r="DN143" s="50" t="s">
        <v>467</v>
      </c>
      <c r="DO143" s="49">
        <v>0.86</v>
      </c>
      <c r="DP143" s="48" t="s">
        <v>128</v>
      </c>
      <c r="DQ143" s="48" t="s">
        <v>128</v>
      </c>
      <c r="DR143" s="51"/>
      <c r="DS143" s="48" t="s">
        <v>134</v>
      </c>
    </row>
    <row r="144">
      <c r="A144" s="23" t="s">
        <v>118</v>
      </c>
      <c r="B144" s="24">
        <v>3.0</v>
      </c>
      <c r="C144" s="23" t="s">
        <v>119</v>
      </c>
      <c r="D144" s="24">
        <v>576393.0</v>
      </c>
      <c r="E144" s="23" t="s">
        <v>164</v>
      </c>
      <c r="F144" s="23" t="s">
        <v>482</v>
      </c>
      <c r="G144" s="23" t="s">
        <v>483</v>
      </c>
      <c r="H144" s="24">
        <v>85339.0</v>
      </c>
      <c r="I144" s="24">
        <v>102.0</v>
      </c>
      <c r="J144" s="24">
        <v>0.0</v>
      </c>
      <c r="K144" s="24">
        <v>1.0</v>
      </c>
      <c r="L144" s="24">
        <v>4.0</v>
      </c>
      <c r="M144" s="24">
        <v>1.0</v>
      </c>
      <c r="N144" s="24">
        <v>4.0</v>
      </c>
      <c r="O144" s="24">
        <v>7.0</v>
      </c>
      <c r="P144" s="24">
        <v>0.0</v>
      </c>
      <c r="Q144" s="24">
        <v>11.0</v>
      </c>
      <c r="R144" s="24">
        <v>4.0</v>
      </c>
      <c r="S144" s="24">
        <v>3.0</v>
      </c>
      <c r="T144" s="24">
        <v>8.0</v>
      </c>
      <c r="U144" s="24">
        <v>7.0</v>
      </c>
      <c r="V144" s="24">
        <v>3.0</v>
      </c>
      <c r="W144" s="24">
        <v>8.0</v>
      </c>
      <c r="X144" s="24">
        <v>1.0</v>
      </c>
      <c r="Y144" s="24">
        <v>2.0</v>
      </c>
      <c r="Z144" s="24">
        <v>11.0</v>
      </c>
      <c r="AA144" s="24">
        <v>2.0</v>
      </c>
      <c r="AB144" s="24">
        <v>5.0</v>
      </c>
      <c r="AC144" s="24">
        <v>4.0</v>
      </c>
      <c r="AD144" s="24">
        <v>5.0</v>
      </c>
      <c r="AE144" s="24">
        <v>4.0</v>
      </c>
      <c r="AF144" s="24">
        <v>3.0</v>
      </c>
      <c r="AG144" s="24">
        <v>2.0</v>
      </c>
      <c r="AH144" s="24">
        <v>2.0</v>
      </c>
      <c r="AI144" s="24">
        <v>0.0</v>
      </c>
      <c r="AJ144" s="24">
        <v>0.0</v>
      </c>
      <c r="AK144" s="24">
        <v>0.0</v>
      </c>
      <c r="AL144" s="24">
        <v>0.0</v>
      </c>
      <c r="AM144" s="24">
        <v>0.0</v>
      </c>
      <c r="AN144" s="24">
        <v>0.0</v>
      </c>
      <c r="AO144" s="25">
        <v>18.7</v>
      </c>
      <c r="AP144" s="26"/>
      <c r="AQ144" s="24">
        <v>13.55</v>
      </c>
      <c r="AR144" s="24">
        <v>16.25</v>
      </c>
      <c r="AS144" s="24">
        <v>12.42</v>
      </c>
      <c r="AT144" s="24">
        <v>64.25</v>
      </c>
      <c r="AU144" s="24">
        <v>16.24</v>
      </c>
      <c r="AV144" s="26"/>
      <c r="AW144" s="24">
        <v>15.4</v>
      </c>
      <c r="AX144" s="24">
        <v>14.96</v>
      </c>
      <c r="AY144" s="24">
        <v>19.93</v>
      </c>
      <c r="AZ144" s="24">
        <v>15.48</v>
      </c>
      <c r="BA144" s="24">
        <v>18.17</v>
      </c>
      <c r="BB144" s="24">
        <v>19.91</v>
      </c>
      <c r="BC144" s="24">
        <v>16.13</v>
      </c>
      <c r="BD144" s="24">
        <v>16.58</v>
      </c>
      <c r="BE144" s="24">
        <v>19.27</v>
      </c>
      <c r="BF144" s="24">
        <v>19.27</v>
      </c>
      <c r="BG144" s="24">
        <v>15.43</v>
      </c>
      <c r="BH144" s="24">
        <v>34.0</v>
      </c>
      <c r="BI144" s="24">
        <v>16.16</v>
      </c>
      <c r="BJ144" s="24">
        <v>20.91</v>
      </c>
      <c r="BK144" s="24">
        <v>31.12</v>
      </c>
      <c r="BL144" s="24">
        <v>22.26</v>
      </c>
      <c r="BM144" s="24">
        <v>18.74</v>
      </c>
      <c r="BN144" s="24">
        <v>23.53</v>
      </c>
      <c r="BO144" s="26"/>
      <c r="BP144" s="24">
        <v>2.49</v>
      </c>
      <c r="BQ144" s="24">
        <v>2.99</v>
      </c>
      <c r="BR144" s="24">
        <v>5.27</v>
      </c>
      <c r="BS144" s="25">
        <v>4.89</v>
      </c>
      <c r="BT144" s="56">
        <v>19.7</v>
      </c>
      <c r="BU144" s="55">
        <v>4.0</v>
      </c>
      <c r="BV144" s="55">
        <v>6.76</v>
      </c>
      <c r="BW144" s="24">
        <v>2000.0</v>
      </c>
      <c r="BX144" s="24">
        <v>2400.0</v>
      </c>
      <c r="BY144" s="24" t="s">
        <v>123</v>
      </c>
      <c r="BZ144" s="28">
        <v>2100.0</v>
      </c>
      <c r="CA144" s="29" t="s">
        <v>124</v>
      </c>
      <c r="CB144" s="30">
        <v>2700.0</v>
      </c>
      <c r="CC144" s="31"/>
      <c r="CD144" s="28">
        <v>2700.0</v>
      </c>
      <c r="CE144" s="32" t="e">
        <v>#REF!</v>
      </c>
      <c r="CF144" s="73">
        <f t="shared" si="6"/>
        <v>300</v>
      </c>
      <c r="CG144" s="74">
        <f>+13</f>
        <v>13</v>
      </c>
      <c r="CH144" s="35">
        <v>0.13</v>
      </c>
      <c r="CI144" s="36">
        <v>115.0</v>
      </c>
      <c r="CJ144" s="36">
        <v>3108.0</v>
      </c>
      <c r="CK144" s="37">
        <v>-47.0</v>
      </c>
      <c r="CL144" s="36">
        <v>3061.0</v>
      </c>
      <c r="CM144" s="38">
        <v>1907.0</v>
      </c>
      <c r="CN144" s="36">
        <v>-822.0</v>
      </c>
      <c r="CO144" s="39">
        <v>23.7</v>
      </c>
      <c r="CP144" s="75">
        <f>+5</f>
        <v>5</v>
      </c>
      <c r="CQ144" s="36">
        <v>254.0</v>
      </c>
      <c r="CR144" s="36">
        <v>286.0</v>
      </c>
      <c r="CS144" s="36">
        <v>562.0</v>
      </c>
      <c r="CT144" s="41"/>
      <c r="CU144" s="42"/>
      <c r="CV144" s="43"/>
      <c r="CW144" s="44">
        <v>9.0</v>
      </c>
      <c r="CX144" s="44" t="s">
        <v>143</v>
      </c>
      <c r="CY144" s="44" t="s">
        <v>144</v>
      </c>
      <c r="CZ144" s="76" t="s">
        <v>151</v>
      </c>
      <c r="DA144" s="44">
        <v>2700.0</v>
      </c>
      <c r="DB144" s="44">
        <v>0.0</v>
      </c>
      <c r="DC144" s="43"/>
      <c r="DD144" s="78"/>
      <c r="DE144" s="43"/>
      <c r="DF144" s="43"/>
      <c r="DG144" s="48" t="s">
        <v>128</v>
      </c>
      <c r="DH144" s="48" t="s">
        <v>128</v>
      </c>
      <c r="DI144" s="48" t="s">
        <v>128</v>
      </c>
      <c r="DJ144" s="49">
        <v>0.8966</v>
      </c>
      <c r="DK144" s="48" t="b">
        <v>0</v>
      </c>
      <c r="DL144" s="50" t="s">
        <v>466</v>
      </c>
      <c r="DM144" s="50" t="s">
        <v>131</v>
      </c>
      <c r="DN144" s="50" t="s">
        <v>467</v>
      </c>
      <c r="DO144" s="49">
        <v>0.86</v>
      </c>
      <c r="DP144" s="48" t="s">
        <v>128</v>
      </c>
      <c r="DQ144" s="48" t="s">
        <v>128</v>
      </c>
      <c r="DR144" s="51"/>
      <c r="DS144" s="48" t="s">
        <v>134</v>
      </c>
    </row>
    <row r="145">
      <c r="A145" s="52" t="s">
        <v>118</v>
      </c>
      <c r="B145" s="53">
        <v>3.0</v>
      </c>
      <c r="C145" s="52" t="s">
        <v>119</v>
      </c>
      <c r="D145" s="53">
        <v>627274.0</v>
      </c>
      <c r="E145" s="52" t="s">
        <v>173</v>
      </c>
      <c r="F145" s="52" t="s">
        <v>484</v>
      </c>
      <c r="G145" s="52" t="s">
        <v>485</v>
      </c>
      <c r="H145" s="53">
        <v>85339.0</v>
      </c>
      <c r="I145" s="53">
        <v>67.0</v>
      </c>
      <c r="J145" s="53">
        <v>0.0</v>
      </c>
      <c r="K145" s="53">
        <v>1.0</v>
      </c>
      <c r="L145" s="53">
        <v>2.0</v>
      </c>
      <c r="M145" s="53">
        <v>0.0</v>
      </c>
      <c r="N145" s="53">
        <v>0.0</v>
      </c>
      <c r="O145" s="53">
        <v>1.0</v>
      </c>
      <c r="P145" s="53">
        <v>0.0</v>
      </c>
      <c r="Q145" s="53">
        <v>3.0</v>
      </c>
      <c r="R145" s="53">
        <v>0.0</v>
      </c>
      <c r="S145" s="53">
        <v>4.0</v>
      </c>
      <c r="T145" s="53">
        <v>2.0</v>
      </c>
      <c r="U145" s="53">
        <v>7.0</v>
      </c>
      <c r="V145" s="53">
        <v>1.0</v>
      </c>
      <c r="W145" s="53">
        <v>3.0</v>
      </c>
      <c r="X145" s="53">
        <v>1.0</v>
      </c>
      <c r="Y145" s="53">
        <v>4.0</v>
      </c>
      <c r="Z145" s="53">
        <v>1.0</v>
      </c>
      <c r="AA145" s="53">
        <v>1.0</v>
      </c>
      <c r="AB145" s="53">
        <v>5.0</v>
      </c>
      <c r="AC145" s="53">
        <v>3.0</v>
      </c>
      <c r="AD145" s="53">
        <v>4.0</v>
      </c>
      <c r="AE145" s="53">
        <v>4.0</v>
      </c>
      <c r="AF145" s="53">
        <v>5.0</v>
      </c>
      <c r="AG145" s="53">
        <v>2.0</v>
      </c>
      <c r="AH145" s="53">
        <v>2.0</v>
      </c>
      <c r="AI145" s="53">
        <v>3.0</v>
      </c>
      <c r="AJ145" s="53">
        <v>5.0</v>
      </c>
      <c r="AK145" s="53">
        <v>2.0</v>
      </c>
      <c r="AL145" s="53">
        <v>0.0</v>
      </c>
      <c r="AM145" s="53">
        <v>1.0</v>
      </c>
      <c r="AN145" s="53">
        <v>0.0</v>
      </c>
      <c r="AO145" s="25">
        <v>20.2</v>
      </c>
      <c r="AP145" s="54"/>
      <c r="AQ145" s="53">
        <v>6.9</v>
      </c>
      <c r="AR145" s="53">
        <v>9.81</v>
      </c>
      <c r="AS145" s="54"/>
      <c r="AT145" s="54"/>
      <c r="AU145" s="53">
        <v>13.55</v>
      </c>
      <c r="AV145" s="54"/>
      <c r="AW145" s="53">
        <v>15.48</v>
      </c>
      <c r="AX145" s="54"/>
      <c r="AY145" s="53">
        <v>20.8</v>
      </c>
      <c r="AZ145" s="53">
        <v>14.23</v>
      </c>
      <c r="BA145" s="53">
        <v>19.25</v>
      </c>
      <c r="BB145" s="53">
        <v>11.47</v>
      </c>
      <c r="BC145" s="53">
        <v>15.82</v>
      </c>
      <c r="BD145" s="53">
        <v>18.32</v>
      </c>
      <c r="BE145" s="53">
        <v>20.35</v>
      </c>
      <c r="BF145" s="53">
        <v>19.02</v>
      </c>
      <c r="BG145" s="53">
        <v>24.08</v>
      </c>
      <c r="BH145" s="53">
        <v>28.09</v>
      </c>
      <c r="BI145" s="53">
        <v>16.91</v>
      </c>
      <c r="BJ145" s="53">
        <v>19.0</v>
      </c>
      <c r="BK145" s="53">
        <v>29.48</v>
      </c>
      <c r="BL145" s="53">
        <v>21.03</v>
      </c>
      <c r="BM145" s="53">
        <v>22.18</v>
      </c>
      <c r="BN145" s="53">
        <v>19.29</v>
      </c>
      <c r="BO145" s="53">
        <v>0.38</v>
      </c>
      <c r="BP145" s="53">
        <v>1.58</v>
      </c>
      <c r="BQ145" s="53">
        <v>3.32</v>
      </c>
      <c r="BR145" s="53">
        <v>4.69</v>
      </c>
      <c r="BS145" s="25">
        <v>4.72</v>
      </c>
      <c r="BT145" s="56">
        <v>17.8</v>
      </c>
      <c r="BU145" s="55">
        <v>3.6</v>
      </c>
      <c r="BV145" s="25">
        <v>8.19</v>
      </c>
      <c r="BW145" s="53">
        <v>1400.0</v>
      </c>
      <c r="BX145" s="53">
        <v>2700.0</v>
      </c>
      <c r="BY145" s="53" t="s">
        <v>123</v>
      </c>
      <c r="BZ145" s="58">
        <v>2400.0</v>
      </c>
      <c r="CA145" s="29" t="s">
        <v>124</v>
      </c>
      <c r="CB145" s="30">
        <v>2700.0</v>
      </c>
      <c r="CC145" s="31"/>
      <c r="CD145" s="58">
        <v>2700.0</v>
      </c>
      <c r="CE145" s="59" t="e">
        <v>#REF!</v>
      </c>
      <c r="CF145" s="60"/>
      <c r="CG145" s="61">
        <v>0.0</v>
      </c>
      <c r="CH145" s="62">
        <v>0.0</v>
      </c>
      <c r="CI145" s="63">
        <v>67.0</v>
      </c>
      <c r="CJ145" s="63">
        <v>3108.0</v>
      </c>
      <c r="CK145" s="64">
        <v>-47.0</v>
      </c>
      <c r="CL145" s="63">
        <v>3061.0</v>
      </c>
      <c r="CM145" s="65">
        <v>1353.0</v>
      </c>
      <c r="CN145" s="63">
        <v>0.0</v>
      </c>
      <c r="CO145" s="66">
        <v>20.2</v>
      </c>
      <c r="CP145" s="67">
        <v>0.0</v>
      </c>
      <c r="CQ145" s="63">
        <v>106.0</v>
      </c>
      <c r="CR145" s="63">
        <v>106.0</v>
      </c>
      <c r="CS145" s="63">
        <v>316.0</v>
      </c>
      <c r="CT145" s="68"/>
      <c r="CU145" s="69"/>
      <c r="CV145" s="70"/>
      <c r="CW145" s="71">
        <v>9.0</v>
      </c>
      <c r="CX145" s="71" t="s">
        <v>143</v>
      </c>
      <c r="CY145" s="71" t="s">
        <v>144</v>
      </c>
      <c r="CZ145" s="45"/>
      <c r="DA145" s="44">
        <v>2700.0</v>
      </c>
      <c r="DB145" s="44">
        <v>0.0</v>
      </c>
      <c r="DC145" s="43"/>
      <c r="DD145" s="78"/>
      <c r="DE145" s="43"/>
      <c r="DF145" s="43"/>
      <c r="DG145" s="48" t="s">
        <v>128</v>
      </c>
      <c r="DH145" s="48" t="s">
        <v>128</v>
      </c>
      <c r="DI145" s="48" t="s">
        <v>128</v>
      </c>
      <c r="DJ145" s="49">
        <v>1.0</v>
      </c>
      <c r="DK145" s="48" t="b">
        <v>0</v>
      </c>
      <c r="DL145" s="50" t="s">
        <v>466</v>
      </c>
      <c r="DM145" s="50" t="s">
        <v>131</v>
      </c>
      <c r="DN145" s="50" t="s">
        <v>467</v>
      </c>
      <c r="DO145" s="49">
        <v>0.86</v>
      </c>
      <c r="DP145" s="48" t="s">
        <v>128</v>
      </c>
      <c r="DQ145" s="48" t="s">
        <v>128</v>
      </c>
      <c r="DR145" s="51"/>
      <c r="DS145" s="48" t="s">
        <v>134</v>
      </c>
    </row>
    <row r="146">
      <c r="A146" s="23" t="s">
        <v>118</v>
      </c>
      <c r="B146" s="24">
        <v>3.0</v>
      </c>
      <c r="C146" s="23" t="s">
        <v>119</v>
      </c>
      <c r="D146" s="24">
        <v>626041.0</v>
      </c>
      <c r="E146" s="23" t="s">
        <v>135</v>
      </c>
      <c r="F146" s="23" t="s">
        <v>486</v>
      </c>
      <c r="G146" s="23" t="s">
        <v>487</v>
      </c>
      <c r="H146" s="24">
        <v>85339.0</v>
      </c>
      <c r="I146" s="24">
        <v>20.0</v>
      </c>
      <c r="J146" s="24">
        <v>0.0</v>
      </c>
      <c r="K146" s="24">
        <v>0.0</v>
      </c>
      <c r="L146" s="24">
        <v>0.0</v>
      </c>
      <c r="M146" s="24">
        <v>2.0</v>
      </c>
      <c r="N146" s="24">
        <v>1.0</v>
      </c>
      <c r="O146" s="24">
        <v>2.0</v>
      </c>
      <c r="P146" s="24">
        <v>0.0</v>
      </c>
      <c r="Q146" s="24">
        <v>1.0</v>
      </c>
      <c r="R146" s="24">
        <v>0.0</v>
      </c>
      <c r="S146" s="24">
        <v>2.0</v>
      </c>
      <c r="T146" s="24">
        <v>1.0</v>
      </c>
      <c r="U146" s="24">
        <v>1.0</v>
      </c>
      <c r="V146" s="24">
        <v>1.0</v>
      </c>
      <c r="W146" s="24">
        <v>2.0</v>
      </c>
      <c r="X146" s="24">
        <v>4.0</v>
      </c>
      <c r="Y146" s="24">
        <v>1.0</v>
      </c>
      <c r="Z146" s="24">
        <v>0.0</v>
      </c>
      <c r="AA146" s="24">
        <v>0.0</v>
      </c>
      <c r="AB146" s="24">
        <v>0.0</v>
      </c>
      <c r="AC146" s="24">
        <v>1.0</v>
      </c>
      <c r="AD146" s="24">
        <v>0.0</v>
      </c>
      <c r="AE146" s="24">
        <v>0.0</v>
      </c>
      <c r="AF146" s="24">
        <v>0.0</v>
      </c>
      <c r="AG146" s="24">
        <v>0.0</v>
      </c>
      <c r="AH146" s="24">
        <v>0.0</v>
      </c>
      <c r="AI146" s="24">
        <v>0.0</v>
      </c>
      <c r="AJ146" s="24">
        <v>0.0</v>
      </c>
      <c r="AK146" s="24">
        <v>0.0</v>
      </c>
      <c r="AL146" s="24">
        <v>0.0</v>
      </c>
      <c r="AM146" s="24">
        <v>0.0</v>
      </c>
      <c r="AN146" s="24">
        <v>1.0</v>
      </c>
      <c r="AO146" s="25">
        <v>17.3</v>
      </c>
      <c r="AP146" s="26"/>
      <c r="AQ146" s="26"/>
      <c r="AR146" s="26"/>
      <c r="AS146" s="24">
        <v>18.55</v>
      </c>
      <c r="AT146" s="24">
        <v>8.21</v>
      </c>
      <c r="AU146" s="24">
        <v>11.13</v>
      </c>
      <c r="AV146" s="26"/>
      <c r="AW146" s="26"/>
      <c r="AX146" s="26"/>
      <c r="AY146" s="24">
        <v>13.49</v>
      </c>
      <c r="AZ146" s="24">
        <v>13.67</v>
      </c>
      <c r="BA146" s="24">
        <v>23.43</v>
      </c>
      <c r="BB146" s="24">
        <v>15.02</v>
      </c>
      <c r="BC146" s="24">
        <v>24.6</v>
      </c>
      <c r="BD146" s="24">
        <v>19.88</v>
      </c>
      <c r="BE146" s="24">
        <v>31.45</v>
      </c>
      <c r="BF146" s="26"/>
      <c r="BG146" s="26"/>
      <c r="BH146" s="26"/>
      <c r="BI146" s="24">
        <v>10.6</v>
      </c>
      <c r="BJ146" s="26"/>
      <c r="BK146" s="26"/>
      <c r="BL146" s="26"/>
      <c r="BM146" s="26"/>
      <c r="BN146" s="26"/>
      <c r="BO146" s="24">
        <v>0.35</v>
      </c>
      <c r="BP146" s="24">
        <v>2.19</v>
      </c>
      <c r="BQ146" s="24">
        <v>2.72</v>
      </c>
      <c r="BR146" s="24">
        <v>4.71</v>
      </c>
      <c r="BS146" s="25">
        <v>4.51</v>
      </c>
      <c r="BT146" s="56">
        <v>18.3</v>
      </c>
      <c r="BU146" s="55">
        <v>3.9</v>
      </c>
      <c r="BV146" s="25">
        <v>7.46</v>
      </c>
      <c r="BW146" s="24">
        <v>1300.0</v>
      </c>
      <c r="BX146" s="24">
        <v>2400.0</v>
      </c>
      <c r="BY146" s="24" t="s">
        <v>123</v>
      </c>
      <c r="BZ146" s="28">
        <v>2100.0</v>
      </c>
      <c r="CA146" s="29" t="s">
        <v>124</v>
      </c>
      <c r="CB146" s="30">
        <v>2700.0</v>
      </c>
      <c r="CC146" s="31"/>
      <c r="CD146" s="28">
        <v>2700.0</v>
      </c>
      <c r="CE146" s="32" t="e">
        <v>#REF!</v>
      </c>
      <c r="CF146" s="73">
        <f>+300</f>
        <v>300</v>
      </c>
      <c r="CG146" s="74">
        <f>+3</f>
        <v>3</v>
      </c>
      <c r="CH146" s="35">
        <v>0.15</v>
      </c>
      <c r="CI146" s="36">
        <v>23.0</v>
      </c>
      <c r="CJ146" s="36">
        <v>3108.0</v>
      </c>
      <c r="CK146" s="37">
        <v>-47.0</v>
      </c>
      <c r="CL146" s="36">
        <v>3061.0</v>
      </c>
      <c r="CM146" s="38">
        <v>346.0</v>
      </c>
      <c r="CN146" s="36">
        <v>-81.0</v>
      </c>
      <c r="CO146" s="39">
        <v>18.6</v>
      </c>
      <c r="CP146" s="75">
        <f>+1.3</f>
        <v>1.3</v>
      </c>
      <c r="CQ146" s="36">
        <v>44.0</v>
      </c>
      <c r="CR146" s="36">
        <v>50.0</v>
      </c>
      <c r="CS146" s="36">
        <v>104.0</v>
      </c>
      <c r="CT146" s="41"/>
      <c r="CU146" s="42"/>
      <c r="CV146" s="43"/>
      <c r="CW146" s="44">
        <v>9.0</v>
      </c>
      <c r="CX146" s="44" t="s">
        <v>143</v>
      </c>
      <c r="CY146" s="44" t="s">
        <v>144</v>
      </c>
      <c r="CZ146" s="76" t="s">
        <v>151</v>
      </c>
      <c r="DA146" s="44">
        <v>2700.0</v>
      </c>
      <c r="DB146" s="44">
        <v>0.0</v>
      </c>
      <c r="DC146" s="46" t="s">
        <v>127</v>
      </c>
      <c r="DD146" s="47">
        <v>46197.0</v>
      </c>
      <c r="DE146" s="43"/>
      <c r="DF146" s="43"/>
      <c r="DG146" s="48" t="s">
        <v>128</v>
      </c>
      <c r="DH146" s="48" t="s">
        <v>128</v>
      </c>
      <c r="DI146" s="48" t="s">
        <v>128</v>
      </c>
      <c r="DJ146" s="49">
        <v>1.0</v>
      </c>
      <c r="DK146" s="48" t="b">
        <v>0</v>
      </c>
      <c r="DL146" s="50" t="s">
        <v>466</v>
      </c>
      <c r="DM146" s="50" t="s">
        <v>131</v>
      </c>
      <c r="DN146" s="50" t="s">
        <v>467</v>
      </c>
      <c r="DO146" s="49">
        <v>0.86</v>
      </c>
      <c r="DP146" s="48" t="s">
        <v>128</v>
      </c>
      <c r="DQ146" s="48" t="s">
        <v>128</v>
      </c>
      <c r="DR146" s="51"/>
      <c r="DS146" s="48" t="s">
        <v>134</v>
      </c>
    </row>
    <row r="147">
      <c r="A147" s="52" t="s">
        <v>118</v>
      </c>
      <c r="B147" s="53">
        <v>3.0</v>
      </c>
      <c r="C147" s="52" t="s">
        <v>119</v>
      </c>
      <c r="D147" s="53">
        <v>648801.0</v>
      </c>
      <c r="E147" s="52" t="s">
        <v>198</v>
      </c>
      <c r="F147" s="52" t="s">
        <v>488</v>
      </c>
      <c r="G147" s="52" t="s">
        <v>489</v>
      </c>
      <c r="H147" s="53">
        <v>85339.0</v>
      </c>
      <c r="I147" s="53">
        <v>38.0</v>
      </c>
      <c r="J147" s="53">
        <v>0.0</v>
      </c>
      <c r="K147" s="53">
        <v>0.0</v>
      </c>
      <c r="L147" s="53">
        <v>0.0</v>
      </c>
      <c r="M147" s="53">
        <v>1.0</v>
      </c>
      <c r="N147" s="53">
        <v>3.0</v>
      </c>
      <c r="O147" s="53">
        <v>4.0</v>
      </c>
      <c r="P147" s="53">
        <v>0.0</v>
      </c>
      <c r="Q147" s="53">
        <v>1.0</v>
      </c>
      <c r="R147" s="53">
        <v>1.0</v>
      </c>
      <c r="S147" s="53">
        <v>3.0</v>
      </c>
      <c r="T147" s="53">
        <v>1.0</v>
      </c>
      <c r="U147" s="53">
        <v>1.0</v>
      </c>
      <c r="V147" s="53">
        <v>3.0</v>
      </c>
      <c r="W147" s="53">
        <v>0.0</v>
      </c>
      <c r="X147" s="53">
        <v>1.0</v>
      </c>
      <c r="Y147" s="53">
        <v>0.0</v>
      </c>
      <c r="Z147" s="53">
        <v>2.0</v>
      </c>
      <c r="AA147" s="53">
        <v>0.0</v>
      </c>
      <c r="AB147" s="53">
        <v>3.0</v>
      </c>
      <c r="AC147" s="53">
        <v>2.0</v>
      </c>
      <c r="AD147" s="53">
        <v>0.0</v>
      </c>
      <c r="AE147" s="53">
        <v>2.0</v>
      </c>
      <c r="AF147" s="53">
        <v>1.0</v>
      </c>
      <c r="AG147" s="53">
        <v>1.0</v>
      </c>
      <c r="AH147" s="53">
        <v>1.0</v>
      </c>
      <c r="AI147" s="53">
        <v>1.0</v>
      </c>
      <c r="AJ147" s="53">
        <v>1.0</v>
      </c>
      <c r="AK147" s="53">
        <v>3.0</v>
      </c>
      <c r="AL147" s="53">
        <v>1.0</v>
      </c>
      <c r="AM147" s="53">
        <v>0.0</v>
      </c>
      <c r="AN147" s="53">
        <v>1.0</v>
      </c>
      <c r="AO147" s="25">
        <v>17.7</v>
      </c>
      <c r="AP147" s="54"/>
      <c r="AQ147" s="54"/>
      <c r="AR147" s="54"/>
      <c r="AS147" s="53">
        <v>11.55</v>
      </c>
      <c r="AT147" s="53">
        <v>42.18</v>
      </c>
      <c r="AU147" s="53">
        <v>14.7</v>
      </c>
      <c r="AV147" s="54"/>
      <c r="AW147" s="53">
        <v>24.92</v>
      </c>
      <c r="AX147" s="53">
        <v>24.63</v>
      </c>
      <c r="AY147" s="53">
        <v>10.42</v>
      </c>
      <c r="AZ147" s="53">
        <v>20.28</v>
      </c>
      <c r="BA147" s="53">
        <v>17.23</v>
      </c>
      <c r="BB147" s="53">
        <v>14.14</v>
      </c>
      <c r="BC147" s="54"/>
      <c r="BD147" s="53">
        <v>17.12</v>
      </c>
      <c r="BE147" s="54"/>
      <c r="BF147" s="53">
        <v>20.98</v>
      </c>
      <c r="BG147" s="54"/>
      <c r="BH147" s="53">
        <v>15.46</v>
      </c>
      <c r="BI147" s="53">
        <v>18.17</v>
      </c>
      <c r="BJ147" s="54"/>
      <c r="BK147" s="53">
        <v>16.72</v>
      </c>
      <c r="BL147" s="53">
        <v>14.25</v>
      </c>
      <c r="BM147" s="53">
        <v>22.88</v>
      </c>
      <c r="BN147" s="53">
        <v>22.03</v>
      </c>
      <c r="BO147" s="53">
        <v>0.39</v>
      </c>
      <c r="BP147" s="53">
        <v>1.41</v>
      </c>
      <c r="BQ147" s="53">
        <v>2.75</v>
      </c>
      <c r="BR147" s="53">
        <v>3.96</v>
      </c>
      <c r="BS147" s="25">
        <v>4.47</v>
      </c>
      <c r="BT147" s="56">
        <v>19.5</v>
      </c>
      <c r="BU147" s="25">
        <v>4.8</v>
      </c>
      <c r="BV147" s="25">
        <v>8.59</v>
      </c>
      <c r="BW147" s="54"/>
      <c r="BX147" s="53">
        <v>3000.0</v>
      </c>
      <c r="BY147" s="53" t="s">
        <v>123</v>
      </c>
      <c r="BZ147" s="58">
        <v>2700.0</v>
      </c>
      <c r="CA147" s="29" t="s">
        <v>124</v>
      </c>
      <c r="CB147" s="30">
        <v>3000.0</v>
      </c>
      <c r="CC147" s="31"/>
      <c r="CD147" s="58">
        <v>3000.0</v>
      </c>
      <c r="CE147" s="59" t="e">
        <v>#REF!</v>
      </c>
      <c r="CF147" s="60"/>
      <c r="CG147" s="61">
        <v>0.0</v>
      </c>
      <c r="CH147" s="62">
        <v>0.0</v>
      </c>
      <c r="CI147" s="63">
        <v>38.0</v>
      </c>
      <c r="CJ147" s="63">
        <v>3108.0</v>
      </c>
      <c r="CK147" s="64">
        <v>-47.0</v>
      </c>
      <c r="CL147" s="63">
        <v>3061.0</v>
      </c>
      <c r="CM147" s="65">
        <v>673.0</v>
      </c>
      <c r="CN147" s="63">
        <v>0.0</v>
      </c>
      <c r="CO147" s="66">
        <v>17.7</v>
      </c>
      <c r="CP147" s="67">
        <v>0.0</v>
      </c>
      <c r="CQ147" s="63">
        <v>54.0</v>
      </c>
      <c r="CR147" s="63">
        <v>54.0</v>
      </c>
      <c r="CS147" s="63">
        <v>170.0</v>
      </c>
      <c r="CT147" s="68"/>
      <c r="CU147" s="69"/>
      <c r="CV147" s="70"/>
      <c r="CW147" s="71">
        <v>10.0</v>
      </c>
      <c r="CX147" s="71" t="s">
        <v>138</v>
      </c>
      <c r="CY147" s="71" t="s">
        <v>139</v>
      </c>
      <c r="CZ147" s="45"/>
      <c r="DA147" s="44">
        <v>3000.0</v>
      </c>
      <c r="DB147" s="44">
        <v>0.0</v>
      </c>
      <c r="DC147" s="46" t="s">
        <v>127</v>
      </c>
      <c r="DD147" s="47">
        <v>46240.0</v>
      </c>
      <c r="DE147" s="43"/>
      <c r="DF147" s="43"/>
      <c r="DG147" s="48" t="s">
        <v>128</v>
      </c>
      <c r="DH147" s="48" t="s">
        <v>128</v>
      </c>
      <c r="DI147" s="48" t="s">
        <v>128</v>
      </c>
      <c r="DJ147" s="49">
        <v>1.0</v>
      </c>
      <c r="DK147" s="48" t="b">
        <v>0</v>
      </c>
      <c r="DL147" s="50" t="s">
        <v>466</v>
      </c>
      <c r="DM147" s="50" t="s">
        <v>131</v>
      </c>
      <c r="DN147" s="50" t="s">
        <v>467</v>
      </c>
      <c r="DO147" s="49">
        <v>0.86</v>
      </c>
      <c r="DP147" s="48" t="s">
        <v>128</v>
      </c>
      <c r="DQ147" s="48" t="s">
        <v>128</v>
      </c>
      <c r="DR147" s="51"/>
      <c r="DS147" s="48" t="s">
        <v>134</v>
      </c>
    </row>
    <row r="148">
      <c r="A148" s="23" t="s">
        <v>118</v>
      </c>
      <c r="B148" s="24">
        <v>3.0</v>
      </c>
      <c r="C148" s="23" t="s">
        <v>119</v>
      </c>
      <c r="D148" s="24">
        <v>558730.0</v>
      </c>
      <c r="E148" s="23" t="s">
        <v>148</v>
      </c>
      <c r="F148" s="23" t="s">
        <v>490</v>
      </c>
      <c r="G148" s="23" t="s">
        <v>491</v>
      </c>
      <c r="H148" s="24">
        <v>85339.0</v>
      </c>
      <c r="I148" s="24">
        <v>90.0</v>
      </c>
      <c r="J148" s="24">
        <v>0.0</v>
      </c>
      <c r="K148" s="24">
        <v>0.0</v>
      </c>
      <c r="L148" s="24">
        <v>0.0</v>
      </c>
      <c r="M148" s="24">
        <v>2.0</v>
      </c>
      <c r="N148" s="24">
        <v>3.0</v>
      </c>
      <c r="O148" s="24">
        <v>4.0</v>
      </c>
      <c r="P148" s="24">
        <v>1.0</v>
      </c>
      <c r="Q148" s="24">
        <v>3.0</v>
      </c>
      <c r="R148" s="24">
        <v>0.0</v>
      </c>
      <c r="S148" s="24">
        <v>3.0</v>
      </c>
      <c r="T148" s="24">
        <v>5.0</v>
      </c>
      <c r="U148" s="24">
        <v>2.0</v>
      </c>
      <c r="V148" s="24">
        <v>1.0</v>
      </c>
      <c r="W148" s="24">
        <v>1.0</v>
      </c>
      <c r="X148" s="24">
        <v>0.0</v>
      </c>
      <c r="Y148" s="24">
        <v>2.0</v>
      </c>
      <c r="Z148" s="24">
        <v>7.0</v>
      </c>
      <c r="AA148" s="24">
        <v>10.0</v>
      </c>
      <c r="AB148" s="24">
        <v>4.0</v>
      </c>
      <c r="AC148" s="24">
        <v>7.0</v>
      </c>
      <c r="AD148" s="24">
        <v>3.0</v>
      </c>
      <c r="AE148" s="24">
        <v>9.0</v>
      </c>
      <c r="AF148" s="24">
        <v>4.0</v>
      </c>
      <c r="AG148" s="24">
        <v>1.0</v>
      </c>
      <c r="AH148" s="24">
        <v>2.0</v>
      </c>
      <c r="AI148" s="24">
        <v>3.0</v>
      </c>
      <c r="AJ148" s="24">
        <v>0.0</v>
      </c>
      <c r="AK148" s="24">
        <v>6.0</v>
      </c>
      <c r="AL148" s="24">
        <v>4.0</v>
      </c>
      <c r="AM148" s="24">
        <v>3.0</v>
      </c>
      <c r="AN148" s="24">
        <v>0.0</v>
      </c>
      <c r="AO148" s="25">
        <v>18.9</v>
      </c>
      <c r="AP148" s="26"/>
      <c r="AQ148" s="26"/>
      <c r="AR148" s="26"/>
      <c r="AS148" s="24">
        <v>14.77</v>
      </c>
      <c r="AT148" s="24">
        <v>23.93</v>
      </c>
      <c r="AU148" s="24">
        <v>17.47</v>
      </c>
      <c r="AV148" s="24">
        <v>19.18</v>
      </c>
      <c r="AW148" s="24">
        <v>14.47</v>
      </c>
      <c r="AX148" s="26"/>
      <c r="AY148" s="24">
        <v>13.95</v>
      </c>
      <c r="AZ148" s="24">
        <v>15.33</v>
      </c>
      <c r="BA148" s="24">
        <v>18.57</v>
      </c>
      <c r="BB148" s="24">
        <v>15.85</v>
      </c>
      <c r="BC148" s="24">
        <v>16.92</v>
      </c>
      <c r="BD148" s="26"/>
      <c r="BE148" s="24">
        <v>33.07</v>
      </c>
      <c r="BF148" s="24">
        <v>20.93</v>
      </c>
      <c r="BG148" s="24">
        <v>19.48</v>
      </c>
      <c r="BH148" s="24">
        <v>18.01</v>
      </c>
      <c r="BI148" s="24">
        <v>19.08</v>
      </c>
      <c r="BJ148" s="24">
        <v>17.74</v>
      </c>
      <c r="BK148" s="24">
        <v>17.29</v>
      </c>
      <c r="BL148" s="24">
        <v>14.17</v>
      </c>
      <c r="BM148" s="24">
        <v>25.52</v>
      </c>
      <c r="BN148" s="24">
        <v>22.95</v>
      </c>
      <c r="BO148" s="24">
        <v>0.37</v>
      </c>
      <c r="BP148" s="24">
        <v>2.07</v>
      </c>
      <c r="BQ148" s="24">
        <v>3.31</v>
      </c>
      <c r="BR148" s="24">
        <v>5.18</v>
      </c>
      <c r="BS148" s="25">
        <v>4.16</v>
      </c>
      <c r="BT148" s="56">
        <v>19.8</v>
      </c>
      <c r="BU148" s="55">
        <v>3.4</v>
      </c>
      <c r="BV148" s="25">
        <v>8.48</v>
      </c>
      <c r="BW148" s="24">
        <v>400.0</v>
      </c>
      <c r="BX148" s="24">
        <v>3000.0</v>
      </c>
      <c r="BY148" s="24" t="s">
        <v>123</v>
      </c>
      <c r="BZ148" s="28">
        <v>2700.0</v>
      </c>
      <c r="CA148" s="29" t="s">
        <v>124</v>
      </c>
      <c r="CB148" s="30">
        <v>3000.0</v>
      </c>
      <c r="CC148" s="31"/>
      <c r="CD148" s="28">
        <v>3000.0</v>
      </c>
      <c r="CE148" s="32" t="e">
        <v>#REF!</v>
      </c>
      <c r="CF148" s="33"/>
      <c r="CG148" s="34">
        <v>0.0</v>
      </c>
      <c r="CH148" s="35">
        <v>0.0</v>
      </c>
      <c r="CI148" s="36">
        <v>90.0</v>
      </c>
      <c r="CJ148" s="36">
        <v>3108.0</v>
      </c>
      <c r="CK148" s="37">
        <v>-47.0</v>
      </c>
      <c r="CL148" s="36">
        <v>3061.0</v>
      </c>
      <c r="CM148" s="38">
        <v>1701.0</v>
      </c>
      <c r="CN148" s="36">
        <v>0.0</v>
      </c>
      <c r="CO148" s="39">
        <v>18.9</v>
      </c>
      <c r="CP148" s="40">
        <v>0.0</v>
      </c>
      <c r="CQ148" s="36">
        <v>186.0</v>
      </c>
      <c r="CR148" s="36">
        <v>186.0</v>
      </c>
      <c r="CS148" s="36">
        <v>374.0</v>
      </c>
      <c r="CT148" s="41"/>
      <c r="CU148" s="42"/>
      <c r="CV148" s="43"/>
      <c r="CW148" s="44">
        <v>10.0</v>
      </c>
      <c r="CX148" s="44" t="s">
        <v>138</v>
      </c>
      <c r="CY148" s="44" t="s">
        <v>139</v>
      </c>
      <c r="CZ148" s="45"/>
      <c r="DA148" s="44">
        <v>3000.0</v>
      </c>
      <c r="DB148" s="44">
        <v>0.0</v>
      </c>
      <c r="DC148" s="43"/>
      <c r="DD148" s="78"/>
      <c r="DE148" s="43"/>
      <c r="DF148" s="43"/>
      <c r="DG148" s="48" t="s">
        <v>128</v>
      </c>
      <c r="DH148" s="48" t="s">
        <v>128</v>
      </c>
      <c r="DI148" s="48" t="s">
        <v>128</v>
      </c>
      <c r="DJ148" s="49">
        <v>1.0</v>
      </c>
      <c r="DK148" s="48" t="b">
        <v>0</v>
      </c>
      <c r="DL148" s="50" t="s">
        <v>466</v>
      </c>
      <c r="DM148" s="50" t="s">
        <v>131</v>
      </c>
      <c r="DN148" s="50" t="s">
        <v>467</v>
      </c>
      <c r="DO148" s="49">
        <v>0.86</v>
      </c>
      <c r="DP148" s="48" t="s">
        <v>128</v>
      </c>
      <c r="DQ148" s="48" t="s">
        <v>128</v>
      </c>
      <c r="DR148" s="51"/>
      <c r="DS148" s="48" t="s">
        <v>134</v>
      </c>
    </row>
    <row r="149">
      <c r="A149" s="52" t="s">
        <v>118</v>
      </c>
      <c r="B149" s="53">
        <v>3.0</v>
      </c>
      <c r="C149" s="52" t="s">
        <v>119</v>
      </c>
      <c r="D149" s="53">
        <v>536832.0</v>
      </c>
      <c r="E149" s="52" t="s">
        <v>158</v>
      </c>
      <c r="F149" s="52" t="s">
        <v>492</v>
      </c>
      <c r="G149" s="52" t="s">
        <v>493</v>
      </c>
      <c r="H149" s="53">
        <v>85339.0</v>
      </c>
      <c r="I149" s="53">
        <v>51.0</v>
      </c>
      <c r="J149" s="53">
        <v>0.0</v>
      </c>
      <c r="K149" s="53">
        <v>1.0</v>
      </c>
      <c r="L149" s="53">
        <v>0.0</v>
      </c>
      <c r="M149" s="53">
        <v>1.0</v>
      </c>
      <c r="N149" s="53">
        <v>5.0</v>
      </c>
      <c r="O149" s="53">
        <v>5.0</v>
      </c>
      <c r="P149" s="53">
        <v>0.0</v>
      </c>
      <c r="Q149" s="53">
        <v>0.0</v>
      </c>
      <c r="R149" s="53">
        <v>1.0</v>
      </c>
      <c r="S149" s="53">
        <v>3.0</v>
      </c>
      <c r="T149" s="53">
        <v>3.0</v>
      </c>
      <c r="U149" s="53">
        <v>2.0</v>
      </c>
      <c r="V149" s="53">
        <v>1.0</v>
      </c>
      <c r="W149" s="53">
        <v>3.0</v>
      </c>
      <c r="X149" s="53">
        <v>2.0</v>
      </c>
      <c r="Y149" s="53">
        <v>2.0</v>
      </c>
      <c r="Z149" s="53">
        <v>2.0</v>
      </c>
      <c r="AA149" s="53">
        <v>1.0</v>
      </c>
      <c r="AB149" s="53">
        <v>2.0</v>
      </c>
      <c r="AC149" s="53">
        <v>2.0</v>
      </c>
      <c r="AD149" s="53">
        <v>4.0</v>
      </c>
      <c r="AE149" s="53">
        <v>7.0</v>
      </c>
      <c r="AF149" s="53">
        <v>1.0</v>
      </c>
      <c r="AG149" s="53">
        <v>0.0</v>
      </c>
      <c r="AH149" s="53">
        <v>1.0</v>
      </c>
      <c r="AI149" s="53">
        <v>1.0</v>
      </c>
      <c r="AJ149" s="53">
        <v>0.0</v>
      </c>
      <c r="AK149" s="53">
        <v>0.0</v>
      </c>
      <c r="AL149" s="53">
        <v>0.0</v>
      </c>
      <c r="AM149" s="53">
        <v>0.0</v>
      </c>
      <c r="AN149" s="53">
        <v>1.0</v>
      </c>
      <c r="AO149" s="25">
        <v>18.0</v>
      </c>
      <c r="AP149" s="54"/>
      <c r="AQ149" s="53">
        <v>12.02</v>
      </c>
      <c r="AR149" s="54"/>
      <c r="AS149" s="53">
        <v>10.6</v>
      </c>
      <c r="AT149" s="53">
        <v>81.75</v>
      </c>
      <c r="AU149" s="53">
        <v>16.21</v>
      </c>
      <c r="AV149" s="54"/>
      <c r="AW149" s="54"/>
      <c r="AX149" s="53">
        <v>17.38</v>
      </c>
      <c r="AY149" s="53">
        <v>13.66</v>
      </c>
      <c r="AZ149" s="53">
        <v>21.14</v>
      </c>
      <c r="BA149" s="53">
        <v>19.86</v>
      </c>
      <c r="BB149" s="53">
        <v>11.07</v>
      </c>
      <c r="BC149" s="53">
        <v>15.97</v>
      </c>
      <c r="BD149" s="53">
        <v>20.04</v>
      </c>
      <c r="BE149" s="53">
        <v>19.33</v>
      </c>
      <c r="BF149" s="53">
        <v>17.37</v>
      </c>
      <c r="BG149" s="53">
        <v>23.47</v>
      </c>
      <c r="BH149" s="53">
        <v>21.93</v>
      </c>
      <c r="BI149" s="53">
        <v>23.11</v>
      </c>
      <c r="BJ149" s="53">
        <v>21.23</v>
      </c>
      <c r="BK149" s="53">
        <v>18.33</v>
      </c>
      <c r="BL149" s="53">
        <v>21.3</v>
      </c>
      <c r="BM149" s="54"/>
      <c r="BN149" s="53">
        <v>16.78</v>
      </c>
      <c r="BO149" s="53">
        <v>0.26</v>
      </c>
      <c r="BP149" s="53">
        <v>1.67</v>
      </c>
      <c r="BQ149" s="53">
        <v>4.11</v>
      </c>
      <c r="BR149" s="53">
        <v>5.57</v>
      </c>
      <c r="BS149" s="25">
        <v>4.11</v>
      </c>
      <c r="BT149" s="56">
        <v>20.5</v>
      </c>
      <c r="BU149" s="25">
        <v>5.2</v>
      </c>
      <c r="BV149" s="25">
        <v>8.44</v>
      </c>
      <c r="BW149" s="53">
        <v>1400.0</v>
      </c>
      <c r="BX149" s="53">
        <v>2700.0</v>
      </c>
      <c r="BY149" s="53" t="s">
        <v>123</v>
      </c>
      <c r="BZ149" s="58">
        <v>2400.0</v>
      </c>
      <c r="CA149" s="29" t="s">
        <v>124</v>
      </c>
      <c r="CB149" s="30">
        <v>3000.0</v>
      </c>
      <c r="CC149" s="31"/>
      <c r="CD149" s="58">
        <v>3000.0</v>
      </c>
      <c r="CE149" s="59" t="e">
        <v>#REF!</v>
      </c>
      <c r="CF149" s="79">
        <f t="shared" ref="CF149:CF154" si="7">+300</f>
        <v>300</v>
      </c>
      <c r="CG149" s="80">
        <f>+6</f>
        <v>6</v>
      </c>
      <c r="CH149" s="62">
        <v>0.12</v>
      </c>
      <c r="CI149" s="63">
        <v>57.0</v>
      </c>
      <c r="CJ149" s="63">
        <v>3108.0</v>
      </c>
      <c r="CK149" s="64">
        <v>-47.0</v>
      </c>
      <c r="CL149" s="63">
        <v>3061.0</v>
      </c>
      <c r="CM149" s="65">
        <v>918.0</v>
      </c>
      <c r="CN149" s="63">
        <v>-466.0</v>
      </c>
      <c r="CO149" s="66">
        <v>24.3</v>
      </c>
      <c r="CP149" s="90">
        <f>+6.3</f>
        <v>6.3</v>
      </c>
      <c r="CQ149" s="63">
        <v>85.0</v>
      </c>
      <c r="CR149" s="63">
        <v>95.0</v>
      </c>
      <c r="CS149" s="63">
        <v>234.0</v>
      </c>
      <c r="CT149" s="68"/>
      <c r="CU149" s="69"/>
      <c r="CV149" s="70"/>
      <c r="CW149" s="71">
        <v>10.0</v>
      </c>
      <c r="CX149" s="71" t="s">
        <v>138</v>
      </c>
      <c r="CY149" s="71" t="s">
        <v>139</v>
      </c>
      <c r="CZ149" s="76" t="s">
        <v>151</v>
      </c>
      <c r="DA149" s="44">
        <v>3000.0</v>
      </c>
      <c r="DB149" s="44">
        <v>0.0</v>
      </c>
      <c r="DC149" s="46" t="s">
        <v>127</v>
      </c>
      <c r="DD149" s="47">
        <v>46233.0</v>
      </c>
      <c r="DE149" s="43"/>
      <c r="DF149" s="43"/>
      <c r="DG149" s="48" t="s">
        <v>128</v>
      </c>
      <c r="DH149" s="48" t="s">
        <v>128</v>
      </c>
      <c r="DI149" s="48" t="s">
        <v>128</v>
      </c>
      <c r="DJ149" s="49">
        <v>1.0</v>
      </c>
      <c r="DK149" s="48" t="b">
        <v>0</v>
      </c>
      <c r="DL149" s="50" t="s">
        <v>466</v>
      </c>
      <c r="DM149" s="50" t="s">
        <v>131</v>
      </c>
      <c r="DN149" s="50" t="s">
        <v>467</v>
      </c>
      <c r="DO149" s="49">
        <v>0.86</v>
      </c>
      <c r="DP149" s="48" t="s">
        <v>128</v>
      </c>
      <c r="DQ149" s="48" t="s">
        <v>128</v>
      </c>
      <c r="DR149" s="51"/>
      <c r="DS149" s="48" t="s">
        <v>134</v>
      </c>
    </row>
    <row r="150">
      <c r="A150" s="23" t="s">
        <v>118</v>
      </c>
      <c r="B150" s="24">
        <v>3.0</v>
      </c>
      <c r="C150" s="23" t="s">
        <v>119</v>
      </c>
      <c r="D150" s="24">
        <v>648806.0</v>
      </c>
      <c r="E150" s="23" t="s">
        <v>179</v>
      </c>
      <c r="F150" s="23" t="s">
        <v>494</v>
      </c>
      <c r="G150" s="23" t="s">
        <v>495</v>
      </c>
      <c r="H150" s="24">
        <v>85339.0</v>
      </c>
      <c r="I150" s="24">
        <v>13.0</v>
      </c>
      <c r="J150" s="24">
        <v>0.0</v>
      </c>
      <c r="K150" s="24">
        <v>0.0</v>
      </c>
      <c r="L150" s="24">
        <v>1.0</v>
      </c>
      <c r="M150" s="24">
        <v>0.0</v>
      </c>
      <c r="N150" s="24">
        <v>0.0</v>
      </c>
      <c r="O150" s="24">
        <v>0.0</v>
      </c>
      <c r="P150" s="24">
        <v>1.0</v>
      </c>
      <c r="Q150" s="24">
        <v>2.0</v>
      </c>
      <c r="R150" s="24">
        <v>1.0</v>
      </c>
      <c r="S150" s="24">
        <v>0.0</v>
      </c>
      <c r="T150" s="24">
        <v>1.0</v>
      </c>
      <c r="U150" s="24">
        <v>1.0</v>
      </c>
      <c r="V150" s="24">
        <v>1.0</v>
      </c>
      <c r="W150" s="24">
        <v>1.0</v>
      </c>
      <c r="X150" s="24">
        <v>0.0</v>
      </c>
      <c r="Y150" s="24">
        <v>1.0</v>
      </c>
      <c r="Z150" s="24">
        <v>0.0</v>
      </c>
      <c r="AA150" s="24">
        <v>0.0</v>
      </c>
      <c r="AB150" s="24">
        <v>1.0</v>
      </c>
      <c r="AC150" s="24">
        <v>0.0</v>
      </c>
      <c r="AD150" s="24">
        <v>0.0</v>
      </c>
      <c r="AE150" s="24">
        <v>2.0</v>
      </c>
      <c r="AF150" s="24">
        <v>0.0</v>
      </c>
      <c r="AG150" s="24">
        <v>0.0</v>
      </c>
      <c r="AH150" s="24">
        <v>0.0</v>
      </c>
      <c r="AI150" s="24">
        <v>0.0</v>
      </c>
      <c r="AJ150" s="24">
        <v>0.0</v>
      </c>
      <c r="AK150" s="24">
        <v>0.0</v>
      </c>
      <c r="AL150" s="24">
        <v>0.0</v>
      </c>
      <c r="AM150" s="24">
        <v>0.0</v>
      </c>
      <c r="AN150" s="24">
        <v>0.0</v>
      </c>
      <c r="AO150" s="55">
        <v>15.7</v>
      </c>
      <c r="AP150" s="26"/>
      <c r="AQ150" s="26"/>
      <c r="AR150" s="24">
        <v>8.2</v>
      </c>
      <c r="AS150" s="26"/>
      <c r="AT150" s="26"/>
      <c r="AU150" s="26"/>
      <c r="AV150" s="24">
        <v>15.03</v>
      </c>
      <c r="AW150" s="24">
        <v>12.31</v>
      </c>
      <c r="AX150" s="24">
        <v>17.85</v>
      </c>
      <c r="AY150" s="26"/>
      <c r="AZ150" s="24">
        <v>11.58</v>
      </c>
      <c r="BA150" s="24">
        <v>21.23</v>
      </c>
      <c r="BB150" s="24">
        <v>14.22</v>
      </c>
      <c r="BC150" s="24">
        <v>21.6</v>
      </c>
      <c r="BD150" s="26"/>
      <c r="BE150" s="24">
        <v>15.62</v>
      </c>
      <c r="BF150" s="26"/>
      <c r="BG150" s="26"/>
      <c r="BH150" s="24">
        <v>18.55</v>
      </c>
      <c r="BI150" s="26"/>
      <c r="BJ150" s="26"/>
      <c r="BK150" s="24">
        <v>17.94</v>
      </c>
      <c r="BL150" s="26"/>
      <c r="BM150" s="26"/>
      <c r="BN150" s="26"/>
      <c r="BO150" s="26"/>
      <c r="BP150" s="24">
        <v>1.75</v>
      </c>
      <c r="BQ150" s="24">
        <v>2.68</v>
      </c>
      <c r="BR150" s="24">
        <v>4.23</v>
      </c>
      <c r="BS150" s="25">
        <v>4.05</v>
      </c>
      <c r="BT150" s="91">
        <v>16.8</v>
      </c>
      <c r="BU150" s="25">
        <v>5.4</v>
      </c>
      <c r="BV150" s="55">
        <v>6.43</v>
      </c>
      <c r="BW150" s="26"/>
      <c r="BX150" s="24">
        <v>2400.0</v>
      </c>
      <c r="BY150" s="24" t="s">
        <v>123</v>
      </c>
      <c r="BZ150" s="28">
        <v>2400.0</v>
      </c>
      <c r="CA150" s="72"/>
      <c r="CB150" s="30">
        <v>2700.0</v>
      </c>
      <c r="CC150" s="31"/>
      <c r="CD150" s="28">
        <v>2700.0</v>
      </c>
      <c r="CE150" s="32" t="e">
        <v>#REF!</v>
      </c>
      <c r="CF150" s="73">
        <f t="shared" si="7"/>
        <v>300</v>
      </c>
      <c r="CG150" s="74">
        <f>+2</f>
        <v>2</v>
      </c>
      <c r="CH150" s="35">
        <v>0.15</v>
      </c>
      <c r="CI150" s="36">
        <v>15.0</v>
      </c>
      <c r="CJ150" s="36">
        <v>3108.0</v>
      </c>
      <c r="CK150" s="37">
        <v>-47.0</v>
      </c>
      <c r="CL150" s="36">
        <v>3061.0</v>
      </c>
      <c r="CM150" s="38">
        <v>204.0</v>
      </c>
      <c r="CN150" s="36">
        <v>-38.0</v>
      </c>
      <c r="CO150" s="39">
        <v>16.1</v>
      </c>
      <c r="CP150" s="40">
        <v>0.4</v>
      </c>
      <c r="CQ150" s="36">
        <v>23.0</v>
      </c>
      <c r="CR150" s="36">
        <v>26.0</v>
      </c>
      <c r="CS150" s="36">
        <v>61.0</v>
      </c>
      <c r="CT150" s="41"/>
      <c r="CU150" s="42"/>
      <c r="CV150" s="43"/>
      <c r="CW150" s="44">
        <v>9.0</v>
      </c>
      <c r="CX150" s="44" t="s">
        <v>143</v>
      </c>
      <c r="CY150" s="44" t="s">
        <v>144</v>
      </c>
      <c r="CZ150" s="76" t="s">
        <v>151</v>
      </c>
      <c r="DA150" s="44">
        <v>2700.0</v>
      </c>
      <c r="DB150" s="44">
        <v>0.0</v>
      </c>
      <c r="DC150" s="46" t="s">
        <v>127</v>
      </c>
      <c r="DD150" s="47">
        <v>46246.0</v>
      </c>
      <c r="DE150" s="43"/>
      <c r="DF150" s="43"/>
      <c r="DG150" s="48" t="s">
        <v>128</v>
      </c>
      <c r="DH150" s="48" t="s">
        <v>128</v>
      </c>
      <c r="DI150" s="48" t="s">
        <v>128</v>
      </c>
      <c r="DJ150" s="49">
        <v>1.0</v>
      </c>
      <c r="DK150" s="48" t="b">
        <v>0</v>
      </c>
      <c r="DL150" s="50" t="s">
        <v>466</v>
      </c>
      <c r="DM150" s="50" t="s">
        <v>131</v>
      </c>
      <c r="DN150" s="50" t="s">
        <v>467</v>
      </c>
      <c r="DO150" s="49">
        <v>0.86</v>
      </c>
      <c r="DP150" s="48" t="s">
        <v>128</v>
      </c>
      <c r="DQ150" s="48" t="s">
        <v>128</v>
      </c>
      <c r="DR150" s="51"/>
      <c r="DS150" s="48" t="s">
        <v>134</v>
      </c>
    </row>
    <row r="151">
      <c r="A151" s="52" t="s">
        <v>118</v>
      </c>
      <c r="B151" s="53">
        <v>3.0</v>
      </c>
      <c r="C151" s="52" t="s">
        <v>119</v>
      </c>
      <c r="D151" s="53">
        <v>669823.0</v>
      </c>
      <c r="E151" s="52" t="s">
        <v>214</v>
      </c>
      <c r="F151" s="52" t="s">
        <v>496</v>
      </c>
      <c r="G151" s="52" t="s">
        <v>497</v>
      </c>
      <c r="H151" s="53">
        <v>85339.0</v>
      </c>
      <c r="I151" s="53">
        <v>31.0</v>
      </c>
      <c r="J151" s="53">
        <v>0.0</v>
      </c>
      <c r="K151" s="53">
        <v>1.0</v>
      </c>
      <c r="L151" s="53">
        <v>0.0</v>
      </c>
      <c r="M151" s="53">
        <v>0.0</v>
      </c>
      <c r="N151" s="53">
        <v>3.0</v>
      </c>
      <c r="O151" s="53">
        <v>3.0</v>
      </c>
      <c r="P151" s="53">
        <v>1.0</v>
      </c>
      <c r="Q151" s="53">
        <v>3.0</v>
      </c>
      <c r="R151" s="53">
        <v>3.0</v>
      </c>
      <c r="S151" s="53">
        <v>1.0</v>
      </c>
      <c r="T151" s="53">
        <v>1.0</v>
      </c>
      <c r="U151" s="53">
        <v>0.0</v>
      </c>
      <c r="V151" s="53">
        <v>2.0</v>
      </c>
      <c r="W151" s="53">
        <v>1.0</v>
      </c>
      <c r="X151" s="53">
        <v>0.0</v>
      </c>
      <c r="Y151" s="53">
        <v>1.0</v>
      </c>
      <c r="Z151" s="53">
        <v>0.0</v>
      </c>
      <c r="AA151" s="53">
        <v>4.0</v>
      </c>
      <c r="AB151" s="53">
        <v>1.0</v>
      </c>
      <c r="AC151" s="53">
        <v>0.0</v>
      </c>
      <c r="AD151" s="53">
        <v>1.0</v>
      </c>
      <c r="AE151" s="53">
        <v>2.0</v>
      </c>
      <c r="AF151" s="53">
        <v>0.0</v>
      </c>
      <c r="AG151" s="53">
        <v>1.0</v>
      </c>
      <c r="AH151" s="53">
        <v>1.0</v>
      </c>
      <c r="AI151" s="53">
        <v>0.0</v>
      </c>
      <c r="AJ151" s="53">
        <v>0.0</v>
      </c>
      <c r="AK151" s="53">
        <v>0.0</v>
      </c>
      <c r="AL151" s="53">
        <v>0.0</v>
      </c>
      <c r="AM151" s="53">
        <v>0.0</v>
      </c>
      <c r="AN151" s="53">
        <v>1.0</v>
      </c>
      <c r="AO151" s="25">
        <v>17.3</v>
      </c>
      <c r="AP151" s="54"/>
      <c r="AQ151" s="53">
        <v>14.58</v>
      </c>
      <c r="AR151" s="54"/>
      <c r="AS151" s="54"/>
      <c r="AT151" s="53">
        <v>0.0</v>
      </c>
      <c r="AU151" s="53">
        <v>14.09</v>
      </c>
      <c r="AV151" s="53">
        <v>23.97</v>
      </c>
      <c r="AW151" s="53">
        <v>20.22</v>
      </c>
      <c r="AX151" s="53">
        <v>15.78</v>
      </c>
      <c r="AY151" s="53">
        <v>21.57</v>
      </c>
      <c r="AZ151" s="53">
        <v>16.63</v>
      </c>
      <c r="BA151" s="54"/>
      <c r="BB151" s="53">
        <v>17.85</v>
      </c>
      <c r="BC151" s="53">
        <v>11.18</v>
      </c>
      <c r="BD151" s="54"/>
      <c r="BE151" s="53">
        <v>27.02</v>
      </c>
      <c r="BF151" s="54"/>
      <c r="BG151" s="53">
        <v>19.2</v>
      </c>
      <c r="BH151" s="53">
        <v>19.48</v>
      </c>
      <c r="BI151" s="54"/>
      <c r="BJ151" s="53">
        <v>17.3</v>
      </c>
      <c r="BK151" s="53">
        <v>17.98</v>
      </c>
      <c r="BL151" s="54"/>
      <c r="BM151" s="53">
        <v>15.2</v>
      </c>
      <c r="BN151" s="53">
        <v>19.65</v>
      </c>
      <c r="BO151" s="53">
        <v>0.27</v>
      </c>
      <c r="BP151" s="53">
        <v>1.71</v>
      </c>
      <c r="BQ151" s="53">
        <v>4.05</v>
      </c>
      <c r="BR151" s="53">
        <v>5.56</v>
      </c>
      <c r="BS151" s="25">
        <v>4.02</v>
      </c>
      <c r="BT151" s="91">
        <v>16.0</v>
      </c>
      <c r="BU151" s="57">
        <v>1.9</v>
      </c>
      <c r="BV151" s="57">
        <v>4.23</v>
      </c>
      <c r="BW151" s="54"/>
      <c r="BX151" s="53">
        <v>2400.0</v>
      </c>
      <c r="BY151" s="53" t="s">
        <v>123</v>
      </c>
      <c r="BZ151" s="58">
        <v>2400.0</v>
      </c>
      <c r="CA151" s="72"/>
      <c r="CB151" s="30">
        <v>2700.0</v>
      </c>
      <c r="CC151" s="31"/>
      <c r="CD151" s="58">
        <v>2700.0</v>
      </c>
      <c r="CE151" s="59" t="e">
        <v>#REF!</v>
      </c>
      <c r="CF151" s="79">
        <f t="shared" si="7"/>
        <v>300</v>
      </c>
      <c r="CG151" s="80">
        <f>+4</f>
        <v>4</v>
      </c>
      <c r="CH151" s="62">
        <v>0.13</v>
      </c>
      <c r="CI151" s="63">
        <v>35.0</v>
      </c>
      <c r="CJ151" s="63">
        <v>3108.0</v>
      </c>
      <c r="CK151" s="64">
        <v>-47.0</v>
      </c>
      <c r="CL151" s="63">
        <v>3061.0</v>
      </c>
      <c r="CM151" s="65">
        <v>536.0</v>
      </c>
      <c r="CN151" s="63">
        <v>-107.0</v>
      </c>
      <c r="CO151" s="66">
        <v>18.4</v>
      </c>
      <c r="CP151" s="90">
        <f>+1.1</f>
        <v>1.1</v>
      </c>
      <c r="CQ151" s="63">
        <v>53.0</v>
      </c>
      <c r="CR151" s="63">
        <v>60.0</v>
      </c>
      <c r="CS151" s="63">
        <v>141.0</v>
      </c>
      <c r="CT151" s="68"/>
      <c r="CU151" s="69"/>
      <c r="CV151" s="70"/>
      <c r="CW151" s="71">
        <v>9.0</v>
      </c>
      <c r="CX151" s="71" t="s">
        <v>143</v>
      </c>
      <c r="CY151" s="71" t="s">
        <v>144</v>
      </c>
      <c r="CZ151" s="76" t="s">
        <v>151</v>
      </c>
      <c r="DA151" s="44">
        <v>2700.0</v>
      </c>
      <c r="DB151" s="44">
        <v>0.0</v>
      </c>
      <c r="DC151" s="46" t="s">
        <v>127</v>
      </c>
      <c r="DD151" s="47">
        <v>46246.0</v>
      </c>
      <c r="DE151" s="43"/>
      <c r="DF151" s="43"/>
      <c r="DG151" s="48" t="s">
        <v>128</v>
      </c>
      <c r="DH151" s="48" t="s">
        <v>128</v>
      </c>
      <c r="DI151" s="48" t="s">
        <v>128</v>
      </c>
      <c r="DJ151" s="49">
        <v>1.0</v>
      </c>
      <c r="DK151" s="48" t="b">
        <v>0</v>
      </c>
      <c r="DL151" s="50" t="s">
        <v>466</v>
      </c>
      <c r="DM151" s="50" t="s">
        <v>131</v>
      </c>
      <c r="DN151" s="50" t="s">
        <v>467</v>
      </c>
      <c r="DO151" s="49">
        <v>0.86</v>
      </c>
      <c r="DP151" s="48" t="s">
        <v>128</v>
      </c>
      <c r="DQ151" s="48" t="s">
        <v>128</v>
      </c>
      <c r="DR151" s="51"/>
      <c r="DS151" s="48" t="s">
        <v>134</v>
      </c>
    </row>
    <row r="152">
      <c r="A152" s="23" t="s">
        <v>118</v>
      </c>
      <c r="B152" s="24">
        <v>3.0</v>
      </c>
      <c r="C152" s="23" t="s">
        <v>119</v>
      </c>
      <c r="D152" s="24">
        <v>631195.0</v>
      </c>
      <c r="E152" s="23" t="s">
        <v>140</v>
      </c>
      <c r="F152" s="23" t="s">
        <v>498</v>
      </c>
      <c r="G152" s="23" t="s">
        <v>499</v>
      </c>
      <c r="H152" s="24">
        <v>85339.0</v>
      </c>
      <c r="I152" s="24">
        <v>16.0</v>
      </c>
      <c r="J152" s="24">
        <v>0.0</v>
      </c>
      <c r="K152" s="24">
        <v>0.0</v>
      </c>
      <c r="L152" s="24">
        <v>0.0</v>
      </c>
      <c r="M152" s="24">
        <v>1.0</v>
      </c>
      <c r="N152" s="24">
        <v>2.0</v>
      </c>
      <c r="O152" s="24">
        <v>0.0</v>
      </c>
      <c r="P152" s="24">
        <v>0.0</v>
      </c>
      <c r="Q152" s="24">
        <v>1.0</v>
      </c>
      <c r="R152" s="24">
        <v>1.0</v>
      </c>
      <c r="S152" s="24">
        <v>0.0</v>
      </c>
      <c r="T152" s="24">
        <v>3.0</v>
      </c>
      <c r="U152" s="24">
        <v>0.0</v>
      </c>
      <c r="V152" s="24">
        <v>0.0</v>
      </c>
      <c r="W152" s="24">
        <v>0.0</v>
      </c>
      <c r="X152" s="24">
        <v>0.0</v>
      </c>
      <c r="Y152" s="24">
        <v>0.0</v>
      </c>
      <c r="Z152" s="24">
        <v>1.0</v>
      </c>
      <c r="AA152" s="24">
        <v>2.0</v>
      </c>
      <c r="AB152" s="24">
        <v>0.0</v>
      </c>
      <c r="AC152" s="24">
        <v>1.0</v>
      </c>
      <c r="AD152" s="24">
        <v>2.0</v>
      </c>
      <c r="AE152" s="24">
        <v>1.0</v>
      </c>
      <c r="AF152" s="24">
        <v>0.0</v>
      </c>
      <c r="AG152" s="24">
        <v>1.0</v>
      </c>
      <c r="AH152" s="24">
        <v>0.0</v>
      </c>
      <c r="AI152" s="24">
        <v>0.0</v>
      </c>
      <c r="AJ152" s="24">
        <v>0.0</v>
      </c>
      <c r="AK152" s="24">
        <v>0.0</v>
      </c>
      <c r="AL152" s="24">
        <v>0.0</v>
      </c>
      <c r="AM152" s="24">
        <v>0.0</v>
      </c>
      <c r="AN152" s="24">
        <v>0.0</v>
      </c>
      <c r="AO152" s="55">
        <v>15.7</v>
      </c>
      <c r="AP152" s="26"/>
      <c r="AQ152" s="26"/>
      <c r="AR152" s="26"/>
      <c r="AS152" s="24">
        <v>18.42</v>
      </c>
      <c r="AT152" s="24">
        <v>30.12</v>
      </c>
      <c r="AU152" s="26"/>
      <c r="AV152" s="26"/>
      <c r="AW152" s="24">
        <v>18.77</v>
      </c>
      <c r="AX152" s="24">
        <v>10.12</v>
      </c>
      <c r="AY152" s="26"/>
      <c r="AZ152" s="24">
        <v>10.83</v>
      </c>
      <c r="BA152" s="26"/>
      <c r="BB152" s="26"/>
      <c r="BC152" s="26"/>
      <c r="BD152" s="26"/>
      <c r="BE152" s="26"/>
      <c r="BF152" s="24">
        <v>18.12</v>
      </c>
      <c r="BG152" s="24">
        <v>16.01</v>
      </c>
      <c r="BH152" s="26"/>
      <c r="BI152" s="24">
        <v>18.85</v>
      </c>
      <c r="BJ152" s="24">
        <v>17.25</v>
      </c>
      <c r="BK152" s="24">
        <v>21.95</v>
      </c>
      <c r="BL152" s="26"/>
      <c r="BM152" s="24">
        <v>15.82</v>
      </c>
      <c r="BN152" s="26"/>
      <c r="BO152" s="26"/>
      <c r="BP152" s="24">
        <v>1.44</v>
      </c>
      <c r="BQ152" s="24">
        <v>3.03</v>
      </c>
      <c r="BR152" s="24">
        <v>4.26</v>
      </c>
      <c r="BS152" s="55">
        <v>3.99</v>
      </c>
      <c r="BT152" s="91">
        <v>15.8</v>
      </c>
      <c r="BU152" s="25">
        <v>4.7</v>
      </c>
      <c r="BV152" s="57">
        <v>5.03</v>
      </c>
      <c r="BW152" s="24">
        <v>1900.0</v>
      </c>
      <c r="BX152" s="24">
        <v>2700.0</v>
      </c>
      <c r="BY152" s="24" t="s">
        <v>123</v>
      </c>
      <c r="BZ152" s="28">
        <v>2700.0</v>
      </c>
      <c r="CA152" s="72"/>
      <c r="CB152" s="30">
        <v>3000.0</v>
      </c>
      <c r="CC152" s="31"/>
      <c r="CD152" s="28">
        <v>3000.0</v>
      </c>
      <c r="CE152" s="32" t="e">
        <v>#REF!</v>
      </c>
      <c r="CF152" s="73">
        <f t="shared" si="7"/>
        <v>300</v>
      </c>
      <c r="CG152" s="74">
        <f>+2</f>
        <v>2</v>
      </c>
      <c r="CH152" s="35">
        <v>0.13</v>
      </c>
      <c r="CI152" s="36">
        <v>18.0</v>
      </c>
      <c r="CJ152" s="36">
        <v>3108.0</v>
      </c>
      <c r="CK152" s="37">
        <v>-47.0</v>
      </c>
      <c r="CL152" s="36">
        <v>3061.0</v>
      </c>
      <c r="CM152" s="38">
        <v>251.0</v>
      </c>
      <c r="CN152" s="36">
        <v>-56.0</v>
      </c>
      <c r="CO152" s="39">
        <v>17.1</v>
      </c>
      <c r="CP152" s="75">
        <f>+1.4</f>
        <v>1.4</v>
      </c>
      <c r="CQ152" s="36">
        <v>23.0</v>
      </c>
      <c r="CR152" s="36">
        <v>26.0</v>
      </c>
      <c r="CS152" s="36">
        <v>72.0</v>
      </c>
      <c r="CT152" s="41"/>
      <c r="CU152" s="42"/>
      <c r="CV152" s="43"/>
      <c r="CW152" s="44">
        <v>10.0</v>
      </c>
      <c r="CX152" s="44" t="s">
        <v>138</v>
      </c>
      <c r="CY152" s="44" t="s">
        <v>139</v>
      </c>
      <c r="CZ152" s="76" t="s">
        <v>151</v>
      </c>
      <c r="DA152" s="44">
        <v>3000.0</v>
      </c>
      <c r="DB152" s="44">
        <v>0.0</v>
      </c>
      <c r="DC152" s="46" t="s">
        <v>127</v>
      </c>
      <c r="DD152" s="47">
        <v>46245.0</v>
      </c>
      <c r="DE152" s="43"/>
      <c r="DF152" s="43"/>
      <c r="DG152" s="48" t="s">
        <v>128</v>
      </c>
      <c r="DH152" s="48" t="s">
        <v>128</v>
      </c>
      <c r="DI152" s="48" t="s">
        <v>128</v>
      </c>
      <c r="DJ152" s="49">
        <v>1.0</v>
      </c>
      <c r="DK152" s="48" t="b">
        <v>1</v>
      </c>
      <c r="DL152" s="50" t="s">
        <v>466</v>
      </c>
      <c r="DM152" s="50" t="s">
        <v>131</v>
      </c>
      <c r="DN152" s="50" t="s">
        <v>467</v>
      </c>
      <c r="DO152" s="49">
        <v>0.86</v>
      </c>
      <c r="DP152" s="48" t="s">
        <v>128</v>
      </c>
      <c r="DQ152" s="48" t="s">
        <v>128</v>
      </c>
      <c r="DR152" s="51"/>
      <c r="DS152" s="48" t="s">
        <v>134</v>
      </c>
    </row>
    <row r="153">
      <c r="A153" s="52" t="s">
        <v>118</v>
      </c>
      <c r="B153" s="53">
        <v>3.0</v>
      </c>
      <c r="C153" s="52" t="s">
        <v>119</v>
      </c>
      <c r="D153" s="53">
        <v>680607.0</v>
      </c>
      <c r="E153" s="52" t="s">
        <v>246</v>
      </c>
      <c r="F153" s="52" t="s">
        <v>500</v>
      </c>
      <c r="G153" s="52" t="s">
        <v>501</v>
      </c>
      <c r="H153" s="53">
        <v>85339.0</v>
      </c>
      <c r="I153" s="53">
        <v>1.0</v>
      </c>
      <c r="J153" s="53">
        <v>0.0</v>
      </c>
      <c r="K153" s="53">
        <v>0.0</v>
      </c>
      <c r="L153" s="53">
        <v>0.0</v>
      </c>
      <c r="M153" s="53">
        <v>0.0</v>
      </c>
      <c r="N153" s="53">
        <v>0.0</v>
      </c>
      <c r="O153" s="53">
        <v>0.0</v>
      </c>
      <c r="P153" s="53">
        <v>0.0</v>
      </c>
      <c r="Q153" s="53">
        <v>0.0</v>
      </c>
      <c r="R153" s="53">
        <v>0.0</v>
      </c>
      <c r="S153" s="53">
        <v>0.0</v>
      </c>
      <c r="T153" s="53">
        <v>0.0</v>
      </c>
      <c r="U153" s="53">
        <v>0.0</v>
      </c>
      <c r="V153" s="53">
        <v>0.0</v>
      </c>
      <c r="W153" s="53">
        <v>0.0</v>
      </c>
      <c r="X153" s="53">
        <v>0.0</v>
      </c>
      <c r="Y153" s="53">
        <v>0.0</v>
      </c>
      <c r="Z153" s="53">
        <v>0.0</v>
      </c>
      <c r="AA153" s="53">
        <v>0.0</v>
      </c>
      <c r="AB153" s="53">
        <v>0.0</v>
      </c>
      <c r="AC153" s="53">
        <v>1.0</v>
      </c>
      <c r="AD153" s="53">
        <v>0.0</v>
      </c>
      <c r="AE153" s="53">
        <v>0.0</v>
      </c>
      <c r="AF153" s="53">
        <v>0.0</v>
      </c>
      <c r="AG153" s="53">
        <v>0.0</v>
      </c>
      <c r="AH153" s="53">
        <v>0.0</v>
      </c>
      <c r="AI153" s="53">
        <v>0.0</v>
      </c>
      <c r="AJ153" s="53">
        <v>0.0</v>
      </c>
      <c r="AK153" s="53">
        <v>0.0</v>
      </c>
      <c r="AL153" s="53">
        <v>0.0</v>
      </c>
      <c r="AM153" s="53">
        <v>0.0</v>
      </c>
      <c r="AN153" s="53">
        <v>0.0</v>
      </c>
      <c r="AO153" s="55">
        <v>16.8</v>
      </c>
      <c r="AP153" s="54"/>
      <c r="AQ153" s="54"/>
      <c r="AR153" s="54"/>
      <c r="AS153" s="54"/>
      <c r="AT153" s="54"/>
      <c r="AU153" s="54"/>
      <c r="AV153" s="54"/>
      <c r="AW153" s="54"/>
      <c r="AX153" s="54"/>
      <c r="AY153" s="54"/>
      <c r="AZ153" s="54"/>
      <c r="BA153" s="54"/>
      <c r="BB153" s="54"/>
      <c r="BC153" s="54"/>
      <c r="BD153" s="54"/>
      <c r="BE153" s="54"/>
      <c r="BF153" s="54"/>
      <c r="BG153" s="54"/>
      <c r="BH153" s="54"/>
      <c r="BI153" s="53">
        <v>16.82</v>
      </c>
      <c r="BJ153" s="54"/>
      <c r="BK153" s="54"/>
      <c r="BL153" s="54"/>
      <c r="BM153" s="54"/>
      <c r="BN153" s="54"/>
      <c r="BO153" s="54"/>
      <c r="BP153" s="53">
        <v>0.9</v>
      </c>
      <c r="BQ153" s="53">
        <v>5.0</v>
      </c>
      <c r="BR153" s="53">
        <v>5.72</v>
      </c>
      <c r="BS153" s="55">
        <v>3.98</v>
      </c>
      <c r="BT153" s="81"/>
      <c r="BU153" s="54"/>
      <c r="BV153" s="54"/>
      <c r="BW153" s="54"/>
      <c r="BX153" s="53">
        <v>2100.0</v>
      </c>
      <c r="BY153" s="53" t="s">
        <v>123</v>
      </c>
      <c r="BZ153" s="58">
        <v>2100.0</v>
      </c>
      <c r="CA153" s="72"/>
      <c r="CB153" s="30">
        <v>2400.0</v>
      </c>
      <c r="CC153" s="31"/>
      <c r="CD153" s="58">
        <v>2400.0</v>
      </c>
      <c r="CE153" s="59" t="e">
        <v>#REF!</v>
      </c>
      <c r="CF153" s="79">
        <f t="shared" si="7"/>
        <v>300</v>
      </c>
      <c r="CG153" s="80">
        <f>+1</f>
        <v>1</v>
      </c>
      <c r="CH153" s="62">
        <v>1.0</v>
      </c>
      <c r="CI153" s="63">
        <v>2.0</v>
      </c>
      <c r="CJ153" s="63">
        <v>3108.0</v>
      </c>
      <c r="CK153" s="64">
        <v>-47.0</v>
      </c>
      <c r="CL153" s="63">
        <v>3061.0</v>
      </c>
      <c r="CM153" s="65">
        <v>17.0</v>
      </c>
      <c r="CN153" s="63">
        <v>-5.0</v>
      </c>
      <c r="CO153" s="66">
        <v>10.9</v>
      </c>
      <c r="CP153" s="67">
        <v>-5.9</v>
      </c>
      <c r="CQ153" s="63">
        <v>1.0</v>
      </c>
      <c r="CR153" s="63">
        <v>2.0</v>
      </c>
      <c r="CS153" s="63">
        <v>8.0</v>
      </c>
      <c r="CT153" s="68"/>
      <c r="CU153" s="69"/>
      <c r="CV153" s="70"/>
      <c r="CW153" s="71">
        <v>8.0</v>
      </c>
      <c r="CX153" s="71" t="s">
        <v>125</v>
      </c>
      <c r="CY153" s="71" t="s">
        <v>126</v>
      </c>
      <c r="CZ153" s="76" t="s">
        <v>151</v>
      </c>
      <c r="DA153" s="44">
        <v>2400.0</v>
      </c>
      <c r="DB153" s="44">
        <v>0.0</v>
      </c>
      <c r="DC153" s="46" t="s">
        <v>127</v>
      </c>
      <c r="DD153" s="47">
        <v>46218.0</v>
      </c>
      <c r="DE153" s="43"/>
      <c r="DF153" s="43"/>
      <c r="DG153" s="48" t="s">
        <v>128</v>
      </c>
      <c r="DH153" s="48" t="s">
        <v>128</v>
      </c>
      <c r="DI153" s="48" t="s">
        <v>128</v>
      </c>
      <c r="DJ153" s="49">
        <v>1.0</v>
      </c>
      <c r="DK153" s="48" t="b">
        <v>0</v>
      </c>
      <c r="DL153" s="50" t="s">
        <v>466</v>
      </c>
      <c r="DM153" s="50" t="s">
        <v>131</v>
      </c>
      <c r="DN153" s="50" t="s">
        <v>467</v>
      </c>
      <c r="DO153" s="49">
        <v>0.86</v>
      </c>
      <c r="DP153" s="48" t="s">
        <v>128</v>
      </c>
      <c r="DQ153" s="48" t="s">
        <v>128</v>
      </c>
      <c r="DR153" s="51"/>
      <c r="DS153" s="48" t="s">
        <v>134</v>
      </c>
    </row>
    <row r="154">
      <c r="A154" s="23" t="s">
        <v>118</v>
      </c>
      <c r="B154" s="24">
        <v>3.0</v>
      </c>
      <c r="C154" s="23" t="s">
        <v>119</v>
      </c>
      <c r="D154" s="24">
        <v>643373.0</v>
      </c>
      <c r="E154" s="23" t="s">
        <v>120</v>
      </c>
      <c r="F154" s="23" t="s">
        <v>502</v>
      </c>
      <c r="G154" s="23" t="s">
        <v>503</v>
      </c>
      <c r="H154" s="24">
        <v>85339.0</v>
      </c>
      <c r="I154" s="24">
        <v>17.0</v>
      </c>
      <c r="J154" s="24">
        <v>0.0</v>
      </c>
      <c r="K154" s="24">
        <v>0.0</v>
      </c>
      <c r="L154" s="24">
        <v>0.0</v>
      </c>
      <c r="M154" s="24">
        <v>0.0</v>
      </c>
      <c r="N154" s="24">
        <v>1.0</v>
      </c>
      <c r="O154" s="24">
        <v>0.0</v>
      </c>
      <c r="P154" s="24">
        <v>0.0</v>
      </c>
      <c r="Q154" s="24">
        <v>0.0</v>
      </c>
      <c r="R154" s="24">
        <v>1.0</v>
      </c>
      <c r="S154" s="24">
        <v>2.0</v>
      </c>
      <c r="T154" s="24">
        <v>3.0</v>
      </c>
      <c r="U154" s="24">
        <v>0.0</v>
      </c>
      <c r="V154" s="24">
        <v>0.0</v>
      </c>
      <c r="W154" s="24">
        <v>4.0</v>
      </c>
      <c r="X154" s="24">
        <v>0.0</v>
      </c>
      <c r="Y154" s="24">
        <v>1.0</v>
      </c>
      <c r="Z154" s="24">
        <v>1.0</v>
      </c>
      <c r="AA154" s="24">
        <v>0.0</v>
      </c>
      <c r="AB154" s="24">
        <v>0.0</v>
      </c>
      <c r="AC154" s="24">
        <v>1.0</v>
      </c>
      <c r="AD154" s="24">
        <v>2.0</v>
      </c>
      <c r="AE154" s="24">
        <v>1.0</v>
      </c>
      <c r="AF154" s="24">
        <v>0.0</v>
      </c>
      <c r="AG154" s="24">
        <v>0.0</v>
      </c>
      <c r="AH154" s="24">
        <v>0.0</v>
      </c>
      <c r="AI154" s="24">
        <v>0.0</v>
      </c>
      <c r="AJ154" s="24">
        <v>0.0</v>
      </c>
      <c r="AK154" s="24">
        <v>0.0</v>
      </c>
      <c r="AL154" s="24">
        <v>0.0</v>
      </c>
      <c r="AM154" s="24">
        <v>0.0</v>
      </c>
      <c r="AN154" s="24">
        <v>0.0</v>
      </c>
      <c r="AO154" s="25">
        <v>18.0</v>
      </c>
      <c r="AP154" s="26"/>
      <c r="AQ154" s="26"/>
      <c r="AR154" s="26"/>
      <c r="AS154" s="26"/>
      <c r="AT154" s="24">
        <v>0.0</v>
      </c>
      <c r="AU154" s="26"/>
      <c r="AV154" s="26"/>
      <c r="AW154" s="26"/>
      <c r="AX154" s="24">
        <v>22.68</v>
      </c>
      <c r="AY154" s="24">
        <v>15.55</v>
      </c>
      <c r="AZ154" s="24">
        <v>14.3</v>
      </c>
      <c r="BA154" s="26"/>
      <c r="BB154" s="26"/>
      <c r="BC154" s="24">
        <v>17.29</v>
      </c>
      <c r="BD154" s="26"/>
      <c r="BE154" s="24">
        <v>16.07</v>
      </c>
      <c r="BF154" s="24">
        <v>24.83</v>
      </c>
      <c r="BG154" s="26"/>
      <c r="BH154" s="26"/>
      <c r="BI154" s="24">
        <v>34.42</v>
      </c>
      <c r="BJ154" s="24">
        <v>15.94</v>
      </c>
      <c r="BK154" s="24">
        <v>16.43</v>
      </c>
      <c r="BL154" s="26"/>
      <c r="BM154" s="26"/>
      <c r="BN154" s="26"/>
      <c r="BO154" s="26"/>
      <c r="BP154" s="24">
        <v>2.83</v>
      </c>
      <c r="BQ154" s="24">
        <v>3.66</v>
      </c>
      <c r="BR154" s="24">
        <v>6.29</v>
      </c>
      <c r="BS154" s="55">
        <v>3.67</v>
      </c>
      <c r="BT154" s="56">
        <v>18.3</v>
      </c>
      <c r="BU154" s="25">
        <v>4.5</v>
      </c>
      <c r="BV154" s="55">
        <v>6.24</v>
      </c>
      <c r="BW154" s="26"/>
      <c r="BX154" s="24">
        <v>2400.0</v>
      </c>
      <c r="BY154" s="24" t="s">
        <v>123</v>
      </c>
      <c r="BZ154" s="28">
        <v>2400.0</v>
      </c>
      <c r="CA154" s="72"/>
      <c r="CB154" s="30">
        <v>2700.0</v>
      </c>
      <c r="CC154" s="31"/>
      <c r="CD154" s="28">
        <v>2700.0</v>
      </c>
      <c r="CE154" s="32" t="e">
        <v>#REF!</v>
      </c>
      <c r="CF154" s="73">
        <f t="shared" si="7"/>
        <v>300</v>
      </c>
      <c r="CG154" s="74">
        <f>+3</f>
        <v>3</v>
      </c>
      <c r="CH154" s="35">
        <v>0.18</v>
      </c>
      <c r="CI154" s="36">
        <v>20.0</v>
      </c>
      <c r="CJ154" s="36">
        <v>3108.0</v>
      </c>
      <c r="CK154" s="37">
        <v>-47.0</v>
      </c>
      <c r="CL154" s="36">
        <v>3061.0</v>
      </c>
      <c r="CM154" s="38">
        <v>306.0</v>
      </c>
      <c r="CN154" s="36">
        <v>-76.0</v>
      </c>
      <c r="CO154" s="39">
        <v>19.1</v>
      </c>
      <c r="CP154" s="75">
        <f>+1.1</f>
        <v>1.1</v>
      </c>
      <c r="CQ154" s="36">
        <v>48.0</v>
      </c>
      <c r="CR154" s="36">
        <v>57.0</v>
      </c>
      <c r="CS154" s="36">
        <v>73.0</v>
      </c>
      <c r="CT154" s="41"/>
      <c r="CU154" s="42"/>
      <c r="CV154" s="43"/>
      <c r="CW154" s="44">
        <v>9.0</v>
      </c>
      <c r="CX154" s="44" t="s">
        <v>143</v>
      </c>
      <c r="CY154" s="44" t="s">
        <v>144</v>
      </c>
      <c r="CZ154" s="76" t="s">
        <v>151</v>
      </c>
      <c r="DA154" s="44">
        <v>2700.0</v>
      </c>
      <c r="DB154" s="44">
        <v>0.0</v>
      </c>
      <c r="DC154" s="43"/>
      <c r="DD154" s="78"/>
      <c r="DE154" s="43"/>
      <c r="DF154" s="43"/>
      <c r="DG154" s="48" t="s">
        <v>128</v>
      </c>
      <c r="DH154" s="48" t="s">
        <v>128</v>
      </c>
      <c r="DI154" s="48" t="s">
        <v>128</v>
      </c>
      <c r="DJ154" s="49">
        <v>0.0</v>
      </c>
      <c r="DK154" s="48" t="b">
        <v>0</v>
      </c>
      <c r="DL154" s="50" t="s">
        <v>466</v>
      </c>
      <c r="DM154" s="50" t="s">
        <v>131</v>
      </c>
      <c r="DN154" s="50" t="s">
        <v>467</v>
      </c>
      <c r="DO154" s="49">
        <v>0.86</v>
      </c>
      <c r="DP154" s="48" t="s">
        <v>128</v>
      </c>
      <c r="DQ154" s="48" t="s">
        <v>128</v>
      </c>
      <c r="DR154" s="51"/>
      <c r="DS154" s="48" t="s">
        <v>134</v>
      </c>
    </row>
    <row r="155">
      <c r="A155" s="52" t="s">
        <v>118</v>
      </c>
      <c r="B155" s="53">
        <v>3.0</v>
      </c>
      <c r="C155" s="52" t="s">
        <v>119</v>
      </c>
      <c r="D155" s="53">
        <v>610881.0</v>
      </c>
      <c r="E155" s="52" t="s">
        <v>167</v>
      </c>
      <c r="F155" s="52" t="s">
        <v>504</v>
      </c>
      <c r="G155" s="52" t="s">
        <v>505</v>
      </c>
      <c r="H155" s="53">
        <v>85339.0</v>
      </c>
      <c r="I155" s="53">
        <v>37.0</v>
      </c>
      <c r="J155" s="53">
        <v>1.0</v>
      </c>
      <c r="K155" s="53">
        <v>0.0</v>
      </c>
      <c r="L155" s="53">
        <v>0.0</v>
      </c>
      <c r="M155" s="53">
        <v>0.0</v>
      </c>
      <c r="N155" s="53">
        <v>1.0</v>
      </c>
      <c r="O155" s="53">
        <v>1.0</v>
      </c>
      <c r="P155" s="53">
        <v>0.0</v>
      </c>
      <c r="Q155" s="53">
        <v>2.0</v>
      </c>
      <c r="R155" s="53">
        <v>3.0</v>
      </c>
      <c r="S155" s="53">
        <v>0.0</v>
      </c>
      <c r="T155" s="53">
        <v>0.0</v>
      </c>
      <c r="U155" s="53">
        <v>1.0</v>
      </c>
      <c r="V155" s="53">
        <v>2.0</v>
      </c>
      <c r="W155" s="53">
        <v>0.0</v>
      </c>
      <c r="X155" s="53">
        <v>0.0</v>
      </c>
      <c r="Y155" s="53">
        <v>1.0</v>
      </c>
      <c r="Z155" s="53">
        <v>1.0</v>
      </c>
      <c r="AA155" s="53">
        <v>1.0</v>
      </c>
      <c r="AB155" s="53">
        <v>0.0</v>
      </c>
      <c r="AC155" s="53">
        <v>4.0</v>
      </c>
      <c r="AD155" s="53">
        <v>1.0</v>
      </c>
      <c r="AE155" s="53">
        <v>3.0</v>
      </c>
      <c r="AF155" s="53">
        <v>1.0</v>
      </c>
      <c r="AG155" s="53">
        <v>0.0</v>
      </c>
      <c r="AH155" s="53">
        <v>2.0</v>
      </c>
      <c r="AI155" s="53">
        <v>2.0</v>
      </c>
      <c r="AJ155" s="53">
        <v>1.0</v>
      </c>
      <c r="AK155" s="53">
        <v>1.0</v>
      </c>
      <c r="AL155" s="53">
        <v>4.0</v>
      </c>
      <c r="AM155" s="53">
        <v>2.0</v>
      </c>
      <c r="AN155" s="53">
        <v>2.0</v>
      </c>
      <c r="AO155" s="25">
        <v>17.8</v>
      </c>
      <c r="AP155" s="53">
        <v>11.1</v>
      </c>
      <c r="AQ155" s="54"/>
      <c r="AR155" s="54"/>
      <c r="AS155" s="54"/>
      <c r="AT155" s="53">
        <v>0.0</v>
      </c>
      <c r="AU155" s="53">
        <v>8.85</v>
      </c>
      <c r="AV155" s="54"/>
      <c r="AW155" s="53">
        <v>12.99</v>
      </c>
      <c r="AX155" s="53">
        <v>14.5</v>
      </c>
      <c r="AY155" s="54"/>
      <c r="AZ155" s="54"/>
      <c r="BA155" s="53">
        <v>14.92</v>
      </c>
      <c r="BB155" s="53">
        <v>18.69</v>
      </c>
      <c r="BC155" s="54"/>
      <c r="BD155" s="54"/>
      <c r="BE155" s="53">
        <v>15.3</v>
      </c>
      <c r="BF155" s="53">
        <v>21.7</v>
      </c>
      <c r="BG155" s="53">
        <v>18.13</v>
      </c>
      <c r="BH155" s="54"/>
      <c r="BI155" s="53">
        <v>22.42</v>
      </c>
      <c r="BJ155" s="53">
        <v>13.37</v>
      </c>
      <c r="BK155" s="53">
        <v>20.26</v>
      </c>
      <c r="BL155" s="53">
        <v>16.37</v>
      </c>
      <c r="BM155" s="54"/>
      <c r="BN155" s="53">
        <v>18.66</v>
      </c>
      <c r="BO155" s="53">
        <v>0.32</v>
      </c>
      <c r="BP155" s="53">
        <v>1.44</v>
      </c>
      <c r="BQ155" s="53">
        <v>2.87</v>
      </c>
      <c r="BR155" s="53">
        <v>4.1</v>
      </c>
      <c r="BS155" s="55">
        <v>3.53</v>
      </c>
      <c r="BT155" s="56">
        <v>20.8</v>
      </c>
      <c r="BU155" s="25">
        <v>5.0</v>
      </c>
      <c r="BV155" s="25">
        <v>8.79</v>
      </c>
      <c r="BW155" s="54"/>
      <c r="BX155" s="53">
        <v>3000.0</v>
      </c>
      <c r="BY155" s="53" t="s">
        <v>123</v>
      </c>
      <c r="BZ155" s="58">
        <v>2700.0</v>
      </c>
      <c r="CA155" s="29" t="s">
        <v>124</v>
      </c>
      <c r="CB155" s="30">
        <v>3000.0</v>
      </c>
      <c r="CC155" s="31"/>
      <c r="CD155" s="58">
        <v>3000.0</v>
      </c>
      <c r="CE155" s="59" t="e">
        <v>#REF!</v>
      </c>
      <c r="CF155" s="60"/>
      <c r="CG155" s="61">
        <v>0.0</v>
      </c>
      <c r="CH155" s="62">
        <v>0.0</v>
      </c>
      <c r="CI155" s="63">
        <v>37.0</v>
      </c>
      <c r="CJ155" s="63">
        <v>3108.0</v>
      </c>
      <c r="CK155" s="64">
        <v>-47.0</v>
      </c>
      <c r="CL155" s="63">
        <v>3061.0</v>
      </c>
      <c r="CM155" s="65">
        <v>659.0</v>
      </c>
      <c r="CN155" s="63">
        <v>0.0</v>
      </c>
      <c r="CO155" s="66">
        <v>17.8</v>
      </c>
      <c r="CP155" s="67">
        <v>0.0</v>
      </c>
      <c r="CQ155" s="63">
        <v>53.0</v>
      </c>
      <c r="CR155" s="63">
        <v>53.0</v>
      </c>
      <c r="CS155" s="63">
        <v>131.0</v>
      </c>
      <c r="CT155" s="68"/>
      <c r="CU155" s="69"/>
      <c r="CV155" s="70"/>
      <c r="CW155" s="71">
        <v>10.0</v>
      </c>
      <c r="CX155" s="71" t="s">
        <v>138</v>
      </c>
      <c r="CY155" s="71" t="s">
        <v>139</v>
      </c>
      <c r="CZ155" s="45"/>
      <c r="DA155" s="44">
        <v>3000.0</v>
      </c>
      <c r="DB155" s="44">
        <v>0.0</v>
      </c>
      <c r="DC155" s="46" t="s">
        <v>127</v>
      </c>
      <c r="DD155" s="47">
        <v>46197.0</v>
      </c>
      <c r="DE155" s="43"/>
      <c r="DF155" s="43"/>
      <c r="DG155" s="48" t="s">
        <v>128</v>
      </c>
      <c r="DH155" s="48" t="s">
        <v>128</v>
      </c>
      <c r="DI155" s="48" t="s">
        <v>128</v>
      </c>
      <c r="DJ155" s="49">
        <v>1.0</v>
      </c>
      <c r="DK155" s="48" t="b">
        <v>0</v>
      </c>
      <c r="DL155" s="50" t="s">
        <v>466</v>
      </c>
      <c r="DM155" s="50" t="s">
        <v>131</v>
      </c>
      <c r="DN155" s="50" t="s">
        <v>467</v>
      </c>
      <c r="DO155" s="49">
        <v>0.86</v>
      </c>
      <c r="DP155" s="48" t="s">
        <v>128</v>
      </c>
      <c r="DQ155" s="48" t="s">
        <v>128</v>
      </c>
      <c r="DR155" s="51"/>
      <c r="DS155" s="48" t="s">
        <v>134</v>
      </c>
    </row>
    <row r="156">
      <c r="A156" s="23" t="s">
        <v>118</v>
      </c>
      <c r="B156" s="24">
        <v>3.0</v>
      </c>
      <c r="C156" s="23" t="s">
        <v>119</v>
      </c>
      <c r="D156" s="24">
        <v>680588.0</v>
      </c>
      <c r="E156" s="23" t="s">
        <v>251</v>
      </c>
      <c r="F156" s="23" t="s">
        <v>506</v>
      </c>
      <c r="G156" s="23" t="s">
        <v>507</v>
      </c>
      <c r="H156" s="24">
        <v>85339.0</v>
      </c>
      <c r="I156" s="24">
        <v>6.0</v>
      </c>
      <c r="J156" s="24">
        <v>0.0</v>
      </c>
      <c r="K156" s="24">
        <v>0.0</v>
      </c>
      <c r="L156" s="24">
        <v>0.0</v>
      </c>
      <c r="M156" s="24">
        <v>0.0</v>
      </c>
      <c r="N156" s="24">
        <v>0.0</v>
      </c>
      <c r="O156" s="24">
        <v>0.0</v>
      </c>
      <c r="P156" s="24">
        <v>0.0</v>
      </c>
      <c r="Q156" s="24">
        <v>0.0</v>
      </c>
      <c r="R156" s="24">
        <v>0.0</v>
      </c>
      <c r="S156" s="24">
        <v>1.0</v>
      </c>
      <c r="T156" s="24">
        <v>0.0</v>
      </c>
      <c r="U156" s="24">
        <v>0.0</v>
      </c>
      <c r="V156" s="24">
        <v>0.0</v>
      </c>
      <c r="W156" s="24">
        <v>0.0</v>
      </c>
      <c r="X156" s="24">
        <v>0.0</v>
      </c>
      <c r="Y156" s="24">
        <v>0.0</v>
      </c>
      <c r="Z156" s="24">
        <v>0.0</v>
      </c>
      <c r="AA156" s="24">
        <v>0.0</v>
      </c>
      <c r="AB156" s="24">
        <v>1.0</v>
      </c>
      <c r="AC156" s="24">
        <v>0.0</v>
      </c>
      <c r="AD156" s="24">
        <v>0.0</v>
      </c>
      <c r="AE156" s="24">
        <v>1.0</v>
      </c>
      <c r="AF156" s="24">
        <v>0.0</v>
      </c>
      <c r="AG156" s="24">
        <v>0.0</v>
      </c>
      <c r="AH156" s="24">
        <v>0.0</v>
      </c>
      <c r="AI156" s="24">
        <v>0.0</v>
      </c>
      <c r="AJ156" s="24">
        <v>0.0</v>
      </c>
      <c r="AK156" s="24">
        <v>3.0</v>
      </c>
      <c r="AL156" s="24">
        <v>0.0</v>
      </c>
      <c r="AM156" s="24">
        <v>0.0</v>
      </c>
      <c r="AN156" s="24">
        <v>0.0</v>
      </c>
      <c r="AO156" s="25">
        <v>19.8</v>
      </c>
      <c r="AP156" s="26"/>
      <c r="AQ156" s="26"/>
      <c r="AR156" s="26"/>
      <c r="AS156" s="26"/>
      <c r="AT156" s="26"/>
      <c r="AU156" s="26"/>
      <c r="AV156" s="26"/>
      <c r="AW156" s="26"/>
      <c r="AX156" s="26"/>
      <c r="AY156" s="24">
        <v>17.02</v>
      </c>
      <c r="AZ156" s="26"/>
      <c r="BA156" s="26"/>
      <c r="BB156" s="26"/>
      <c r="BC156" s="26"/>
      <c r="BD156" s="26"/>
      <c r="BE156" s="26"/>
      <c r="BF156" s="26"/>
      <c r="BG156" s="26"/>
      <c r="BH156" s="24">
        <v>14.53</v>
      </c>
      <c r="BI156" s="26"/>
      <c r="BJ156" s="26"/>
      <c r="BK156" s="24">
        <v>28.3</v>
      </c>
      <c r="BL156" s="26"/>
      <c r="BM156" s="26"/>
      <c r="BN156" s="26"/>
      <c r="BO156" s="24">
        <v>0.33</v>
      </c>
      <c r="BP156" s="24">
        <v>4.45</v>
      </c>
      <c r="BQ156" s="24">
        <v>2.42</v>
      </c>
      <c r="BR156" s="24">
        <v>6.67</v>
      </c>
      <c r="BS156" s="55">
        <v>3.52</v>
      </c>
      <c r="BT156" s="56">
        <v>21.1</v>
      </c>
      <c r="BU156" s="25">
        <v>4.4</v>
      </c>
      <c r="BV156" s="25">
        <v>9.24</v>
      </c>
      <c r="BW156" s="26"/>
      <c r="BX156" s="24">
        <v>3000.0</v>
      </c>
      <c r="BY156" s="24" t="s">
        <v>123</v>
      </c>
      <c r="BZ156" s="28">
        <v>2700.0</v>
      </c>
      <c r="CA156" s="29" t="s">
        <v>124</v>
      </c>
      <c r="CB156" s="30">
        <v>3000.0</v>
      </c>
      <c r="CC156" s="31"/>
      <c r="CD156" s="28">
        <v>3000.0</v>
      </c>
      <c r="CE156" s="32" t="e">
        <v>#REF!</v>
      </c>
      <c r="CF156" s="33"/>
      <c r="CG156" s="34">
        <v>0.0</v>
      </c>
      <c r="CH156" s="35">
        <v>0.0</v>
      </c>
      <c r="CI156" s="36">
        <v>6.0</v>
      </c>
      <c r="CJ156" s="36">
        <v>3108.0</v>
      </c>
      <c r="CK156" s="37">
        <v>-47.0</v>
      </c>
      <c r="CL156" s="36">
        <v>3061.0</v>
      </c>
      <c r="CM156" s="38">
        <v>119.0</v>
      </c>
      <c r="CN156" s="36">
        <v>0.0</v>
      </c>
      <c r="CO156" s="39">
        <v>19.8</v>
      </c>
      <c r="CP156" s="40">
        <v>0.0</v>
      </c>
      <c r="CQ156" s="36">
        <v>27.0</v>
      </c>
      <c r="CR156" s="36">
        <v>27.0</v>
      </c>
      <c r="CS156" s="36">
        <v>21.0</v>
      </c>
      <c r="CT156" s="41"/>
      <c r="CU156" s="42"/>
      <c r="CV156" s="43"/>
      <c r="CW156" s="44">
        <v>10.0</v>
      </c>
      <c r="CX156" s="44" t="s">
        <v>138</v>
      </c>
      <c r="CY156" s="44" t="s">
        <v>139</v>
      </c>
      <c r="CZ156" s="45"/>
      <c r="DA156" s="44">
        <v>3000.0</v>
      </c>
      <c r="DB156" s="44">
        <v>0.0</v>
      </c>
      <c r="DC156" s="46" t="s">
        <v>127</v>
      </c>
      <c r="DD156" s="47">
        <v>46218.0</v>
      </c>
      <c r="DE156" s="43"/>
      <c r="DF156" s="43"/>
      <c r="DG156" s="48" t="s">
        <v>128</v>
      </c>
      <c r="DH156" s="48" t="s">
        <v>128</v>
      </c>
      <c r="DI156" s="48" t="s">
        <v>128</v>
      </c>
      <c r="DJ156" s="49">
        <v>1.0</v>
      </c>
      <c r="DK156" s="48" t="b">
        <v>0</v>
      </c>
      <c r="DL156" s="50" t="s">
        <v>466</v>
      </c>
      <c r="DM156" s="50" t="s">
        <v>131</v>
      </c>
      <c r="DN156" s="50" t="s">
        <v>467</v>
      </c>
      <c r="DO156" s="49">
        <v>0.86</v>
      </c>
      <c r="DP156" s="48" t="s">
        <v>128</v>
      </c>
      <c r="DQ156" s="48" t="s">
        <v>128</v>
      </c>
      <c r="DR156" s="51"/>
      <c r="DS156" s="48" t="s">
        <v>134</v>
      </c>
    </row>
    <row r="157">
      <c r="A157" s="52" t="s">
        <v>118</v>
      </c>
      <c r="B157" s="53">
        <v>3.0</v>
      </c>
      <c r="C157" s="52" t="s">
        <v>119</v>
      </c>
      <c r="D157" s="53">
        <v>680603.0</v>
      </c>
      <c r="E157" s="52" t="s">
        <v>182</v>
      </c>
      <c r="F157" s="52" t="s">
        <v>508</v>
      </c>
      <c r="G157" s="52" t="s">
        <v>509</v>
      </c>
      <c r="H157" s="53">
        <v>85339.0</v>
      </c>
      <c r="I157" s="53">
        <v>4.0</v>
      </c>
      <c r="J157" s="53">
        <v>0.0</v>
      </c>
      <c r="K157" s="53">
        <v>0.0</v>
      </c>
      <c r="L157" s="53">
        <v>1.0</v>
      </c>
      <c r="M157" s="53">
        <v>0.0</v>
      </c>
      <c r="N157" s="53">
        <v>0.0</v>
      </c>
      <c r="O157" s="53">
        <v>0.0</v>
      </c>
      <c r="P157" s="53">
        <v>0.0</v>
      </c>
      <c r="Q157" s="53">
        <v>0.0</v>
      </c>
      <c r="R157" s="53">
        <v>0.0</v>
      </c>
      <c r="S157" s="53">
        <v>1.0</v>
      </c>
      <c r="T157" s="53">
        <v>0.0</v>
      </c>
      <c r="U157" s="53">
        <v>0.0</v>
      </c>
      <c r="V157" s="53">
        <v>0.0</v>
      </c>
      <c r="W157" s="53">
        <v>0.0</v>
      </c>
      <c r="X157" s="53">
        <v>0.0</v>
      </c>
      <c r="Y157" s="53">
        <v>0.0</v>
      </c>
      <c r="Z157" s="53">
        <v>2.0</v>
      </c>
      <c r="AA157" s="53">
        <v>0.0</v>
      </c>
      <c r="AB157" s="53">
        <v>0.0</v>
      </c>
      <c r="AC157" s="53">
        <v>0.0</v>
      </c>
      <c r="AD157" s="53">
        <v>0.0</v>
      </c>
      <c r="AE157" s="53">
        <v>0.0</v>
      </c>
      <c r="AF157" s="53">
        <v>0.0</v>
      </c>
      <c r="AG157" s="53">
        <v>0.0</v>
      </c>
      <c r="AH157" s="53">
        <v>0.0</v>
      </c>
      <c r="AI157" s="53">
        <v>0.0</v>
      </c>
      <c r="AJ157" s="53">
        <v>0.0</v>
      </c>
      <c r="AK157" s="53">
        <v>0.0</v>
      </c>
      <c r="AL157" s="53">
        <v>0.0</v>
      </c>
      <c r="AM157" s="53">
        <v>0.0</v>
      </c>
      <c r="AN157" s="53">
        <v>0.0</v>
      </c>
      <c r="AO157" s="25">
        <v>17.6</v>
      </c>
      <c r="AP157" s="54"/>
      <c r="AQ157" s="54"/>
      <c r="AR157" s="53">
        <v>19.72</v>
      </c>
      <c r="AS157" s="54"/>
      <c r="AT157" s="54"/>
      <c r="AU157" s="54"/>
      <c r="AV157" s="54"/>
      <c r="AW157" s="54"/>
      <c r="AX157" s="54"/>
      <c r="AY157" s="53">
        <v>11.07</v>
      </c>
      <c r="AZ157" s="54"/>
      <c r="BA157" s="54"/>
      <c r="BB157" s="54"/>
      <c r="BC157" s="54"/>
      <c r="BD157" s="54"/>
      <c r="BE157" s="54"/>
      <c r="BF157" s="53">
        <v>19.89</v>
      </c>
      <c r="BG157" s="54"/>
      <c r="BH157" s="54"/>
      <c r="BI157" s="54"/>
      <c r="BJ157" s="54"/>
      <c r="BK157" s="54"/>
      <c r="BL157" s="54"/>
      <c r="BM157" s="54"/>
      <c r="BN157" s="54"/>
      <c r="BO157" s="54"/>
      <c r="BP157" s="53">
        <v>2.7</v>
      </c>
      <c r="BQ157" s="53">
        <v>5.34</v>
      </c>
      <c r="BR157" s="53">
        <v>7.84</v>
      </c>
      <c r="BS157" s="55">
        <v>3.25</v>
      </c>
      <c r="BT157" s="81"/>
      <c r="BU157" s="54"/>
      <c r="BV157" s="54"/>
      <c r="BW157" s="54"/>
      <c r="BX157" s="53">
        <v>2700.0</v>
      </c>
      <c r="BY157" s="53" t="s">
        <v>123</v>
      </c>
      <c r="BZ157" s="58">
        <v>2700.0</v>
      </c>
      <c r="CA157" s="72"/>
      <c r="CB157" s="30">
        <v>2700.0</v>
      </c>
      <c r="CC157" s="31"/>
      <c r="CD157" s="58">
        <v>2700.0</v>
      </c>
      <c r="CE157" s="59" t="e">
        <v>#REF!</v>
      </c>
      <c r="CF157" s="60"/>
      <c r="CG157" s="61">
        <v>0.0</v>
      </c>
      <c r="CH157" s="62">
        <v>0.0</v>
      </c>
      <c r="CI157" s="63">
        <v>4.0</v>
      </c>
      <c r="CJ157" s="63">
        <v>3108.0</v>
      </c>
      <c r="CK157" s="64">
        <v>-47.0</v>
      </c>
      <c r="CL157" s="63">
        <v>3061.0</v>
      </c>
      <c r="CM157" s="65">
        <v>70.0</v>
      </c>
      <c r="CN157" s="63">
        <v>0.0</v>
      </c>
      <c r="CO157" s="66">
        <v>17.6</v>
      </c>
      <c r="CP157" s="67">
        <v>0.0</v>
      </c>
      <c r="CQ157" s="63">
        <v>11.0</v>
      </c>
      <c r="CR157" s="63">
        <v>11.0</v>
      </c>
      <c r="CS157" s="63">
        <v>13.0</v>
      </c>
      <c r="CT157" s="68"/>
      <c r="CU157" s="69"/>
      <c r="CV157" s="70"/>
      <c r="CW157" s="71">
        <v>9.0</v>
      </c>
      <c r="CX157" s="71" t="s">
        <v>143</v>
      </c>
      <c r="CY157" s="71" t="s">
        <v>144</v>
      </c>
      <c r="CZ157" s="45"/>
      <c r="DA157" s="44">
        <v>2700.0</v>
      </c>
      <c r="DB157" s="44">
        <v>0.0</v>
      </c>
      <c r="DC157" s="46" t="s">
        <v>127</v>
      </c>
      <c r="DD157" s="47">
        <v>46245.0</v>
      </c>
      <c r="DE157" s="43"/>
      <c r="DF157" s="43"/>
      <c r="DG157" s="48" t="s">
        <v>128</v>
      </c>
      <c r="DH157" s="48" t="s">
        <v>128</v>
      </c>
      <c r="DI157" s="48" t="s">
        <v>129</v>
      </c>
      <c r="DJ157" s="49">
        <v>1.0</v>
      </c>
      <c r="DK157" s="48" t="b">
        <v>0</v>
      </c>
      <c r="DL157" s="50" t="s">
        <v>466</v>
      </c>
      <c r="DM157" s="50" t="s">
        <v>131</v>
      </c>
      <c r="DN157" s="50" t="s">
        <v>467</v>
      </c>
      <c r="DO157" s="49">
        <v>0.86</v>
      </c>
      <c r="DP157" s="48" t="s">
        <v>128</v>
      </c>
      <c r="DQ157" s="48" t="s">
        <v>133</v>
      </c>
      <c r="DR157" s="51"/>
      <c r="DS157" s="48" t="s">
        <v>134</v>
      </c>
    </row>
    <row r="158">
      <c r="A158" s="23" t="s">
        <v>118</v>
      </c>
      <c r="B158" s="24">
        <v>3.0</v>
      </c>
      <c r="C158" s="23" t="s">
        <v>119</v>
      </c>
      <c r="D158" s="24">
        <v>640888.0</v>
      </c>
      <c r="E158" s="23" t="s">
        <v>161</v>
      </c>
      <c r="F158" s="23" t="s">
        <v>510</v>
      </c>
      <c r="G158" s="23" t="s">
        <v>511</v>
      </c>
      <c r="H158" s="24">
        <v>85339.0</v>
      </c>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7"/>
      <c r="BU158" s="26"/>
      <c r="BV158" s="26"/>
      <c r="BW158" s="26"/>
      <c r="BX158" s="24">
        <v>1.0</v>
      </c>
      <c r="BY158" s="24" t="s">
        <v>123</v>
      </c>
      <c r="BZ158" s="87">
        <v>1.0</v>
      </c>
      <c r="CA158" s="72"/>
      <c r="CB158" s="82"/>
      <c r="CC158" s="31"/>
      <c r="CD158" s="28">
        <v>1.0</v>
      </c>
      <c r="CE158" s="88" t="s">
        <v>185</v>
      </c>
      <c r="CF158" s="33"/>
      <c r="CG158" s="34">
        <v>0.0</v>
      </c>
      <c r="CH158" s="89"/>
      <c r="CI158" s="36">
        <v>0.0</v>
      </c>
      <c r="CJ158" s="36">
        <v>3108.0</v>
      </c>
      <c r="CK158" s="37">
        <v>-47.0</v>
      </c>
      <c r="CL158" s="36">
        <v>3061.0</v>
      </c>
      <c r="CM158" s="38">
        <v>0.0</v>
      </c>
      <c r="CN158" s="36">
        <v>0.0</v>
      </c>
      <c r="CO158" s="39">
        <v>0.0</v>
      </c>
      <c r="CP158" s="40">
        <v>0.0</v>
      </c>
      <c r="CQ158" s="36">
        <v>0.0</v>
      </c>
      <c r="CR158" s="36">
        <v>0.0</v>
      </c>
      <c r="CS158" s="36">
        <v>0.0</v>
      </c>
      <c r="CT158" s="41"/>
      <c r="CU158" s="42"/>
      <c r="CV158" s="43"/>
      <c r="CW158" s="44">
        <v>1.0</v>
      </c>
      <c r="CX158" s="44">
        <v>1.0</v>
      </c>
      <c r="CY158" s="44">
        <v>0.1</v>
      </c>
      <c r="CZ158" s="45"/>
      <c r="DA158" s="43"/>
      <c r="DB158" s="44">
        <v>0.0</v>
      </c>
      <c r="DC158" s="43"/>
      <c r="DD158" s="78"/>
      <c r="DE158" s="43"/>
      <c r="DF158" s="43"/>
      <c r="DG158" s="48" t="s">
        <v>128</v>
      </c>
      <c r="DH158" s="48" t="s">
        <v>131</v>
      </c>
      <c r="DI158" s="48" t="s">
        <v>188</v>
      </c>
      <c r="DJ158" s="49">
        <v>1.0</v>
      </c>
      <c r="DK158" s="48" t="b">
        <v>0</v>
      </c>
      <c r="DL158" s="50" t="s">
        <v>466</v>
      </c>
      <c r="DM158" s="50" t="s">
        <v>131</v>
      </c>
      <c r="DN158" s="50" t="s">
        <v>467</v>
      </c>
      <c r="DO158" s="49">
        <v>0.86</v>
      </c>
      <c r="DP158" s="51"/>
      <c r="DQ158" s="48" t="s">
        <v>188</v>
      </c>
      <c r="DR158" s="51"/>
      <c r="DS158" s="48" t="s">
        <v>134</v>
      </c>
    </row>
    <row r="159">
      <c r="A159" s="52" t="s">
        <v>118</v>
      </c>
      <c r="B159" s="53">
        <v>3.0</v>
      </c>
      <c r="C159" s="52" t="s">
        <v>119</v>
      </c>
      <c r="D159" s="53">
        <v>680909.0</v>
      </c>
      <c r="E159" s="52" t="s">
        <v>288</v>
      </c>
      <c r="F159" s="52" t="s">
        <v>512</v>
      </c>
      <c r="G159" s="52" t="s">
        <v>513</v>
      </c>
      <c r="H159" s="53">
        <v>85339.0</v>
      </c>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81"/>
      <c r="BU159" s="54"/>
      <c r="BV159" s="54"/>
      <c r="BW159" s="54"/>
      <c r="BX159" s="53">
        <v>2700.0</v>
      </c>
      <c r="BY159" s="53" t="s">
        <v>123</v>
      </c>
      <c r="BZ159" s="58">
        <v>2700.0</v>
      </c>
      <c r="CA159" s="72"/>
      <c r="CB159" s="82"/>
      <c r="CC159" s="31"/>
      <c r="CD159" s="58">
        <v>2700.0</v>
      </c>
      <c r="CE159" s="83" t="s">
        <v>185</v>
      </c>
      <c r="CF159" s="60"/>
      <c r="CG159" s="61">
        <v>0.0</v>
      </c>
      <c r="CH159" s="84"/>
      <c r="CI159" s="63">
        <v>0.0</v>
      </c>
      <c r="CJ159" s="63">
        <v>3108.0</v>
      </c>
      <c r="CK159" s="64">
        <v>-47.0</v>
      </c>
      <c r="CL159" s="63">
        <v>3061.0</v>
      </c>
      <c r="CM159" s="65">
        <v>0.0</v>
      </c>
      <c r="CN159" s="63">
        <v>0.0</v>
      </c>
      <c r="CO159" s="66">
        <v>0.0</v>
      </c>
      <c r="CP159" s="67">
        <v>0.0</v>
      </c>
      <c r="CQ159" s="63">
        <v>0.0</v>
      </c>
      <c r="CR159" s="63">
        <v>0.0</v>
      </c>
      <c r="CS159" s="63">
        <v>0.0</v>
      </c>
      <c r="CT159" s="68"/>
      <c r="CU159" s="69"/>
      <c r="CV159" s="70"/>
      <c r="CW159" s="71">
        <v>9.0</v>
      </c>
      <c r="CX159" s="71" t="s">
        <v>143</v>
      </c>
      <c r="CY159" s="71" t="s">
        <v>144</v>
      </c>
      <c r="CZ159" s="45"/>
      <c r="DA159" s="43"/>
      <c r="DB159" s="44">
        <v>0.0</v>
      </c>
      <c r="DC159" s="46" t="s">
        <v>127</v>
      </c>
      <c r="DD159" s="47">
        <v>46228.0</v>
      </c>
      <c r="DE159" s="43"/>
      <c r="DF159" s="43"/>
      <c r="DG159" s="48" t="s">
        <v>128</v>
      </c>
      <c r="DH159" s="48" t="s">
        <v>128</v>
      </c>
      <c r="DI159" s="85" t="str">
        <f>+ OFF 30 DIAS SIN VENTA</f>
        <v>#ERROR!</v>
      </c>
      <c r="DJ159" s="49">
        <v>0.0</v>
      </c>
      <c r="DK159" s="48" t="b">
        <v>0</v>
      </c>
      <c r="DL159" s="50" t="s">
        <v>466</v>
      </c>
      <c r="DM159" s="50" t="s">
        <v>131</v>
      </c>
      <c r="DN159" s="50" t="s">
        <v>467</v>
      </c>
      <c r="DO159" s="49">
        <v>0.86</v>
      </c>
      <c r="DP159" s="48" t="s">
        <v>128</v>
      </c>
      <c r="DQ159" s="86" t="str">
        <f>+ OFF 30 DIAS SIN VENTA</f>
        <v>#ERROR!</v>
      </c>
      <c r="DR159" s="51"/>
      <c r="DS159" s="48" t="s">
        <v>134</v>
      </c>
    </row>
    <row r="160">
      <c r="A160" s="23" t="s">
        <v>118</v>
      </c>
      <c r="B160" s="24">
        <v>3.0</v>
      </c>
      <c r="C160" s="23" t="s">
        <v>119</v>
      </c>
      <c r="D160" s="24">
        <v>626041.0</v>
      </c>
      <c r="E160" s="23" t="s">
        <v>135</v>
      </c>
      <c r="F160" s="23" t="s">
        <v>514</v>
      </c>
      <c r="G160" s="23" t="s">
        <v>515</v>
      </c>
      <c r="H160" s="24">
        <v>85339.0</v>
      </c>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7"/>
      <c r="BU160" s="26"/>
      <c r="BV160" s="26"/>
      <c r="BW160" s="26"/>
      <c r="BX160" s="24">
        <v>2400.0</v>
      </c>
      <c r="BY160" s="24" t="s">
        <v>123</v>
      </c>
      <c r="BZ160" s="28">
        <v>2400.0</v>
      </c>
      <c r="CA160" s="72"/>
      <c r="CB160" s="82"/>
      <c r="CC160" s="31"/>
      <c r="CD160" s="28">
        <v>2400.0</v>
      </c>
      <c r="CE160" s="88" t="s">
        <v>185</v>
      </c>
      <c r="CF160" s="33"/>
      <c r="CG160" s="34">
        <v>0.0</v>
      </c>
      <c r="CH160" s="89"/>
      <c r="CI160" s="36">
        <v>0.0</v>
      </c>
      <c r="CJ160" s="36">
        <v>3108.0</v>
      </c>
      <c r="CK160" s="37">
        <v>-47.0</v>
      </c>
      <c r="CL160" s="36">
        <v>3061.0</v>
      </c>
      <c r="CM160" s="38">
        <v>0.0</v>
      </c>
      <c r="CN160" s="36">
        <v>0.0</v>
      </c>
      <c r="CO160" s="39">
        <v>0.0</v>
      </c>
      <c r="CP160" s="40">
        <v>0.0</v>
      </c>
      <c r="CQ160" s="36">
        <v>0.0</v>
      </c>
      <c r="CR160" s="36">
        <v>0.0</v>
      </c>
      <c r="CS160" s="36">
        <v>0.0</v>
      </c>
      <c r="CT160" s="41"/>
      <c r="CU160" s="42"/>
      <c r="CV160" s="43"/>
      <c r="CW160" s="44">
        <v>8.0</v>
      </c>
      <c r="CX160" s="44" t="s">
        <v>125</v>
      </c>
      <c r="CY160" s="44" t="s">
        <v>126</v>
      </c>
      <c r="CZ160" s="45"/>
      <c r="DA160" s="43"/>
      <c r="DB160" s="44">
        <v>0.0</v>
      </c>
      <c r="DC160" s="43"/>
      <c r="DD160" s="78"/>
      <c r="DE160" s="43"/>
      <c r="DF160" s="43"/>
      <c r="DG160" s="48" t="s">
        <v>128</v>
      </c>
      <c r="DH160" s="48" t="s">
        <v>128</v>
      </c>
      <c r="DI160" s="48" t="s">
        <v>359</v>
      </c>
      <c r="DJ160" s="49">
        <v>1.0</v>
      </c>
      <c r="DK160" s="48" t="b">
        <v>0</v>
      </c>
      <c r="DL160" s="50" t="s">
        <v>466</v>
      </c>
      <c r="DM160" s="50" t="s">
        <v>131</v>
      </c>
      <c r="DN160" s="50" t="s">
        <v>467</v>
      </c>
      <c r="DO160" s="49">
        <v>0.86</v>
      </c>
      <c r="DP160" s="48" t="s">
        <v>359</v>
      </c>
      <c r="DQ160" s="48" t="s">
        <v>359</v>
      </c>
      <c r="DR160" s="51"/>
      <c r="DS160" s="48" t="s">
        <v>134</v>
      </c>
    </row>
    <row r="161">
      <c r="A161" s="52" t="s">
        <v>118</v>
      </c>
      <c r="B161" s="53">
        <v>3.0</v>
      </c>
      <c r="C161" s="52" t="s">
        <v>119</v>
      </c>
      <c r="D161" s="53">
        <v>681287.0</v>
      </c>
      <c r="E161" s="52" t="s">
        <v>354</v>
      </c>
      <c r="F161" s="52" t="s">
        <v>516</v>
      </c>
      <c r="G161" s="52" t="s">
        <v>517</v>
      </c>
      <c r="H161" s="53">
        <v>85339.0</v>
      </c>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81"/>
      <c r="BU161" s="54"/>
      <c r="BV161" s="54"/>
      <c r="BW161" s="54"/>
      <c r="BX161" s="53">
        <v>2400.0</v>
      </c>
      <c r="BY161" s="53" t="s">
        <v>123</v>
      </c>
      <c r="BZ161" s="58">
        <v>2400.0</v>
      </c>
      <c r="CA161" s="72"/>
      <c r="CB161" s="82"/>
      <c r="CC161" s="31"/>
      <c r="CD161" s="58">
        <v>2400.0</v>
      </c>
      <c r="CE161" s="83" t="s">
        <v>185</v>
      </c>
      <c r="CF161" s="60"/>
      <c r="CG161" s="61">
        <v>0.0</v>
      </c>
      <c r="CH161" s="84"/>
      <c r="CI161" s="63">
        <v>0.0</v>
      </c>
      <c r="CJ161" s="63">
        <v>3108.0</v>
      </c>
      <c r="CK161" s="64">
        <v>-47.0</v>
      </c>
      <c r="CL161" s="63">
        <v>3061.0</v>
      </c>
      <c r="CM161" s="65">
        <v>0.0</v>
      </c>
      <c r="CN161" s="63">
        <v>0.0</v>
      </c>
      <c r="CO161" s="66">
        <v>0.0</v>
      </c>
      <c r="CP161" s="67">
        <v>0.0</v>
      </c>
      <c r="CQ161" s="63">
        <v>0.0</v>
      </c>
      <c r="CR161" s="63">
        <v>0.0</v>
      </c>
      <c r="CS161" s="63">
        <v>0.0</v>
      </c>
      <c r="CT161" s="68"/>
      <c r="CU161" s="69"/>
      <c r="CV161" s="70"/>
      <c r="CW161" s="71">
        <v>8.0</v>
      </c>
      <c r="CX161" s="71" t="s">
        <v>125</v>
      </c>
      <c r="CY161" s="71" t="s">
        <v>126</v>
      </c>
      <c r="CZ161" s="45"/>
      <c r="DA161" s="43"/>
      <c r="DB161" s="44">
        <v>0.0</v>
      </c>
      <c r="DC161" s="43"/>
      <c r="DD161" s="78"/>
      <c r="DE161" s="43"/>
      <c r="DF161" s="43"/>
      <c r="DG161" s="48" t="s">
        <v>128</v>
      </c>
      <c r="DH161" s="48" t="s">
        <v>128</v>
      </c>
      <c r="DI161" s="85" t="str">
        <f>+ OFF 30 DIAS SIN VENTA</f>
        <v>#ERROR!</v>
      </c>
      <c r="DJ161" s="49">
        <v>1.0</v>
      </c>
      <c r="DK161" s="48" t="b">
        <v>0</v>
      </c>
      <c r="DL161" s="50" t="s">
        <v>466</v>
      </c>
      <c r="DM161" s="50" t="s">
        <v>131</v>
      </c>
      <c r="DN161" s="50" t="s">
        <v>467</v>
      </c>
      <c r="DO161" s="49">
        <v>0.86</v>
      </c>
      <c r="DP161" s="48" t="s">
        <v>128</v>
      </c>
      <c r="DQ161" s="86" t="str">
        <f>+ OFF 30 DIAS SIN VENTA</f>
        <v>#ERROR!</v>
      </c>
      <c r="DR161" s="51"/>
      <c r="DS161" s="48" t="s">
        <v>134</v>
      </c>
    </row>
    <row r="162">
      <c r="A162" s="23" t="s">
        <v>118</v>
      </c>
      <c r="B162" s="24">
        <v>3.0</v>
      </c>
      <c r="C162" s="23" t="s">
        <v>119</v>
      </c>
      <c r="D162" s="24">
        <v>536832.0</v>
      </c>
      <c r="E162" s="23" t="s">
        <v>158</v>
      </c>
      <c r="F162" s="23" t="s">
        <v>518</v>
      </c>
      <c r="G162" s="23" t="s">
        <v>519</v>
      </c>
      <c r="H162" s="24">
        <v>85339.0</v>
      </c>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7"/>
      <c r="BU162" s="26"/>
      <c r="BV162" s="26"/>
      <c r="BW162" s="26"/>
      <c r="BX162" s="24">
        <v>2400.0</v>
      </c>
      <c r="BY162" s="24" t="s">
        <v>123</v>
      </c>
      <c r="BZ162" s="28">
        <v>2400.0</v>
      </c>
      <c r="CA162" s="72"/>
      <c r="CB162" s="82"/>
      <c r="CC162" s="31"/>
      <c r="CD162" s="28">
        <v>2400.0</v>
      </c>
      <c r="CE162" s="88" t="s">
        <v>185</v>
      </c>
      <c r="CF162" s="33"/>
      <c r="CG162" s="34">
        <v>0.0</v>
      </c>
      <c r="CH162" s="89"/>
      <c r="CI162" s="36">
        <v>0.0</v>
      </c>
      <c r="CJ162" s="36">
        <v>3108.0</v>
      </c>
      <c r="CK162" s="37">
        <v>-47.0</v>
      </c>
      <c r="CL162" s="36">
        <v>3061.0</v>
      </c>
      <c r="CM162" s="38">
        <v>0.0</v>
      </c>
      <c r="CN162" s="36">
        <v>0.0</v>
      </c>
      <c r="CO162" s="39">
        <v>0.0</v>
      </c>
      <c r="CP162" s="40">
        <v>0.0</v>
      </c>
      <c r="CQ162" s="36">
        <v>0.0</v>
      </c>
      <c r="CR162" s="36">
        <v>0.0</v>
      </c>
      <c r="CS162" s="36">
        <v>0.0</v>
      </c>
      <c r="CT162" s="41"/>
      <c r="CU162" s="42"/>
      <c r="CV162" s="43"/>
      <c r="CW162" s="44">
        <v>8.0</v>
      </c>
      <c r="CX162" s="44" t="s">
        <v>125</v>
      </c>
      <c r="CY162" s="44" t="s">
        <v>126</v>
      </c>
      <c r="CZ162" s="45"/>
      <c r="DA162" s="43"/>
      <c r="DB162" s="44">
        <v>0.0</v>
      </c>
      <c r="DC162" s="43"/>
      <c r="DD162" s="78"/>
      <c r="DE162" s="43"/>
      <c r="DF162" s="43"/>
      <c r="DG162" s="48" t="s">
        <v>128</v>
      </c>
      <c r="DH162" s="48" t="s">
        <v>128</v>
      </c>
      <c r="DI162" s="48" t="s">
        <v>196</v>
      </c>
      <c r="DJ162" s="49">
        <v>1.0</v>
      </c>
      <c r="DK162" s="48" t="b">
        <v>0</v>
      </c>
      <c r="DL162" s="50" t="s">
        <v>466</v>
      </c>
      <c r="DM162" s="50" t="s">
        <v>131</v>
      </c>
      <c r="DN162" s="50" t="s">
        <v>467</v>
      </c>
      <c r="DO162" s="49">
        <v>0.86</v>
      </c>
      <c r="DP162" s="48" t="s">
        <v>245</v>
      </c>
      <c r="DQ162" s="48" t="s">
        <v>196</v>
      </c>
      <c r="DR162" s="51"/>
      <c r="DS162" s="48" t="s">
        <v>134</v>
      </c>
    </row>
    <row r="163">
      <c r="A163" s="52" t="s">
        <v>118</v>
      </c>
      <c r="B163" s="53">
        <v>3.0</v>
      </c>
      <c r="C163" s="52" t="s">
        <v>119</v>
      </c>
      <c r="D163" s="53">
        <v>680909.0</v>
      </c>
      <c r="E163" s="52" t="s">
        <v>288</v>
      </c>
      <c r="F163" s="52" t="s">
        <v>520</v>
      </c>
      <c r="G163" s="52" t="s">
        <v>521</v>
      </c>
      <c r="H163" s="53">
        <v>96729.0</v>
      </c>
      <c r="I163" s="53">
        <v>1.0</v>
      </c>
      <c r="J163" s="53">
        <v>0.0</v>
      </c>
      <c r="K163" s="53">
        <v>0.0</v>
      </c>
      <c r="L163" s="53">
        <v>0.0</v>
      </c>
      <c r="M163" s="53">
        <v>0.0</v>
      </c>
      <c r="N163" s="53">
        <v>0.0</v>
      </c>
      <c r="O163" s="53">
        <v>0.0</v>
      </c>
      <c r="P163" s="53">
        <v>0.0</v>
      </c>
      <c r="Q163" s="53">
        <v>0.0</v>
      </c>
      <c r="R163" s="53">
        <v>0.0</v>
      </c>
      <c r="S163" s="53">
        <v>0.0</v>
      </c>
      <c r="T163" s="53">
        <v>0.0</v>
      </c>
      <c r="U163" s="53">
        <v>0.0</v>
      </c>
      <c r="V163" s="53">
        <v>0.0</v>
      </c>
      <c r="W163" s="53">
        <v>0.0</v>
      </c>
      <c r="X163" s="53">
        <v>0.0</v>
      </c>
      <c r="Y163" s="53">
        <v>0.0</v>
      </c>
      <c r="Z163" s="53">
        <v>0.0</v>
      </c>
      <c r="AA163" s="53">
        <v>0.0</v>
      </c>
      <c r="AB163" s="53">
        <v>0.0</v>
      </c>
      <c r="AC163" s="53">
        <v>0.0</v>
      </c>
      <c r="AD163" s="53">
        <v>0.0</v>
      </c>
      <c r="AE163" s="53">
        <v>0.0</v>
      </c>
      <c r="AF163" s="53">
        <v>0.0</v>
      </c>
      <c r="AG163" s="53">
        <v>1.0</v>
      </c>
      <c r="AH163" s="53">
        <v>0.0</v>
      </c>
      <c r="AI163" s="53">
        <v>0.0</v>
      </c>
      <c r="AJ163" s="53">
        <v>0.0</v>
      </c>
      <c r="AK163" s="53">
        <v>0.0</v>
      </c>
      <c r="AL163" s="53">
        <v>0.0</v>
      </c>
      <c r="AM163" s="53">
        <v>0.0</v>
      </c>
      <c r="AN163" s="53">
        <v>0.0</v>
      </c>
      <c r="AO163" s="25">
        <v>29.5</v>
      </c>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3">
        <v>29.48</v>
      </c>
      <c r="BN163" s="54"/>
      <c r="BO163" s="54"/>
      <c r="BP163" s="53">
        <v>1.28</v>
      </c>
      <c r="BQ163" s="53">
        <v>4.48</v>
      </c>
      <c r="BR163" s="53">
        <v>5.57</v>
      </c>
      <c r="BS163" s="25">
        <v>14.9</v>
      </c>
      <c r="BT163" s="81"/>
      <c r="BU163" s="54"/>
      <c r="BV163" s="54"/>
      <c r="BW163" s="54"/>
      <c r="BX163" s="53">
        <v>2100.0</v>
      </c>
      <c r="BY163" s="53" t="s">
        <v>123</v>
      </c>
      <c r="BZ163" s="58">
        <v>1800.0</v>
      </c>
      <c r="CA163" s="29" t="s">
        <v>124</v>
      </c>
      <c r="CB163" s="30">
        <v>2100.0</v>
      </c>
      <c r="CC163" s="31"/>
      <c r="CD163" s="58">
        <v>2100.0</v>
      </c>
      <c r="CE163" s="59" t="e">
        <v>#REF!</v>
      </c>
      <c r="CF163" s="60"/>
      <c r="CG163" s="61">
        <v>0.0</v>
      </c>
      <c r="CH163" s="62">
        <v>0.0</v>
      </c>
      <c r="CI163" s="63">
        <v>1.0</v>
      </c>
      <c r="CJ163" s="63">
        <v>1366.0</v>
      </c>
      <c r="CK163" s="64">
        <v>-14.0</v>
      </c>
      <c r="CL163" s="63">
        <v>1352.0</v>
      </c>
      <c r="CM163" s="65">
        <v>30.0</v>
      </c>
      <c r="CN163" s="63">
        <v>0.0</v>
      </c>
      <c r="CO163" s="66">
        <v>29.5</v>
      </c>
      <c r="CP163" s="67">
        <v>0.0</v>
      </c>
      <c r="CQ163" s="63">
        <v>1.0</v>
      </c>
      <c r="CR163" s="63">
        <v>1.0</v>
      </c>
      <c r="CS163" s="63">
        <v>15.0</v>
      </c>
      <c r="CT163" s="68"/>
      <c r="CU163" s="69"/>
      <c r="CV163" s="70"/>
      <c r="CW163" s="71">
        <v>7.0</v>
      </c>
      <c r="CX163" s="71" t="s">
        <v>201</v>
      </c>
      <c r="CY163" s="71" t="s">
        <v>202</v>
      </c>
      <c r="CZ163" s="45"/>
      <c r="DA163" s="44">
        <v>2100.0</v>
      </c>
      <c r="DB163" s="44">
        <v>0.0</v>
      </c>
      <c r="DC163" s="43"/>
      <c r="DD163" s="78"/>
      <c r="DE163" s="43"/>
      <c r="DF163" s="43"/>
      <c r="DG163" s="48" t="s">
        <v>128</v>
      </c>
      <c r="DH163" s="48" t="s">
        <v>128</v>
      </c>
      <c r="DI163" s="48" t="s">
        <v>129</v>
      </c>
      <c r="DJ163" s="49">
        <v>1.0</v>
      </c>
      <c r="DK163" s="48" t="b">
        <v>0</v>
      </c>
      <c r="DL163" s="50" t="s">
        <v>522</v>
      </c>
      <c r="DM163" s="50" t="s">
        <v>131</v>
      </c>
      <c r="DN163" s="50" t="s">
        <v>523</v>
      </c>
      <c r="DO163" s="48" t="e">
        <v>#N/A</v>
      </c>
      <c r="DP163" s="48" t="s">
        <v>128</v>
      </c>
      <c r="DQ163" s="48" t="s">
        <v>417</v>
      </c>
      <c r="DR163" s="51"/>
      <c r="DS163" s="48" t="s">
        <v>134</v>
      </c>
    </row>
    <row r="164">
      <c r="A164" s="23" t="s">
        <v>118</v>
      </c>
      <c r="B164" s="24">
        <v>3.0</v>
      </c>
      <c r="C164" s="23" t="s">
        <v>119</v>
      </c>
      <c r="D164" s="24">
        <v>631195.0</v>
      </c>
      <c r="E164" s="23" t="s">
        <v>140</v>
      </c>
      <c r="F164" s="23" t="s">
        <v>524</v>
      </c>
      <c r="G164" s="23" t="s">
        <v>525</v>
      </c>
      <c r="H164" s="24">
        <v>96729.0</v>
      </c>
      <c r="I164" s="24">
        <v>1.0</v>
      </c>
      <c r="J164" s="24">
        <v>0.0</v>
      </c>
      <c r="K164" s="24">
        <v>0.0</v>
      </c>
      <c r="L164" s="24">
        <v>0.0</v>
      </c>
      <c r="M164" s="24">
        <v>0.0</v>
      </c>
      <c r="N164" s="24">
        <v>0.0</v>
      </c>
      <c r="O164" s="24">
        <v>0.0</v>
      </c>
      <c r="P164" s="24">
        <v>0.0</v>
      </c>
      <c r="Q164" s="24">
        <v>0.0</v>
      </c>
      <c r="R164" s="24">
        <v>0.0</v>
      </c>
      <c r="S164" s="24">
        <v>0.0</v>
      </c>
      <c r="T164" s="24">
        <v>0.0</v>
      </c>
      <c r="U164" s="24">
        <v>0.0</v>
      </c>
      <c r="V164" s="24">
        <v>0.0</v>
      </c>
      <c r="W164" s="24">
        <v>0.0</v>
      </c>
      <c r="X164" s="24">
        <v>0.0</v>
      </c>
      <c r="Y164" s="24">
        <v>0.0</v>
      </c>
      <c r="Z164" s="24">
        <v>0.0</v>
      </c>
      <c r="AA164" s="24">
        <v>0.0</v>
      </c>
      <c r="AB164" s="24">
        <v>0.0</v>
      </c>
      <c r="AC164" s="24">
        <v>0.0</v>
      </c>
      <c r="AD164" s="24">
        <v>0.0</v>
      </c>
      <c r="AE164" s="24">
        <v>0.0</v>
      </c>
      <c r="AF164" s="24">
        <v>0.0</v>
      </c>
      <c r="AG164" s="24">
        <v>0.0</v>
      </c>
      <c r="AH164" s="24">
        <v>0.0</v>
      </c>
      <c r="AI164" s="24">
        <v>1.0</v>
      </c>
      <c r="AJ164" s="24">
        <v>0.0</v>
      </c>
      <c r="AK164" s="24">
        <v>0.0</v>
      </c>
      <c r="AL164" s="24">
        <v>0.0</v>
      </c>
      <c r="AM164" s="24">
        <v>0.0</v>
      </c>
      <c r="AN164" s="24">
        <v>0.0</v>
      </c>
      <c r="AO164" s="25">
        <v>24.5</v>
      </c>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4">
        <v>0.41</v>
      </c>
      <c r="BP164" s="24">
        <v>1.1</v>
      </c>
      <c r="BQ164" s="24">
        <v>4.63</v>
      </c>
      <c r="BR164" s="24">
        <v>5.52</v>
      </c>
      <c r="BS164" s="25">
        <v>13.25</v>
      </c>
      <c r="BT164" s="56">
        <v>24.5</v>
      </c>
      <c r="BU164" s="25">
        <v>13.3</v>
      </c>
      <c r="BV164" s="57">
        <v>5.53</v>
      </c>
      <c r="BW164" s="26"/>
      <c r="BX164" s="24">
        <v>2400.0</v>
      </c>
      <c r="BY164" s="24" t="s">
        <v>123</v>
      </c>
      <c r="BZ164" s="108">
        <v>2100.0</v>
      </c>
      <c r="CA164" s="29" t="s">
        <v>124</v>
      </c>
      <c r="CB164" s="30">
        <v>1.0</v>
      </c>
      <c r="CC164" s="31"/>
      <c r="CD164" s="28">
        <v>1.0</v>
      </c>
      <c r="CE164" s="32" t="e">
        <v>#REF!</v>
      </c>
      <c r="CF164" s="109">
        <v>-2399.0</v>
      </c>
      <c r="CG164" s="34">
        <v>-1.0</v>
      </c>
      <c r="CH164" s="35">
        <v>-1.0</v>
      </c>
      <c r="CI164" s="36">
        <v>0.0</v>
      </c>
      <c r="CJ164" s="36">
        <v>1366.0</v>
      </c>
      <c r="CK164" s="37">
        <v>-14.0</v>
      </c>
      <c r="CL164" s="36">
        <v>1352.0</v>
      </c>
      <c r="CM164" s="38">
        <v>25.0</v>
      </c>
      <c r="CN164" s="110"/>
      <c r="CO164" s="39">
        <v>0.0</v>
      </c>
      <c r="CP164" s="40">
        <v>-24.5</v>
      </c>
      <c r="CQ164" s="36">
        <v>1.0</v>
      </c>
      <c r="CR164" s="36">
        <v>0.0</v>
      </c>
      <c r="CS164" s="36">
        <v>0.0</v>
      </c>
      <c r="CT164" s="41"/>
      <c r="CU164" s="42"/>
      <c r="CV164" s="43"/>
      <c r="CW164" s="44">
        <v>1.0</v>
      </c>
      <c r="CX164" s="44">
        <v>1.0</v>
      </c>
      <c r="CY164" s="44">
        <v>0.1</v>
      </c>
      <c r="CZ164" s="107" t="s">
        <v>124</v>
      </c>
      <c r="DA164" s="44">
        <v>1.0</v>
      </c>
      <c r="DB164" s="44">
        <v>0.0</v>
      </c>
      <c r="DC164" s="43"/>
      <c r="DD164" s="78"/>
      <c r="DE164" s="43"/>
      <c r="DF164" s="43"/>
      <c r="DG164" s="48" t="s">
        <v>128</v>
      </c>
      <c r="DH164" s="48" t="s">
        <v>128</v>
      </c>
      <c r="DI164" s="48" t="s">
        <v>128</v>
      </c>
      <c r="DJ164" s="49">
        <v>0.0</v>
      </c>
      <c r="DK164" s="48" t="b">
        <v>0</v>
      </c>
      <c r="DL164" s="50" t="s">
        <v>522</v>
      </c>
      <c r="DM164" s="50" t="s">
        <v>131</v>
      </c>
      <c r="DN164" s="50" t="s">
        <v>523</v>
      </c>
      <c r="DO164" s="48" t="e">
        <v>#N/A</v>
      </c>
      <c r="DP164" s="48" t="s">
        <v>128</v>
      </c>
      <c r="DQ164" s="48" t="s">
        <v>417</v>
      </c>
      <c r="DR164" s="48" t="s">
        <v>526</v>
      </c>
      <c r="DS164" s="48" t="s">
        <v>134</v>
      </c>
    </row>
    <row r="165">
      <c r="A165" s="52" t="s">
        <v>118</v>
      </c>
      <c r="B165" s="53">
        <v>3.0</v>
      </c>
      <c r="C165" s="52" t="s">
        <v>119</v>
      </c>
      <c r="D165" s="53">
        <v>610881.0</v>
      </c>
      <c r="E165" s="52" t="s">
        <v>167</v>
      </c>
      <c r="F165" s="52" t="s">
        <v>527</v>
      </c>
      <c r="G165" s="52" t="s">
        <v>528</v>
      </c>
      <c r="H165" s="53">
        <v>96729.0</v>
      </c>
      <c r="I165" s="53">
        <v>3.0</v>
      </c>
      <c r="J165" s="53">
        <v>0.0</v>
      </c>
      <c r="K165" s="53">
        <v>0.0</v>
      </c>
      <c r="L165" s="53">
        <v>0.0</v>
      </c>
      <c r="M165" s="53">
        <v>0.0</v>
      </c>
      <c r="N165" s="53">
        <v>0.0</v>
      </c>
      <c r="O165" s="53">
        <v>0.0</v>
      </c>
      <c r="P165" s="53">
        <v>0.0</v>
      </c>
      <c r="Q165" s="53">
        <v>0.0</v>
      </c>
      <c r="R165" s="53">
        <v>0.0</v>
      </c>
      <c r="S165" s="53">
        <v>0.0</v>
      </c>
      <c r="T165" s="53">
        <v>0.0</v>
      </c>
      <c r="U165" s="53">
        <v>0.0</v>
      </c>
      <c r="V165" s="53">
        <v>0.0</v>
      </c>
      <c r="W165" s="53">
        <v>2.0</v>
      </c>
      <c r="X165" s="53">
        <v>0.0</v>
      </c>
      <c r="Y165" s="53">
        <v>0.0</v>
      </c>
      <c r="Z165" s="53">
        <v>0.0</v>
      </c>
      <c r="AA165" s="53">
        <v>0.0</v>
      </c>
      <c r="AB165" s="53">
        <v>0.0</v>
      </c>
      <c r="AC165" s="53">
        <v>1.0</v>
      </c>
      <c r="AD165" s="53">
        <v>0.0</v>
      </c>
      <c r="AE165" s="53">
        <v>0.0</v>
      </c>
      <c r="AF165" s="53">
        <v>0.0</v>
      </c>
      <c r="AG165" s="53">
        <v>0.0</v>
      </c>
      <c r="AH165" s="53">
        <v>0.0</v>
      </c>
      <c r="AI165" s="53">
        <v>0.0</v>
      </c>
      <c r="AJ165" s="53">
        <v>0.0</v>
      </c>
      <c r="AK165" s="53">
        <v>0.0</v>
      </c>
      <c r="AL165" s="53">
        <v>0.0</v>
      </c>
      <c r="AM165" s="53">
        <v>0.0</v>
      </c>
      <c r="AN165" s="53">
        <v>0.0</v>
      </c>
      <c r="AO165" s="25">
        <v>23.3</v>
      </c>
      <c r="AP165" s="54"/>
      <c r="AQ165" s="54"/>
      <c r="AR165" s="54"/>
      <c r="AS165" s="54"/>
      <c r="AT165" s="54"/>
      <c r="AU165" s="54"/>
      <c r="AV165" s="54"/>
      <c r="AW165" s="54"/>
      <c r="AX165" s="54"/>
      <c r="AY165" s="54"/>
      <c r="AZ165" s="54"/>
      <c r="BA165" s="54"/>
      <c r="BB165" s="54"/>
      <c r="BC165" s="53">
        <v>20.23</v>
      </c>
      <c r="BD165" s="54"/>
      <c r="BE165" s="54"/>
      <c r="BF165" s="54"/>
      <c r="BG165" s="54"/>
      <c r="BH165" s="54"/>
      <c r="BI165" s="53">
        <v>29.5</v>
      </c>
      <c r="BJ165" s="54"/>
      <c r="BK165" s="54"/>
      <c r="BL165" s="54"/>
      <c r="BM165" s="54"/>
      <c r="BN165" s="54"/>
      <c r="BO165" s="54"/>
      <c r="BP165" s="53">
        <v>0.94</v>
      </c>
      <c r="BQ165" s="53">
        <v>4.96</v>
      </c>
      <c r="BR165" s="53">
        <v>5.69</v>
      </c>
      <c r="BS165" s="25">
        <v>10.34</v>
      </c>
      <c r="BT165" s="81"/>
      <c r="BU165" s="54"/>
      <c r="BV165" s="54"/>
      <c r="BW165" s="54"/>
      <c r="BX165" s="53">
        <v>1.0</v>
      </c>
      <c r="BY165" s="53" t="s">
        <v>123</v>
      </c>
      <c r="BZ165" s="108">
        <v>1.0</v>
      </c>
      <c r="CA165" s="72"/>
      <c r="CB165" s="30">
        <v>2200.0</v>
      </c>
      <c r="CC165" s="31"/>
      <c r="CD165" s="58">
        <v>2200.0</v>
      </c>
      <c r="CE165" s="59" t="e">
        <v>#REF!</v>
      </c>
      <c r="CF165" s="79" t="str">
        <f>+2,199</f>
        <v>#ERROR!</v>
      </c>
      <c r="CG165" s="61">
        <v>0.0</v>
      </c>
      <c r="CH165" s="62">
        <v>0.0</v>
      </c>
      <c r="CI165" s="63">
        <v>3.0</v>
      </c>
      <c r="CJ165" s="63">
        <v>1366.0</v>
      </c>
      <c r="CK165" s="64">
        <v>-14.0</v>
      </c>
      <c r="CL165" s="63">
        <v>1352.0</v>
      </c>
      <c r="CM165" s="65">
        <v>70.0</v>
      </c>
      <c r="CN165" s="63">
        <v>-194688.0</v>
      </c>
      <c r="CO165" s="66">
        <v>64919.3</v>
      </c>
      <c r="CP165" s="90" t="str">
        <f>+64,896.0</f>
        <v>#ERROR!</v>
      </c>
      <c r="CQ165" s="63">
        <v>3.0</v>
      </c>
      <c r="CR165" s="63">
        <v>3.0</v>
      </c>
      <c r="CS165" s="63">
        <v>31.0</v>
      </c>
      <c r="CT165" s="68"/>
      <c r="CU165" s="69"/>
      <c r="CV165" s="70"/>
      <c r="CW165" s="71">
        <v>8.0</v>
      </c>
      <c r="CX165" s="71" t="s">
        <v>125</v>
      </c>
      <c r="CY165" s="71" t="s">
        <v>529</v>
      </c>
      <c r="CZ165" s="76" t="s">
        <v>151</v>
      </c>
      <c r="DA165" s="44">
        <v>1.0</v>
      </c>
      <c r="DB165" s="44">
        <v>0.0</v>
      </c>
      <c r="DC165" s="43"/>
      <c r="DD165" s="78"/>
      <c r="DE165" s="43"/>
      <c r="DF165" s="43"/>
      <c r="DG165" s="48" t="s">
        <v>128</v>
      </c>
      <c r="DH165" s="48" t="s">
        <v>128</v>
      </c>
      <c r="DI165" s="48" t="s">
        <v>129</v>
      </c>
      <c r="DJ165" s="49">
        <v>1.0</v>
      </c>
      <c r="DK165" s="48" t="b">
        <v>0</v>
      </c>
      <c r="DL165" s="50" t="s">
        <v>522</v>
      </c>
      <c r="DM165" s="50" t="s">
        <v>131</v>
      </c>
      <c r="DN165" s="50" t="s">
        <v>523</v>
      </c>
      <c r="DO165" s="48" t="e">
        <v>#N/A</v>
      </c>
      <c r="DP165" s="48" t="s">
        <v>128</v>
      </c>
      <c r="DQ165" s="48" t="s">
        <v>417</v>
      </c>
      <c r="DR165" s="48" t="s">
        <v>392</v>
      </c>
      <c r="DS165" s="48" t="s">
        <v>134</v>
      </c>
    </row>
    <row r="166">
      <c r="A166" s="23" t="s">
        <v>118</v>
      </c>
      <c r="B166" s="24">
        <v>3.0</v>
      </c>
      <c r="C166" s="23" t="s">
        <v>119</v>
      </c>
      <c r="D166" s="24">
        <v>627274.0</v>
      </c>
      <c r="E166" s="23" t="s">
        <v>173</v>
      </c>
      <c r="F166" s="23" t="s">
        <v>530</v>
      </c>
      <c r="G166" s="23" t="s">
        <v>531</v>
      </c>
      <c r="H166" s="24">
        <v>96729.0</v>
      </c>
      <c r="I166" s="24">
        <v>13.0</v>
      </c>
      <c r="J166" s="24">
        <v>0.0</v>
      </c>
      <c r="K166" s="24">
        <v>0.0</v>
      </c>
      <c r="L166" s="24">
        <v>0.0</v>
      </c>
      <c r="M166" s="24">
        <v>0.0</v>
      </c>
      <c r="N166" s="24">
        <v>0.0</v>
      </c>
      <c r="O166" s="24">
        <v>0.0</v>
      </c>
      <c r="P166" s="24">
        <v>0.0</v>
      </c>
      <c r="Q166" s="24">
        <v>0.0</v>
      </c>
      <c r="R166" s="24">
        <v>0.0</v>
      </c>
      <c r="S166" s="24">
        <v>0.0</v>
      </c>
      <c r="T166" s="24">
        <v>0.0</v>
      </c>
      <c r="U166" s="24">
        <v>0.0</v>
      </c>
      <c r="V166" s="24">
        <v>6.0</v>
      </c>
      <c r="W166" s="24">
        <v>0.0</v>
      </c>
      <c r="X166" s="24">
        <v>1.0</v>
      </c>
      <c r="Y166" s="24">
        <v>1.0</v>
      </c>
      <c r="Z166" s="24">
        <v>0.0</v>
      </c>
      <c r="AA166" s="24">
        <v>0.0</v>
      </c>
      <c r="AB166" s="24">
        <v>0.0</v>
      </c>
      <c r="AC166" s="24">
        <v>1.0</v>
      </c>
      <c r="AD166" s="24">
        <v>1.0</v>
      </c>
      <c r="AE166" s="24">
        <v>1.0</v>
      </c>
      <c r="AF166" s="24">
        <v>1.0</v>
      </c>
      <c r="AG166" s="24">
        <v>0.0</v>
      </c>
      <c r="AH166" s="24">
        <v>0.0</v>
      </c>
      <c r="AI166" s="24">
        <v>1.0</v>
      </c>
      <c r="AJ166" s="24">
        <v>0.0</v>
      </c>
      <c r="AK166" s="24">
        <v>0.0</v>
      </c>
      <c r="AL166" s="24">
        <v>0.0</v>
      </c>
      <c r="AM166" s="24">
        <v>0.0</v>
      </c>
      <c r="AN166" s="24">
        <v>0.0</v>
      </c>
      <c r="AO166" s="25">
        <v>23.2</v>
      </c>
      <c r="AP166" s="26"/>
      <c r="AQ166" s="26"/>
      <c r="AR166" s="26"/>
      <c r="AS166" s="26"/>
      <c r="AT166" s="26"/>
      <c r="AU166" s="26"/>
      <c r="AV166" s="26"/>
      <c r="AW166" s="26"/>
      <c r="AX166" s="26"/>
      <c r="AY166" s="26"/>
      <c r="AZ166" s="26"/>
      <c r="BA166" s="26"/>
      <c r="BB166" s="24">
        <v>21.57</v>
      </c>
      <c r="BC166" s="26"/>
      <c r="BD166" s="24">
        <v>18.8</v>
      </c>
      <c r="BE166" s="24">
        <v>12.08</v>
      </c>
      <c r="BF166" s="26"/>
      <c r="BG166" s="26"/>
      <c r="BH166" s="26"/>
      <c r="BI166" s="24">
        <v>31.62</v>
      </c>
      <c r="BJ166" s="24">
        <v>34.0</v>
      </c>
      <c r="BK166" s="24">
        <v>28.05</v>
      </c>
      <c r="BL166" s="24">
        <v>19.47</v>
      </c>
      <c r="BM166" s="26"/>
      <c r="BN166" s="26"/>
      <c r="BO166" s="24">
        <v>0.48</v>
      </c>
      <c r="BP166" s="24">
        <v>2.13</v>
      </c>
      <c r="BQ166" s="24">
        <v>5.94</v>
      </c>
      <c r="BR166" s="24">
        <v>7.84</v>
      </c>
      <c r="BS166" s="25">
        <v>9.23</v>
      </c>
      <c r="BT166" s="56">
        <v>25.2</v>
      </c>
      <c r="BU166" s="25">
        <v>11.1</v>
      </c>
      <c r="BV166" s="57">
        <v>5.79</v>
      </c>
      <c r="BW166" s="24">
        <v>1900.0</v>
      </c>
      <c r="BX166" s="24">
        <v>2400.0</v>
      </c>
      <c r="BY166" s="24" t="s">
        <v>123</v>
      </c>
      <c r="BZ166" s="108">
        <v>2100.0</v>
      </c>
      <c r="CA166" s="29" t="s">
        <v>124</v>
      </c>
      <c r="CB166" s="30">
        <v>1.0</v>
      </c>
      <c r="CC166" s="31"/>
      <c r="CD166" s="28">
        <v>1.0</v>
      </c>
      <c r="CE166" s="32" t="e">
        <v>#REF!</v>
      </c>
      <c r="CF166" s="109">
        <v>-2399.0</v>
      </c>
      <c r="CG166" s="34">
        <v>-13.0</v>
      </c>
      <c r="CH166" s="35">
        <v>-1.0</v>
      </c>
      <c r="CI166" s="36">
        <v>0.0</v>
      </c>
      <c r="CJ166" s="36">
        <v>1366.0</v>
      </c>
      <c r="CK166" s="37">
        <v>-14.0</v>
      </c>
      <c r="CL166" s="36">
        <v>1352.0</v>
      </c>
      <c r="CM166" s="38">
        <v>302.0</v>
      </c>
      <c r="CN166" s="110"/>
      <c r="CO166" s="39">
        <v>0.0</v>
      </c>
      <c r="CP166" s="40">
        <v>-23.2</v>
      </c>
      <c r="CQ166" s="36">
        <v>28.0</v>
      </c>
      <c r="CR166" s="36">
        <v>0.0</v>
      </c>
      <c r="CS166" s="36">
        <v>0.0</v>
      </c>
      <c r="CT166" s="41"/>
      <c r="CU166" s="42"/>
      <c r="CV166" s="43"/>
      <c r="CW166" s="44">
        <v>1.0</v>
      </c>
      <c r="CX166" s="44">
        <v>1.0</v>
      </c>
      <c r="CY166" s="44">
        <v>0.1</v>
      </c>
      <c r="CZ166" s="107" t="s">
        <v>124</v>
      </c>
      <c r="DA166" s="44">
        <v>1.0</v>
      </c>
      <c r="DB166" s="44">
        <v>0.0</v>
      </c>
      <c r="DC166" s="46" t="s">
        <v>127</v>
      </c>
      <c r="DD166" s="47">
        <v>46245.0</v>
      </c>
      <c r="DE166" s="43"/>
      <c r="DF166" s="43"/>
      <c r="DG166" s="48" t="s">
        <v>128</v>
      </c>
      <c r="DH166" s="48" t="s">
        <v>128</v>
      </c>
      <c r="DI166" s="48" t="s">
        <v>128</v>
      </c>
      <c r="DJ166" s="49">
        <v>1.0</v>
      </c>
      <c r="DK166" s="48" t="b">
        <v>0</v>
      </c>
      <c r="DL166" s="50" t="s">
        <v>522</v>
      </c>
      <c r="DM166" s="50" t="s">
        <v>131</v>
      </c>
      <c r="DN166" s="50" t="s">
        <v>523</v>
      </c>
      <c r="DO166" s="48" t="e">
        <v>#N/A</v>
      </c>
      <c r="DP166" s="48" t="s">
        <v>128</v>
      </c>
      <c r="DQ166" s="48" t="s">
        <v>417</v>
      </c>
      <c r="DR166" s="48" t="s">
        <v>526</v>
      </c>
      <c r="DS166" s="48" t="s">
        <v>134</v>
      </c>
    </row>
    <row r="167">
      <c r="A167" s="52" t="s">
        <v>118</v>
      </c>
      <c r="B167" s="53">
        <v>3.0</v>
      </c>
      <c r="C167" s="52" t="s">
        <v>119</v>
      </c>
      <c r="D167" s="53">
        <v>626041.0</v>
      </c>
      <c r="E167" s="52" t="s">
        <v>135</v>
      </c>
      <c r="F167" s="52" t="s">
        <v>532</v>
      </c>
      <c r="G167" s="52" t="s">
        <v>533</v>
      </c>
      <c r="H167" s="53">
        <v>96729.0</v>
      </c>
      <c r="I167" s="53">
        <v>11.0</v>
      </c>
      <c r="J167" s="53">
        <v>0.0</v>
      </c>
      <c r="K167" s="53">
        <v>0.0</v>
      </c>
      <c r="L167" s="53">
        <v>0.0</v>
      </c>
      <c r="M167" s="53">
        <v>0.0</v>
      </c>
      <c r="N167" s="53">
        <v>0.0</v>
      </c>
      <c r="O167" s="53">
        <v>0.0</v>
      </c>
      <c r="P167" s="53">
        <v>0.0</v>
      </c>
      <c r="Q167" s="53">
        <v>0.0</v>
      </c>
      <c r="R167" s="53">
        <v>0.0</v>
      </c>
      <c r="S167" s="53">
        <v>1.0</v>
      </c>
      <c r="T167" s="53">
        <v>0.0</v>
      </c>
      <c r="U167" s="53">
        <v>0.0</v>
      </c>
      <c r="V167" s="53">
        <v>0.0</v>
      </c>
      <c r="W167" s="53">
        <v>1.0</v>
      </c>
      <c r="X167" s="53">
        <v>0.0</v>
      </c>
      <c r="Y167" s="53">
        <v>3.0</v>
      </c>
      <c r="Z167" s="53">
        <v>0.0</v>
      </c>
      <c r="AA167" s="53">
        <v>2.0</v>
      </c>
      <c r="AB167" s="53">
        <v>0.0</v>
      </c>
      <c r="AC167" s="53">
        <v>0.0</v>
      </c>
      <c r="AD167" s="53">
        <v>3.0</v>
      </c>
      <c r="AE167" s="53">
        <v>0.0</v>
      </c>
      <c r="AF167" s="53">
        <v>1.0</v>
      </c>
      <c r="AG167" s="53">
        <v>0.0</v>
      </c>
      <c r="AH167" s="53">
        <v>0.0</v>
      </c>
      <c r="AI167" s="53">
        <v>0.0</v>
      </c>
      <c r="AJ167" s="53">
        <v>0.0</v>
      </c>
      <c r="AK167" s="53">
        <v>0.0</v>
      </c>
      <c r="AL167" s="53">
        <v>0.0</v>
      </c>
      <c r="AM167" s="53">
        <v>0.0</v>
      </c>
      <c r="AN167" s="53">
        <v>0.0</v>
      </c>
      <c r="AO167" s="25">
        <v>24.0</v>
      </c>
      <c r="AP167" s="54"/>
      <c r="AQ167" s="54"/>
      <c r="AR167" s="54"/>
      <c r="AS167" s="54"/>
      <c r="AT167" s="54"/>
      <c r="AU167" s="54"/>
      <c r="AV167" s="54"/>
      <c r="AW167" s="54"/>
      <c r="AX167" s="54"/>
      <c r="AY167" s="53">
        <v>20.73</v>
      </c>
      <c r="AZ167" s="54"/>
      <c r="BA167" s="54"/>
      <c r="BB167" s="54"/>
      <c r="BC167" s="53">
        <v>22.35</v>
      </c>
      <c r="BD167" s="54"/>
      <c r="BE167" s="53">
        <v>19.32</v>
      </c>
      <c r="BF167" s="54"/>
      <c r="BG167" s="53">
        <v>21.08</v>
      </c>
      <c r="BH167" s="54"/>
      <c r="BI167" s="54"/>
      <c r="BJ167" s="53">
        <v>30.54</v>
      </c>
      <c r="BK167" s="54"/>
      <c r="BL167" s="53">
        <v>28.85</v>
      </c>
      <c r="BM167" s="54"/>
      <c r="BN167" s="54"/>
      <c r="BO167" s="54"/>
      <c r="BP167" s="53">
        <v>1.55</v>
      </c>
      <c r="BQ167" s="53">
        <v>6.64</v>
      </c>
      <c r="BR167" s="53">
        <v>7.97</v>
      </c>
      <c r="BS167" s="25">
        <v>8.38</v>
      </c>
      <c r="BT167" s="56">
        <v>43.8</v>
      </c>
      <c r="BU167" s="25">
        <v>17.6</v>
      </c>
      <c r="BV167" s="25">
        <v>10.47</v>
      </c>
      <c r="BW167" s="54"/>
      <c r="BX167" s="53">
        <v>2100.0</v>
      </c>
      <c r="BY167" s="53" t="s">
        <v>123</v>
      </c>
      <c r="BZ167" s="58">
        <v>1800.0</v>
      </c>
      <c r="CA167" s="29" t="s">
        <v>124</v>
      </c>
      <c r="CB167" s="30">
        <v>2100.0</v>
      </c>
      <c r="CC167" s="31"/>
      <c r="CD167" s="58">
        <v>2100.0</v>
      </c>
      <c r="CE167" s="59" t="e">
        <v>#REF!</v>
      </c>
      <c r="CF167" s="60"/>
      <c r="CG167" s="61">
        <v>0.0</v>
      </c>
      <c r="CH167" s="62">
        <v>0.0</v>
      </c>
      <c r="CI167" s="63">
        <v>11.0</v>
      </c>
      <c r="CJ167" s="63">
        <v>1366.0</v>
      </c>
      <c r="CK167" s="64">
        <v>-14.0</v>
      </c>
      <c r="CL167" s="63">
        <v>1352.0</v>
      </c>
      <c r="CM167" s="65">
        <v>264.0</v>
      </c>
      <c r="CN167" s="63">
        <v>0.0</v>
      </c>
      <c r="CO167" s="66">
        <v>24.0</v>
      </c>
      <c r="CP167" s="67">
        <v>0.0</v>
      </c>
      <c r="CQ167" s="63">
        <v>17.0</v>
      </c>
      <c r="CR167" s="63">
        <v>17.0</v>
      </c>
      <c r="CS167" s="63">
        <v>92.0</v>
      </c>
      <c r="CT167" s="68"/>
      <c r="CU167" s="69"/>
      <c r="CV167" s="70"/>
      <c r="CW167" s="71">
        <v>7.0</v>
      </c>
      <c r="CX167" s="71" t="s">
        <v>201</v>
      </c>
      <c r="CY167" s="71" t="s">
        <v>202</v>
      </c>
      <c r="CZ167" s="45"/>
      <c r="DA167" s="44">
        <v>2100.0</v>
      </c>
      <c r="DB167" s="44">
        <v>0.0</v>
      </c>
      <c r="DC167" s="43"/>
      <c r="DD167" s="78"/>
      <c r="DE167" s="43"/>
      <c r="DF167" s="43"/>
      <c r="DG167" s="48" t="s">
        <v>128</v>
      </c>
      <c r="DH167" s="48" t="s">
        <v>128</v>
      </c>
      <c r="DI167" s="48" t="s">
        <v>128</v>
      </c>
      <c r="DJ167" s="49">
        <v>1.0</v>
      </c>
      <c r="DK167" s="48" t="b">
        <v>0</v>
      </c>
      <c r="DL167" s="50" t="s">
        <v>522</v>
      </c>
      <c r="DM167" s="50" t="s">
        <v>131</v>
      </c>
      <c r="DN167" s="50" t="s">
        <v>523</v>
      </c>
      <c r="DO167" s="48" t="e">
        <v>#N/A</v>
      </c>
      <c r="DP167" s="48" t="s">
        <v>128</v>
      </c>
      <c r="DQ167" s="48" t="s">
        <v>128</v>
      </c>
      <c r="DR167" s="51"/>
      <c r="DS167" s="48" t="s">
        <v>134</v>
      </c>
    </row>
    <row r="168">
      <c r="A168" s="23" t="s">
        <v>118</v>
      </c>
      <c r="B168" s="24">
        <v>3.0</v>
      </c>
      <c r="C168" s="23" t="s">
        <v>119</v>
      </c>
      <c r="D168" s="24">
        <v>641892.0</v>
      </c>
      <c r="E168" s="23" t="s">
        <v>170</v>
      </c>
      <c r="F168" s="23" t="s">
        <v>534</v>
      </c>
      <c r="G168" s="23" t="s">
        <v>535</v>
      </c>
      <c r="H168" s="24">
        <v>96729.0</v>
      </c>
      <c r="I168" s="24">
        <v>6.0</v>
      </c>
      <c r="J168" s="24">
        <v>0.0</v>
      </c>
      <c r="K168" s="24">
        <v>0.0</v>
      </c>
      <c r="L168" s="24">
        <v>0.0</v>
      </c>
      <c r="M168" s="24">
        <v>0.0</v>
      </c>
      <c r="N168" s="24">
        <v>0.0</v>
      </c>
      <c r="O168" s="24">
        <v>0.0</v>
      </c>
      <c r="P168" s="24">
        <v>1.0</v>
      </c>
      <c r="Q168" s="24">
        <v>0.0</v>
      </c>
      <c r="R168" s="24">
        <v>0.0</v>
      </c>
      <c r="S168" s="24">
        <v>0.0</v>
      </c>
      <c r="T168" s="24">
        <v>2.0</v>
      </c>
      <c r="U168" s="24">
        <v>0.0</v>
      </c>
      <c r="V168" s="24">
        <v>0.0</v>
      </c>
      <c r="W168" s="24">
        <v>0.0</v>
      </c>
      <c r="X168" s="24">
        <v>0.0</v>
      </c>
      <c r="Y168" s="24">
        <v>0.0</v>
      </c>
      <c r="Z168" s="24">
        <v>1.0</v>
      </c>
      <c r="AA168" s="24">
        <v>1.0</v>
      </c>
      <c r="AB168" s="24">
        <v>0.0</v>
      </c>
      <c r="AC168" s="24">
        <v>0.0</v>
      </c>
      <c r="AD168" s="24">
        <v>1.0</v>
      </c>
      <c r="AE168" s="24">
        <v>0.0</v>
      </c>
      <c r="AF168" s="24">
        <v>0.0</v>
      </c>
      <c r="AG168" s="24">
        <v>0.0</v>
      </c>
      <c r="AH168" s="24">
        <v>0.0</v>
      </c>
      <c r="AI168" s="24">
        <v>0.0</v>
      </c>
      <c r="AJ168" s="24">
        <v>0.0</v>
      </c>
      <c r="AK168" s="24">
        <v>0.0</v>
      </c>
      <c r="AL168" s="24">
        <v>0.0</v>
      </c>
      <c r="AM168" s="24">
        <v>0.0</v>
      </c>
      <c r="AN168" s="24">
        <v>0.0</v>
      </c>
      <c r="AO168" s="25">
        <v>25.0</v>
      </c>
      <c r="AP168" s="26"/>
      <c r="AQ168" s="26"/>
      <c r="AR168" s="26"/>
      <c r="AS168" s="26"/>
      <c r="AT168" s="26"/>
      <c r="AU168" s="26"/>
      <c r="AV168" s="24">
        <v>20.82</v>
      </c>
      <c r="AW168" s="26"/>
      <c r="AX168" s="26"/>
      <c r="AY168" s="26"/>
      <c r="AZ168" s="24">
        <v>22.9</v>
      </c>
      <c r="BA168" s="26"/>
      <c r="BB168" s="26"/>
      <c r="BC168" s="26"/>
      <c r="BD168" s="26"/>
      <c r="BE168" s="26"/>
      <c r="BF168" s="24">
        <v>24.43</v>
      </c>
      <c r="BG168" s="24">
        <v>23.97</v>
      </c>
      <c r="BH168" s="26"/>
      <c r="BI168" s="26"/>
      <c r="BJ168" s="24">
        <v>35.18</v>
      </c>
      <c r="BK168" s="26"/>
      <c r="BL168" s="26"/>
      <c r="BM168" s="26"/>
      <c r="BN168" s="26"/>
      <c r="BO168" s="26"/>
      <c r="BP168" s="24">
        <v>1.25</v>
      </c>
      <c r="BQ168" s="24">
        <v>7.91</v>
      </c>
      <c r="BR168" s="24">
        <v>8.95</v>
      </c>
      <c r="BS168" s="25">
        <v>7.84</v>
      </c>
      <c r="BT168" s="56">
        <v>27.9</v>
      </c>
      <c r="BU168" s="25">
        <v>8.8</v>
      </c>
      <c r="BV168" s="25">
        <v>8.17</v>
      </c>
      <c r="BW168" s="26"/>
      <c r="BX168" s="24">
        <v>2100.0</v>
      </c>
      <c r="BY168" s="24" t="s">
        <v>123</v>
      </c>
      <c r="BZ168" s="28">
        <v>1800.0</v>
      </c>
      <c r="CA168" s="29" t="s">
        <v>124</v>
      </c>
      <c r="CB168" s="30">
        <v>2100.0</v>
      </c>
      <c r="CC168" s="31"/>
      <c r="CD168" s="28">
        <v>2100.0</v>
      </c>
      <c r="CE168" s="32" t="e">
        <v>#REF!</v>
      </c>
      <c r="CF168" s="33"/>
      <c r="CG168" s="34">
        <v>0.0</v>
      </c>
      <c r="CH168" s="35">
        <v>0.0</v>
      </c>
      <c r="CI168" s="36">
        <v>6.0</v>
      </c>
      <c r="CJ168" s="36">
        <v>1366.0</v>
      </c>
      <c r="CK168" s="37">
        <v>-14.0</v>
      </c>
      <c r="CL168" s="36">
        <v>1352.0</v>
      </c>
      <c r="CM168" s="38">
        <v>150.0</v>
      </c>
      <c r="CN168" s="36">
        <v>0.0</v>
      </c>
      <c r="CO168" s="39">
        <v>25.0</v>
      </c>
      <c r="CP168" s="40">
        <v>0.0</v>
      </c>
      <c r="CQ168" s="36">
        <v>8.0</v>
      </c>
      <c r="CR168" s="36">
        <v>8.0</v>
      </c>
      <c r="CS168" s="36">
        <v>47.0</v>
      </c>
      <c r="CT168" s="41"/>
      <c r="CU168" s="42"/>
      <c r="CV168" s="43"/>
      <c r="CW168" s="44">
        <v>7.0</v>
      </c>
      <c r="CX168" s="44" t="s">
        <v>201</v>
      </c>
      <c r="CY168" s="44" t="s">
        <v>202</v>
      </c>
      <c r="CZ168" s="45"/>
      <c r="DA168" s="44">
        <v>2100.0</v>
      </c>
      <c r="DB168" s="44">
        <v>0.0</v>
      </c>
      <c r="DC168" s="43"/>
      <c r="DD168" s="78"/>
      <c r="DE168" s="43"/>
      <c r="DF168" s="43"/>
      <c r="DG168" s="48" t="s">
        <v>128</v>
      </c>
      <c r="DH168" s="48" t="s">
        <v>128</v>
      </c>
      <c r="DI168" s="48" t="s">
        <v>128</v>
      </c>
      <c r="DJ168" s="49">
        <v>0.0</v>
      </c>
      <c r="DK168" s="48" t="b">
        <v>0</v>
      </c>
      <c r="DL168" s="50" t="s">
        <v>522</v>
      </c>
      <c r="DM168" s="50" t="s">
        <v>131</v>
      </c>
      <c r="DN168" s="50" t="s">
        <v>523</v>
      </c>
      <c r="DO168" s="48" t="e">
        <v>#N/A</v>
      </c>
      <c r="DP168" s="48" t="s">
        <v>128</v>
      </c>
      <c r="DQ168" s="48" t="s">
        <v>128</v>
      </c>
      <c r="DR168" s="51"/>
      <c r="DS168" s="48" t="s">
        <v>134</v>
      </c>
    </row>
    <row r="169">
      <c r="A169" s="52" t="s">
        <v>118</v>
      </c>
      <c r="B169" s="53">
        <v>3.0</v>
      </c>
      <c r="C169" s="52" t="s">
        <v>119</v>
      </c>
      <c r="D169" s="53">
        <v>642178.0</v>
      </c>
      <c r="E169" s="52" t="s">
        <v>205</v>
      </c>
      <c r="F169" s="52" t="s">
        <v>536</v>
      </c>
      <c r="G169" s="52" t="s">
        <v>537</v>
      </c>
      <c r="H169" s="53">
        <v>96729.0</v>
      </c>
      <c r="I169" s="53">
        <v>20.0</v>
      </c>
      <c r="J169" s="53">
        <v>0.0</v>
      </c>
      <c r="K169" s="53">
        <v>1.0</v>
      </c>
      <c r="L169" s="53">
        <v>0.0</v>
      </c>
      <c r="M169" s="53">
        <v>1.0</v>
      </c>
      <c r="N169" s="53">
        <v>2.0</v>
      </c>
      <c r="O169" s="53">
        <v>2.0</v>
      </c>
      <c r="P169" s="53">
        <v>0.0</v>
      </c>
      <c r="Q169" s="53">
        <v>0.0</v>
      </c>
      <c r="R169" s="53">
        <v>1.0</v>
      </c>
      <c r="S169" s="53">
        <v>1.0</v>
      </c>
      <c r="T169" s="53">
        <v>1.0</v>
      </c>
      <c r="U169" s="53">
        <v>0.0</v>
      </c>
      <c r="V169" s="53">
        <v>1.0</v>
      </c>
      <c r="W169" s="53">
        <v>1.0</v>
      </c>
      <c r="X169" s="53">
        <v>0.0</v>
      </c>
      <c r="Y169" s="53">
        <v>1.0</v>
      </c>
      <c r="Z169" s="53">
        <v>0.0</v>
      </c>
      <c r="AA169" s="53">
        <v>1.0</v>
      </c>
      <c r="AB169" s="53">
        <v>0.0</v>
      </c>
      <c r="AC169" s="53">
        <v>2.0</v>
      </c>
      <c r="AD169" s="53">
        <v>4.0</v>
      </c>
      <c r="AE169" s="53">
        <v>1.0</v>
      </c>
      <c r="AF169" s="53">
        <v>0.0</v>
      </c>
      <c r="AG169" s="53">
        <v>0.0</v>
      </c>
      <c r="AH169" s="53">
        <v>0.0</v>
      </c>
      <c r="AI169" s="53">
        <v>0.0</v>
      </c>
      <c r="AJ169" s="53">
        <v>0.0</v>
      </c>
      <c r="AK169" s="53">
        <v>0.0</v>
      </c>
      <c r="AL169" s="53">
        <v>0.0</v>
      </c>
      <c r="AM169" s="53">
        <v>0.0</v>
      </c>
      <c r="AN169" s="53">
        <v>0.0</v>
      </c>
      <c r="AO169" s="25">
        <v>22.6</v>
      </c>
      <c r="AP169" s="54"/>
      <c r="AQ169" s="53">
        <v>9.58</v>
      </c>
      <c r="AR169" s="54"/>
      <c r="AS169" s="53">
        <v>16.3</v>
      </c>
      <c r="AT169" s="53">
        <v>41.32</v>
      </c>
      <c r="AU169" s="53">
        <v>21.28</v>
      </c>
      <c r="AV169" s="54"/>
      <c r="AW169" s="54"/>
      <c r="AX169" s="53">
        <v>17.82</v>
      </c>
      <c r="AY169" s="53">
        <v>28.37</v>
      </c>
      <c r="AZ169" s="53">
        <v>19.75</v>
      </c>
      <c r="BA169" s="54"/>
      <c r="BB169" s="53">
        <v>19.95</v>
      </c>
      <c r="BC169" s="53">
        <v>21.58</v>
      </c>
      <c r="BD169" s="54"/>
      <c r="BE169" s="53">
        <v>17.08</v>
      </c>
      <c r="BF169" s="54"/>
      <c r="BG169" s="53">
        <v>26.35</v>
      </c>
      <c r="BH169" s="54"/>
      <c r="BI169" s="53">
        <v>25.46</v>
      </c>
      <c r="BJ169" s="53">
        <v>27.53</v>
      </c>
      <c r="BK169" s="53">
        <v>30.98</v>
      </c>
      <c r="BL169" s="54"/>
      <c r="BM169" s="54"/>
      <c r="BN169" s="54"/>
      <c r="BO169" s="54"/>
      <c r="BP169" s="53">
        <v>2.09</v>
      </c>
      <c r="BQ169" s="53">
        <v>5.34</v>
      </c>
      <c r="BR169" s="53">
        <v>7.22</v>
      </c>
      <c r="BS169" s="25">
        <v>7.82</v>
      </c>
      <c r="BT169" s="77">
        <v>13.3</v>
      </c>
      <c r="BU169" s="57">
        <v>1.5</v>
      </c>
      <c r="BV169" s="57">
        <v>5.01</v>
      </c>
      <c r="BW169" s="53">
        <v>800.0</v>
      </c>
      <c r="BX169" s="53">
        <v>2100.0</v>
      </c>
      <c r="BY169" s="53" t="s">
        <v>123</v>
      </c>
      <c r="BZ169" s="58">
        <v>1800.0</v>
      </c>
      <c r="CA169" s="29" t="s">
        <v>124</v>
      </c>
      <c r="CB169" s="30">
        <v>2100.0</v>
      </c>
      <c r="CC169" s="31"/>
      <c r="CD169" s="58">
        <v>2100.0</v>
      </c>
      <c r="CE169" s="59" t="e">
        <v>#REF!</v>
      </c>
      <c r="CF169" s="60"/>
      <c r="CG169" s="61">
        <v>0.0</v>
      </c>
      <c r="CH169" s="62">
        <v>0.0</v>
      </c>
      <c r="CI169" s="63">
        <v>20.0</v>
      </c>
      <c r="CJ169" s="63">
        <v>1366.0</v>
      </c>
      <c r="CK169" s="64">
        <v>-14.0</v>
      </c>
      <c r="CL169" s="63">
        <v>1352.0</v>
      </c>
      <c r="CM169" s="65">
        <v>452.0</v>
      </c>
      <c r="CN169" s="63">
        <v>0.0</v>
      </c>
      <c r="CO169" s="66">
        <v>22.6</v>
      </c>
      <c r="CP169" s="67">
        <v>0.0</v>
      </c>
      <c r="CQ169" s="63">
        <v>42.0</v>
      </c>
      <c r="CR169" s="63">
        <v>42.0</v>
      </c>
      <c r="CS169" s="63">
        <v>156.0</v>
      </c>
      <c r="CT169" s="68"/>
      <c r="CU169" s="69"/>
      <c r="CV169" s="70"/>
      <c r="CW169" s="71">
        <v>7.0</v>
      </c>
      <c r="CX169" s="71" t="s">
        <v>201</v>
      </c>
      <c r="CY169" s="71" t="s">
        <v>202</v>
      </c>
      <c r="CZ169" s="45"/>
      <c r="DA169" s="44">
        <v>2100.0</v>
      </c>
      <c r="DB169" s="44">
        <v>0.0</v>
      </c>
      <c r="DC169" s="46" t="s">
        <v>127</v>
      </c>
      <c r="DD169" s="47">
        <v>46246.0</v>
      </c>
      <c r="DE169" s="43"/>
      <c r="DF169" s="43"/>
      <c r="DG169" s="48" t="s">
        <v>128</v>
      </c>
      <c r="DH169" s="48" t="s">
        <v>128</v>
      </c>
      <c r="DI169" s="48" t="s">
        <v>128</v>
      </c>
      <c r="DJ169" s="49">
        <v>1.0</v>
      </c>
      <c r="DK169" s="48" t="b">
        <v>1</v>
      </c>
      <c r="DL169" s="50" t="s">
        <v>522</v>
      </c>
      <c r="DM169" s="50" t="s">
        <v>131</v>
      </c>
      <c r="DN169" s="50" t="s">
        <v>523</v>
      </c>
      <c r="DO169" s="48" t="e">
        <v>#N/A</v>
      </c>
      <c r="DP169" s="48" t="s">
        <v>128</v>
      </c>
      <c r="DQ169" s="48" t="s">
        <v>128</v>
      </c>
      <c r="DR169" s="51"/>
      <c r="DS169" s="48" t="s">
        <v>134</v>
      </c>
    </row>
    <row r="170">
      <c r="A170" s="23" t="s">
        <v>118</v>
      </c>
      <c r="B170" s="24">
        <v>3.0</v>
      </c>
      <c r="C170" s="23" t="s">
        <v>119</v>
      </c>
      <c r="D170" s="24">
        <v>669823.0</v>
      </c>
      <c r="E170" s="23" t="s">
        <v>214</v>
      </c>
      <c r="F170" s="23" t="s">
        <v>538</v>
      </c>
      <c r="G170" s="23" t="s">
        <v>539</v>
      </c>
      <c r="H170" s="24">
        <v>96729.0</v>
      </c>
      <c r="I170" s="24">
        <v>9.0</v>
      </c>
      <c r="J170" s="24">
        <v>0.0</v>
      </c>
      <c r="K170" s="24">
        <v>0.0</v>
      </c>
      <c r="L170" s="24">
        <v>0.0</v>
      </c>
      <c r="M170" s="24">
        <v>0.0</v>
      </c>
      <c r="N170" s="24">
        <v>0.0</v>
      </c>
      <c r="O170" s="24">
        <v>0.0</v>
      </c>
      <c r="P170" s="24">
        <v>0.0</v>
      </c>
      <c r="Q170" s="24">
        <v>0.0</v>
      </c>
      <c r="R170" s="24">
        <v>0.0</v>
      </c>
      <c r="S170" s="24">
        <v>1.0</v>
      </c>
      <c r="T170" s="24">
        <v>0.0</v>
      </c>
      <c r="U170" s="24">
        <v>0.0</v>
      </c>
      <c r="V170" s="24">
        <v>0.0</v>
      </c>
      <c r="W170" s="24">
        <v>0.0</v>
      </c>
      <c r="X170" s="24">
        <v>0.0</v>
      </c>
      <c r="Y170" s="24">
        <v>1.0</v>
      </c>
      <c r="Z170" s="24">
        <v>1.0</v>
      </c>
      <c r="AA170" s="24">
        <v>0.0</v>
      </c>
      <c r="AB170" s="24">
        <v>3.0</v>
      </c>
      <c r="AC170" s="24">
        <v>2.0</v>
      </c>
      <c r="AD170" s="24">
        <v>0.0</v>
      </c>
      <c r="AE170" s="24">
        <v>0.0</v>
      </c>
      <c r="AF170" s="24">
        <v>1.0</v>
      </c>
      <c r="AG170" s="24">
        <v>0.0</v>
      </c>
      <c r="AH170" s="24">
        <v>0.0</v>
      </c>
      <c r="AI170" s="24">
        <v>0.0</v>
      </c>
      <c r="AJ170" s="24">
        <v>0.0</v>
      </c>
      <c r="AK170" s="24">
        <v>0.0</v>
      </c>
      <c r="AL170" s="24">
        <v>0.0</v>
      </c>
      <c r="AM170" s="24">
        <v>0.0</v>
      </c>
      <c r="AN170" s="24">
        <v>0.0</v>
      </c>
      <c r="AO170" s="25">
        <v>23.9</v>
      </c>
      <c r="AP170" s="26"/>
      <c r="AQ170" s="26"/>
      <c r="AR170" s="26"/>
      <c r="AS170" s="26"/>
      <c r="AT170" s="26"/>
      <c r="AU170" s="26"/>
      <c r="AV170" s="26"/>
      <c r="AW170" s="26"/>
      <c r="AX170" s="26"/>
      <c r="AY170" s="24">
        <v>22.73</v>
      </c>
      <c r="AZ170" s="26"/>
      <c r="BA170" s="26"/>
      <c r="BB170" s="26"/>
      <c r="BC170" s="26"/>
      <c r="BD170" s="26"/>
      <c r="BE170" s="24">
        <v>21.57</v>
      </c>
      <c r="BF170" s="24">
        <v>13.58</v>
      </c>
      <c r="BG170" s="26"/>
      <c r="BH170" s="24">
        <v>31.18</v>
      </c>
      <c r="BI170" s="24">
        <v>20.3</v>
      </c>
      <c r="BJ170" s="26"/>
      <c r="BK170" s="26"/>
      <c r="BL170" s="24">
        <v>22.73</v>
      </c>
      <c r="BM170" s="26"/>
      <c r="BN170" s="26"/>
      <c r="BO170" s="26"/>
      <c r="BP170" s="24">
        <v>2.57</v>
      </c>
      <c r="BQ170" s="24">
        <v>4.92</v>
      </c>
      <c r="BR170" s="24">
        <v>7.29</v>
      </c>
      <c r="BS170" s="25">
        <v>7.62</v>
      </c>
      <c r="BT170" s="56">
        <v>32.8</v>
      </c>
      <c r="BU170" s="25">
        <v>9.7</v>
      </c>
      <c r="BV170" s="25">
        <v>11.74</v>
      </c>
      <c r="BW170" s="26"/>
      <c r="BX170" s="24">
        <v>2100.0</v>
      </c>
      <c r="BY170" s="24" t="s">
        <v>123</v>
      </c>
      <c r="BZ170" s="28">
        <v>1800.0</v>
      </c>
      <c r="CA170" s="29" t="s">
        <v>124</v>
      </c>
      <c r="CB170" s="30">
        <v>2100.0</v>
      </c>
      <c r="CC170" s="31"/>
      <c r="CD170" s="28">
        <v>2100.0</v>
      </c>
      <c r="CE170" s="32" t="e">
        <v>#REF!</v>
      </c>
      <c r="CF170" s="33"/>
      <c r="CG170" s="34">
        <v>0.0</v>
      </c>
      <c r="CH170" s="35">
        <v>0.0</v>
      </c>
      <c r="CI170" s="36">
        <v>9.0</v>
      </c>
      <c r="CJ170" s="36">
        <v>1366.0</v>
      </c>
      <c r="CK170" s="37">
        <v>-14.0</v>
      </c>
      <c r="CL170" s="36">
        <v>1352.0</v>
      </c>
      <c r="CM170" s="38">
        <v>215.0</v>
      </c>
      <c r="CN170" s="36">
        <v>0.0</v>
      </c>
      <c r="CO170" s="39">
        <v>23.9</v>
      </c>
      <c r="CP170" s="40">
        <v>0.0</v>
      </c>
      <c r="CQ170" s="36">
        <v>23.0</v>
      </c>
      <c r="CR170" s="36">
        <v>23.0</v>
      </c>
      <c r="CS170" s="36">
        <v>69.0</v>
      </c>
      <c r="CT170" s="41"/>
      <c r="CU170" s="42"/>
      <c r="CV170" s="43"/>
      <c r="CW170" s="44">
        <v>7.0</v>
      </c>
      <c r="CX170" s="44" t="s">
        <v>201</v>
      </c>
      <c r="CY170" s="44" t="s">
        <v>202</v>
      </c>
      <c r="CZ170" s="45"/>
      <c r="DA170" s="44">
        <v>2100.0</v>
      </c>
      <c r="DB170" s="44">
        <v>0.0</v>
      </c>
      <c r="DC170" s="46" t="s">
        <v>127</v>
      </c>
      <c r="DD170" s="47">
        <v>46218.0</v>
      </c>
      <c r="DE170" s="43"/>
      <c r="DF170" s="43"/>
      <c r="DG170" s="48" t="s">
        <v>128</v>
      </c>
      <c r="DH170" s="48" t="s">
        <v>128</v>
      </c>
      <c r="DI170" s="48" t="s">
        <v>128</v>
      </c>
      <c r="DJ170" s="49">
        <v>1.0</v>
      </c>
      <c r="DK170" s="48" t="b">
        <v>0</v>
      </c>
      <c r="DL170" s="50" t="s">
        <v>522</v>
      </c>
      <c r="DM170" s="50" t="s">
        <v>131</v>
      </c>
      <c r="DN170" s="50" t="s">
        <v>523</v>
      </c>
      <c r="DO170" s="48" t="e">
        <v>#N/A</v>
      </c>
      <c r="DP170" s="48" t="s">
        <v>128</v>
      </c>
      <c r="DQ170" s="48" t="s">
        <v>128</v>
      </c>
      <c r="DR170" s="51"/>
      <c r="DS170" s="48" t="s">
        <v>134</v>
      </c>
    </row>
    <row r="171">
      <c r="A171" s="52" t="s">
        <v>118</v>
      </c>
      <c r="B171" s="53">
        <v>3.0</v>
      </c>
      <c r="C171" s="52" t="s">
        <v>119</v>
      </c>
      <c r="D171" s="53">
        <v>641645.0</v>
      </c>
      <c r="E171" s="52" t="s">
        <v>145</v>
      </c>
      <c r="F171" s="52" t="s">
        <v>540</v>
      </c>
      <c r="G171" s="52" t="s">
        <v>541</v>
      </c>
      <c r="H171" s="53">
        <v>96729.0</v>
      </c>
      <c r="I171" s="53">
        <v>9.0</v>
      </c>
      <c r="J171" s="53">
        <v>0.0</v>
      </c>
      <c r="K171" s="53">
        <v>0.0</v>
      </c>
      <c r="L171" s="53">
        <v>0.0</v>
      </c>
      <c r="M171" s="53">
        <v>0.0</v>
      </c>
      <c r="N171" s="53">
        <v>0.0</v>
      </c>
      <c r="O171" s="53">
        <v>0.0</v>
      </c>
      <c r="P171" s="53">
        <v>0.0</v>
      </c>
      <c r="Q171" s="53">
        <v>0.0</v>
      </c>
      <c r="R171" s="53">
        <v>2.0</v>
      </c>
      <c r="S171" s="53">
        <v>1.0</v>
      </c>
      <c r="T171" s="53">
        <v>0.0</v>
      </c>
      <c r="U171" s="53">
        <v>1.0</v>
      </c>
      <c r="V171" s="53">
        <v>2.0</v>
      </c>
      <c r="W171" s="53">
        <v>0.0</v>
      </c>
      <c r="X171" s="53">
        <v>0.0</v>
      </c>
      <c r="Y171" s="53">
        <v>0.0</v>
      </c>
      <c r="Z171" s="53">
        <v>1.0</v>
      </c>
      <c r="AA171" s="53">
        <v>0.0</v>
      </c>
      <c r="AB171" s="53">
        <v>0.0</v>
      </c>
      <c r="AC171" s="53">
        <v>0.0</v>
      </c>
      <c r="AD171" s="53">
        <v>1.0</v>
      </c>
      <c r="AE171" s="53">
        <v>1.0</v>
      </c>
      <c r="AF171" s="53">
        <v>0.0</v>
      </c>
      <c r="AG171" s="53">
        <v>0.0</v>
      </c>
      <c r="AH171" s="53">
        <v>0.0</v>
      </c>
      <c r="AI171" s="53">
        <v>0.0</v>
      </c>
      <c r="AJ171" s="53">
        <v>0.0</v>
      </c>
      <c r="AK171" s="53">
        <v>0.0</v>
      </c>
      <c r="AL171" s="53">
        <v>0.0</v>
      </c>
      <c r="AM171" s="53">
        <v>0.0</v>
      </c>
      <c r="AN171" s="53">
        <v>0.0</v>
      </c>
      <c r="AO171" s="25">
        <v>23.0</v>
      </c>
      <c r="AP171" s="54"/>
      <c r="AQ171" s="54"/>
      <c r="AR171" s="54"/>
      <c r="AS171" s="54"/>
      <c r="AT171" s="54"/>
      <c r="AU171" s="54"/>
      <c r="AV171" s="54"/>
      <c r="AW171" s="54"/>
      <c r="AX171" s="53">
        <v>25.39</v>
      </c>
      <c r="AY171" s="53">
        <v>19.8</v>
      </c>
      <c r="AZ171" s="54"/>
      <c r="BA171" s="53">
        <v>19.5</v>
      </c>
      <c r="BB171" s="53">
        <v>20.53</v>
      </c>
      <c r="BC171" s="54"/>
      <c r="BD171" s="54"/>
      <c r="BE171" s="54"/>
      <c r="BF171" s="53">
        <v>23.15</v>
      </c>
      <c r="BG171" s="54"/>
      <c r="BH171" s="54"/>
      <c r="BI171" s="54"/>
      <c r="BJ171" s="53">
        <v>27.28</v>
      </c>
      <c r="BK171" s="53">
        <v>25.32</v>
      </c>
      <c r="BL171" s="54"/>
      <c r="BM171" s="54"/>
      <c r="BN171" s="54"/>
      <c r="BO171" s="54"/>
      <c r="BP171" s="53">
        <v>1.59</v>
      </c>
      <c r="BQ171" s="53">
        <v>7.31</v>
      </c>
      <c r="BR171" s="53">
        <v>8.7</v>
      </c>
      <c r="BS171" s="25">
        <v>7.5</v>
      </c>
      <c r="BT171" s="56">
        <v>20.5</v>
      </c>
      <c r="BU171" s="57">
        <v>1.7</v>
      </c>
      <c r="BV171" s="57">
        <v>5.41</v>
      </c>
      <c r="BW171" s="54"/>
      <c r="BX171" s="53">
        <v>2100.0</v>
      </c>
      <c r="BY171" s="53" t="s">
        <v>123</v>
      </c>
      <c r="BZ171" s="58">
        <v>1800.0</v>
      </c>
      <c r="CA171" s="29" t="s">
        <v>124</v>
      </c>
      <c r="CB171" s="30">
        <v>2100.0</v>
      </c>
      <c r="CC171" s="31"/>
      <c r="CD171" s="58">
        <v>2100.0</v>
      </c>
      <c r="CE171" s="59" t="e">
        <v>#REF!</v>
      </c>
      <c r="CF171" s="60"/>
      <c r="CG171" s="61">
        <v>0.0</v>
      </c>
      <c r="CH171" s="62">
        <v>0.0</v>
      </c>
      <c r="CI171" s="63">
        <v>9.0</v>
      </c>
      <c r="CJ171" s="63">
        <v>1366.0</v>
      </c>
      <c r="CK171" s="64">
        <v>-14.0</v>
      </c>
      <c r="CL171" s="63">
        <v>1352.0</v>
      </c>
      <c r="CM171" s="65">
        <v>207.0</v>
      </c>
      <c r="CN171" s="63">
        <v>0.0</v>
      </c>
      <c r="CO171" s="66">
        <v>23.0</v>
      </c>
      <c r="CP171" s="67">
        <v>0.0</v>
      </c>
      <c r="CQ171" s="63">
        <v>14.0</v>
      </c>
      <c r="CR171" s="63">
        <v>14.0</v>
      </c>
      <c r="CS171" s="63">
        <v>68.0</v>
      </c>
      <c r="CT171" s="68"/>
      <c r="CU171" s="69"/>
      <c r="CV171" s="70"/>
      <c r="CW171" s="71">
        <v>7.0</v>
      </c>
      <c r="CX171" s="71" t="s">
        <v>201</v>
      </c>
      <c r="CY171" s="71" t="s">
        <v>202</v>
      </c>
      <c r="CZ171" s="45"/>
      <c r="DA171" s="44">
        <v>2100.0</v>
      </c>
      <c r="DB171" s="44">
        <v>0.0</v>
      </c>
      <c r="DC171" s="43"/>
      <c r="DD171" s="78"/>
      <c r="DE171" s="43"/>
      <c r="DF171" s="43"/>
      <c r="DG171" s="48" t="s">
        <v>128</v>
      </c>
      <c r="DH171" s="48" t="s">
        <v>128</v>
      </c>
      <c r="DI171" s="48" t="s">
        <v>128</v>
      </c>
      <c r="DJ171" s="49">
        <v>1.0</v>
      </c>
      <c r="DK171" s="48" t="b">
        <v>0</v>
      </c>
      <c r="DL171" s="50" t="s">
        <v>522</v>
      </c>
      <c r="DM171" s="50" t="s">
        <v>131</v>
      </c>
      <c r="DN171" s="50" t="s">
        <v>523</v>
      </c>
      <c r="DO171" s="48" t="e">
        <v>#N/A</v>
      </c>
      <c r="DP171" s="48" t="s">
        <v>128</v>
      </c>
      <c r="DQ171" s="48" t="s">
        <v>128</v>
      </c>
      <c r="DR171" s="51"/>
      <c r="DS171" s="48" t="s">
        <v>134</v>
      </c>
    </row>
    <row r="172">
      <c r="A172" s="23" t="s">
        <v>118</v>
      </c>
      <c r="B172" s="24">
        <v>3.0</v>
      </c>
      <c r="C172" s="23" t="s">
        <v>119</v>
      </c>
      <c r="D172" s="24">
        <v>604008.0</v>
      </c>
      <c r="E172" s="23" t="s">
        <v>176</v>
      </c>
      <c r="F172" s="23" t="s">
        <v>542</v>
      </c>
      <c r="G172" s="23" t="s">
        <v>543</v>
      </c>
      <c r="H172" s="24">
        <v>96729.0</v>
      </c>
      <c r="I172" s="24">
        <v>2.0</v>
      </c>
      <c r="J172" s="24">
        <v>0.0</v>
      </c>
      <c r="K172" s="24">
        <v>0.0</v>
      </c>
      <c r="L172" s="24">
        <v>0.0</v>
      </c>
      <c r="M172" s="24">
        <v>0.0</v>
      </c>
      <c r="N172" s="24">
        <v>0.0</v>
      </c>
      <c r="O172" s="24">
        <v>0.0</v>
      </c>
      <c r="P172" s="24">
        <v>0.0</v>
      </c>
      <c r="Q172" s="24">
        <v>1.0</v>
      </c>
      <c r="R172" s="24">
        <v>0.0</v>
      </c>
      <c r="S172" s="24">
        <v>0.0</v>
      </c>
      <c r="T172" s="24">
        <v>0.0</v>
      </c>
      <c r="U172" s="24">
        <v>0.0</v>
      </c>
      <c r="V172" s="24">
        <v>0.0</v>
      </c>
      <c r="W172" s="24">
        <v>1.0</v>
      </c>
      <c r="X172" s="24">
        <v>0.0</v>
      </c>
      <c r="Y172" s="24">
        <v>0.0</v>
      </c>
      <c r="Z172" s="24">
        <v>0.0</v>
      </c>
      <c r="AA172" s="24">
        <v>0.0</v>
      </c>
      <c r="AB172" s="24">
        <v>0.0</v>
      </c>
      <c r="AC172" s="24">
        <v>0.0</v>
      </c>
      <c r="AD172" s="24">
        <v>0.0</v>
      </c>
      <c r="AE172" s="24">
        <v>0.0</v>
      </c>
      <c r="AF172" s="24">
        <v>0.0</v>
      </c>
      <c r="AG172" s="24">
        <v>0.0</v>
      </c>
      <c r="AH172" s="24">
        <v>0.0</v>
      </c>
      <c r="AI172" s="24">
        <v>0.0</v>
      </c>
      <c r="AJ172" s="24">
        <v>0.0</v>
      </c>
      <c r="AK172" s="24">
        <v>0.0</v>
      </c>
      <c r="AL172" s="24">
        <v>0.0</v>
      </c>
      <c r="AM172" s="24">
        <v>0.0</v>
      </c>
      <c r="AN172" s="24">
        <v>0.0</v>
      </c>
      <c r="AO172" s="25">
        <v>17.9</v>
      </c>
      <c r="AP172" s="26"/>
      <c r="AQ172" s="26"/>
      <c r="AR172" s="26"/>
      <c r="AS172" s="26"/>
      <c r="AT172" s="26"/>
      <c r="AU172" s="26"/>
      <c r="AV172" s="26"/>
      <c r="AW172" s="24">
        <v>16.1</v>
      </c>
      <c r="AX172" s="26"/>
      <c r="AY172" s="26"/>
      <c r="AZ172" s="26"/>
      <c r="BA172" s="26"/>
      <c r="BB172" s="26"/>
      <c r="BC172" s="24">
        <v>19.65</v>
      </c>
      <c r="BD172" s="26"/>
      <c r="BE172" s="26"/>
      <c r="BF172" s="26"/>
      <c r="BG172" s="26"/>
      <c r="BH172" s="26"/>
      <c r="BI172" s="26"/>
      <c r="BJ172" s="26"/>
      <c r="BK172" s="26"/>
      <c r="BL172" s="26"/>
      <c r="BM172" s="26"/>
      <c r="BN172" s="26"/>
      <c r="BO172" s="26"/>
      <c r="BP172" s="24">
        <v>0.69</v>
      </c>
      <c r="BQ172" s="24">
        <v>6.26</v>
      </c>
      <c r="BR172" s="24">
        <v>6.73</v>
      </c>
      <c r="BS172" s="25">
        <v>6.57</v>
      </c>
      <c r="BT172" s="91">
        <v>16.1</v>
      </c>
      <c r="BU172" s="25">
        <v>5.0</v>
      </c>
      <c r="BV172" s="57">
        <v>2.83</v>
      </c>
      <c r="BW172" s="26"/>
      <c r="BX172" s="24">
        <v>2100.0</v>
      </c>
      <c r="BY172" s="24" t="s">
        <v>123</v>
      </c>
      <c r="BZ172" s="28">
        <v>1800.0</v>
      </c>
      <c r="CA172" s="29" t="s">
        <v>124</v>
      </c>
      <c r="CB172" s="30">
        <v>2100.0</v>
      </c>
      <c r="CC172" s="31"/>
      <c r="CD172" s="28">
        <v>2100.0</v>
      </c>
      <c r="CE172" s="32" t="e">
        <v>#REF!</v>
      </c>
      <c r="CF172" s="33"/>
      <c r="CG172" s="34">
        <v>0.0</v>
      </c>
      <c r="CH172" s="35">
        <v>0.0</v>
      </c>
      <c r="CI172" s="36">
        <v>2.0</v>
      </c>
      <c r="CJ172" s="36">
        <v>1366.0</v>
      </c>
      <c r="CK172" s="37">
        <v>-14.0</v>
      </c>
      <c r="CL172" s="36">
        <v>1352.0</v>
      </c>
      <c r="CM172" s="38">
        <v>36.0</v>
      </c>
      <c r="CN172" s="36">
        <v>0.0</v>
      </c>
      <c r="CO172" s="39">
        <v>17.9</v>
      </c>
      <c r="CP172" s="40">
        <v>0.0</v>
      </c>
      <c r="CQ172" s="36">
        <v>1.0</v>
      </c>
      <c r="CR172" s="36">
        <v>1.0</v>
      </c>
      <c r="CS172" s="36">
        <v>13.0</v>
      </c>
      <c r="CT172" s="41"/>
      <c r="CU172" s="42"/>
      <c r="CV172" s="43"/>
      <c r="CW172" s="44">
        <v>7.0</v>
      </c>
      <c r="CX172" s="44" t="s">
        <v>201</v>
      </c>
      <c r="CY172" s="44" t="s">
        <v>202</v>
      </c>
      <c r="CZ172" s="45"/>
      <c r="DA172" s="44">
        <v>2100.0</v>
      </c>
      <c r="DB172" s="44">
        <v>0.0</v>
      </c>
      <c r="DC172" s="43"/>
      <c r="DD172" s="78"/>
      <c r="DE172" s="43"/>
      <c r="DF172" s="43"/>
      <c r="DG172" s="48" t="s">
        <v>128</v>
      </c>
      <c r="DH172" s="48" t="s">
        <v>128</v>
      </c>
      <c r="DI172" s="48" t="s">
        <v>128</v>
      </c>
      <c r="DJ172" s="49">
        <v>0.0</v>
      </c>
      <c r="DK172" s="48" t="b">
        <v>0</v>
      </c>
      <c r="DL172" s="50" t="s">
        <v>522</v>
      </c>
      <c r="DM172" s="50" t="s">
        <v>131</v>
      </c>
      <c r="DN172" s="50" t="s">
        <v>523</v>
      </c>
      <c r="DO172" s="48" t="e">
        <v>#N/A</v>
      </c>
      <c r="DP172" s="48" t="s">
        <v>128</v>
      </c>
      <c r="DQ172" s="48" t="s">
        <v>128</v>
      </c>
      <c r="DR172" s="51"/>
      <c r="DS172" s="48" t="s">
        <v>134</v>
      </c>
    </row>
    <row r="173">
      <c r="A173" s="52" t="s">
        <v>118</v>
      </c>
      <c r="B173" s="53">
        <v>3.0</v>
      </c>
      <c r="C173" s="52" t="s">
        <v>119</v>
      </c>
      <c r="D173" s="53">
        <v>536832.0</v>
      </c>
      <c r="E173" s="52" t="s">
        <v>158</v>
      </c>
      <c r="F173" s="52" t="s">
        <v>544</v>
      </c>
      <c r="G173" s="52" t="s">
        <v>545</v>
      </c>
      <c r="H173" s="53">
        <v>96729.0</v>
      </c>
      <c r="I173" s="53">
        <v>21.0</v>
      </c>
      <c r="J173" s="53">
        <v>0.0</v>
      </c>
      <c r="K173" s="53">
        <v>0.0</v>
      </c>
      <c r="L173" s="53">
        <v>1.0</v>
      </c>
      <c r="M173" s="53">
        <v>0.0</v>
      </c>
      <c r="N173" s="53">
        <v>1.0</v>
      </c>
      <c r="O173" s="53">
        <v>0.0</v>
      </c>
      <c r="P173" s="53">
        <v>1.0</v>
      </c>
      <c r="Q173" s="53">
        <v>2.0</v>
      </c>
      <c r="R173" s="53">
        <v>1.0</v>
      </c>
      <c r="S173" s="53">
        <v>1.0</v>
      </c>
      <c r="T173" s="53">
        <v>1.0</v>
      </c>
      <c r="U173" s="53">
        <v>3.0</v>
      </c>
      <c r="V173" s="53">
        <v>1.0</v>
      </c>
      <c r="W173" s="53">
        <v>2.0</v>
      </c>
      <c r="X173" s="53">
        <v>0.0</v>
      </c>
      <c r="Y173" s="53">
        <v>1.0</v>
      </c>
      <c r="Z173" s="53">
        <v>1.0</v>
      </c>
      <c r="AA173" s="53">
        <v>1.0</v>
      </c>
      <c r="AB173" s="53">
        <v>0.0</v>
      </c>
      <c r="AC173" s="53">
        <v>1.0</v>
      </c>
      <c r="AD173" s="53">
        <v>3.0</v>
      </c>
      <c r="AE173" s="53">
        <v>0.0</v>
      </c>
      <c r="AF173" s="53">
        <v>0.0</v>
      </c>
      <c r="AG173" s="53">
        <v>0.0</v>
      </c>
      <c r="AH173" s="53">
        <v>0.0</v>
      </c>
      <c r="AI173" s="53">
        <v>0.0</v>
      </c>
      <c r="AJ173" s="53">
        <v>0.0</v>
      </c>
      <c r="AK173" s="53">
        <v>0.0</v>
      </c>
      <c r="AL173" s="53">
        <v>0.0</v>
      </c>
      <c r="AM173" s="53">
        <v>0.0</v>
      </c>
      <c r="AN173" s="53">
        <v>0.0</v>
      </c>
      <c r="AO173" s="25">
        <v>22.9</v>
      </c>
      <c r="AP173" s="54"/>
      <c r="AQ173" s="54"/>
      <c r="AR173" s="53">
        <v>33.38</v>
      </c>
      <c r="AS173" s="54"/>
      <c r="AT173" s="53">
        <v>0.0</v>
      </c>
      <c r="AU173" s="54"/>
      <c r="AV173" s="53">
        <v>17.22</v>
      </c>
      <c r="AW173" s="53">
        <v>16.23</v>
      </c>
      <c r="AX173" s="53">
        <v>15.6</v>
      </c>
      <c r="AY173" s="53">
        <v>22.05</v>
      </c>
      <c r="AZ173" s="53">
        <v>16.75</v>
      </c>
      <c r="BA173" s="53">
        <v>28.49</v>
      </c>
      <c r="BB173" s="53">
        <v>18.67</v>
      </c>
      <c r="BC173" s="53">
        <v>21.23</v>
      </c>
      <c r="BD173" s="54"/>
      <c r="BE173" s="53">
        <v>19.52</v>
      </c>
      <c r="BF173" s="53">
        <v>28.35</v>
      </c>
      <c r="BG173" s="53">
        <v>22.13</v>
      </c>
      <c r="BH173" s="54"/>
      <c r="BI173" s="53">
        <v>22.23</v>
      </c>
      <c r="BJ173" s="53">
        <v>28.35</v>
      </c>
      <c r="BK173" s="54"/>
      <c r="BL173" s="54"/>
      <c r="BM173" s="54"/>
      <c r="BN173" s="54"/>
      <c r="BO173" s="54"/>
      <c r="BP173" s="53">
        <v>3.51</v>
      </c>
      <c r="BQ173" s="53">
        <v>6.43</v>
      </c>
      <c r="BR173" s="53">
        <v>9.73</v>
      </c>
      <c r="BS173" s="25">
        <v>6.4</v>
      </c>
      <c r="BT173" s="56">
        <v>23.2</v>
      </c>
      <c r="BU173" s="25">
        <v>4.9</v>
      </c>
      <c r="BV173" s="55">
        <v>6.24</v>
      </c>
      <c r="BW173" s="53">
        <v>1100.0</v>
      </c>
      <c r="BX173" s="53">
        <v>2100.0</v>
      </c>
      <c r="BY173" s="53" t="s">
        <v>123</v>
      </c>
      <c r="BZ173" s="58">
        <v>1800.0</v>
      </c>
      <c r="CA173" s="29" t="s">
        <v>124</v>
      </c>
      <c r="CB173" s="30">
        <v>2100.0</v>
      </c>
      <c r="CC173" s="31"/>
      <c r="CD173" s="58">
        <v>2100.0</v>
      </c>
      <c r="CE173" s="59" t="e">
        <v>#REF!</v>
      </c>
      <c r="CF173" s="60"/>
      <c r="CG173" s="61">
        <v>0.0</v>
      </c>
      <c r="CH173" s="62">
        <v>0.0</v>
      </c>
      <c r="CI173" s="63">
        <v>21.0</v>
      </c>
      <c r="CJ173" s="63">
        <v>1366.0</v>
      </c>
      <c r="CK173" s="64">
        <v>-14.0</v>
      </c>
      <c r="CL173" s="63">
        <v>1352.0</v>
      </c>
      <c r="CM173" s="65">
        <v>481.0</v>
      </c>
      <c r="CN173" s="63">
        <v>0.0</v>
      </c>
      <c r="CO173" s="66">
        <v>22.9</v>
      </c>
      <c r="CP173" s="67">
        <v>0.0</v>
      </c>
      <c r="CQ173" s="63">
        <v>74.0</v>
      </c>
      <c r="CR173" s="63">
        <v>74.0</v>
      </c>
      <c r="CS173" s="63">
        <v>134.0</v>
      </c>
      <c r="CT173" s="68"/>
      <c r="CU173" s="69"/>
      <c r="CV173" s="70"/>
      <c r="CW173" s="71">
        <v>7.0</v>
      </c>
      <c r="CX173" s="71" t="s">
        <v>201</v>
      </c>
      <c r="CY173" s="71" t="s">
        <v>202</v>
      </c>
      <c r="CZ173" s="45"/>
      <c r="DA173" s="44">
        <v>2100.0</v>
      </c>
      <c r="DB173" s="44">
        <v>0.0</v>
      </c>
      <c r="DC173" s="43"/>
      <c r="DD173" s="78"/>
      <c r="DE173" s="43"/>
      <c r="DF173" s="43"/>
      <c r="DG173" s="48" t="s">
        <v>128</v>
      </c>
      <c r="DH173" s="48" t="s">
        <v>128</v>
      </c>
      <c r="DI173" s="48" t="s">
        <v>128</v>
      </c>
      <c r="DJ173" s="49">
        <v>1.0</v>
      </c>
      <c r="DK173" s="48" t="b">
        <v>0</v>
      </c>
      <c r="DL173" s="50" t="s">
        <v>522</v>
      </c>
      <c r="DM173" s="50" t="s">
        <v>131</v>
      </c>
      <c r="DN173" s="50" t="s">
        <v>523</v>
      </c>
      <c r="DO173" s="48" t="e">
        <v>#N/A</v>
      </c>
      <c r="DP173" s="48" t="s">
        <v>128</v>
      </c>
      <c r="DQ173" s="48" t="s">
        <v>128</v>
      </c>
      <c r="DR173" s="51"/>
      <c r="DS173" s="48" t="s">
        <v>134</v>
      </c>
    </row>
    <row r="174">
      <c r="A174" s="23" t="s">
        <v>118</v>
      </c>
      <c r="B174" s="24">
        <v>3.0</v>
      </c>
      <c r="C174" s="23" t="s">
        <v>119</v>
      </c>
      <c r="D174" s="24">
        <v>588071.0</v>
      </c>
      <c r="E174" s="23" t="s">
        <v>152</v>
      </c>
      <c r="F174" s="23" t="s">
        <v>546</v>
      </c>
      <c r="G174" s="23" t="s">
        <v>547</v>
      </c>
      <c r="H174" s="24">
        <v>96729.0</v>
      </c>
      <c r="I174" s="24">
        <v>15.0</v>
      </c>
      <c r="J174" s="24">
        <v>0.0</v>
      </c>
      <c r="K174" s="24">
        <v>0.0</v>
      </c>
      <c r="L174" s="24">
        <v>0.0</v>
      </c>
      <c r="M174" s="24">
        <v>1.0</v>
      </c>
      <c r="N174" s="24">
        <v>1.0</v>
      </c>
      <c r="O174" s="24">
        <v>0.0</v>
      </c>
      <c r="P174" s="24">
        <v>0.0</v>
      </c>
      <c r="Q174" s="24">
        <v>1.0</v>
      </c>
      <c r="R174" s="24">
        <v>1.0</v>
      </c>
      <c r="S174" s="24">
        <v>0.0</v>
      </c>
      <c r="T174" s="24">
        <v>0.0</v>
      </c>
      <c r="U174" s="24">
        <v>0.0</v>
      </c>
      <c r="V174" s="24">
        <v>1.0</v>
      </c>
      <c r="W174" s="24">
        <v>0.0</v>
      </c>
      <c r="X174" s="24">
        <v>1.0</v>
      </c>
      <c r="Y174" s="24">
        <v>2.0</v>
      </c>
      <c r="Z174" s="24">
        <v>5.0</v>
      </c>
      <c r="AA174" s="24">
        <v>0.0</v>
      </c>
      <c r="AB174" s="24">
        <v>1.0</v>
      </c>
      <c r="AC174" s="24">
        <v>0.0</v>
      </c>
      <c r="AD174" s="24">
        <v>1.0</v>
      </c>
      <c r="AE174" s="24">
        <v>0.0</v>
      </c>
      <c r="AF174" s="24">
        <v>0.0</v>
      </c>
      <c r="AG174" s="24">
        <v>0.0</v>
      </c>
      <c r="AH174" s="24">
        <v>0.0</v>
      </c>
      <c r="AI174" s="24">
        <v>0.0</v>
      </c>
      <c r="AJ174" s="24">
        <v>0.0</v>
      </c>
      <c r="AK174" s="24">
        <v>0.0</v>
      </c>
      <c r="AL174" s="24">
        <v>0.0</v>
      </c>
      <c r="AM174" s="24">
        <v>0.0</v>
      </c>
      <c r="AN174" s="24">
        <v>0.0</v>
      </c>
      <c r="AO174" s="25">
        <v>21.1</v>
      </c>
      <c r="AP174" s="26"/>
      <c r="AQ174" s="26"/>
      <c r="AR174" s="26"/>
      <c r="AS174" s="24">
        <v>17.47</v>
      </c>
      <c r="AT174" s="24">
        <v>18.88</v>
      </c>
      <c r="AU174" s="26"/>
      <c r="AV174" s="26"/>
      <c r="AW174" s="24">
        <v>33.5</v>
      </c>
      <c r="AX174" s="24">
        <v>12.55</v>
      </c>
      <c r="AY174" s="26"/>
      <c r="AZ174" s="26"/>
      <c r="BA174" s="26"/>
      <c r="BB174" s="24">
        <v>14.53</v>
      </c>
      <c r="BC174" s="26"/>
      <c r="BD174" s="24">
        <v>15.37</v>
      </c>
      <c r="BE174" s="24">
        <v>19.13</v>
      </c>
      <c r="BF174" s="24">
        <v>24.23</v>
      </c>
      <c r="BG174" s="26"/>
      <c r="BH174" s="24">
        <v>21.35</v>
      </c>
      <c r="BI174" s="26"/>
      <c r="BJ174" s="24">
        <v>23.1</v>
      </c>
      <c r="BK174" s="26"/>
      <c r="BL174" s="26"/>
      <c r="BM174" s="26"/>
      <c r="BN174" s="26"/>
      <c r="BO174" s="26"/>
      <c r="BP174" s="24">
        <v>4.28</v>
      </c>
      <c r="BQ174" s="24">
        <v>5.16</v>
      </c>
      <c r="BR174" s="24">
        <v>9.24</v>
      </c>
      <c r="BS174" s="25">
        <v>5.69</v>
      </c>
      <c r="BT174" s="56">
        <v>20.7</v>
      </c>
      <c r="BU174" s="25">
        <v>8.3</v>
      </c>
      <c r="BV174" s="55">
        <v>6.58</v>
      </c>
      <c r="BW174" s="26"/>
      <c r="BX174" s="24">
        <v>2100.0</v>
      </c>
      <c r="BY174" s="24" t="s">
        <v>123</v>
      </c>
      <c r="BZ174" s="28">
        <v>1800.0</v>
      </c>
      <c r="CA174" s="29" t="s">
        <v>124</v>
      </c>
      <c r="CB174" s="30">
        <v>2100.0</v>
      </c>
      <c r="CC174" s="31"/>
      <c r="CD174" s="28">
        <v>2100.0</v>
      </c>
      <c r="CE174" s="32" t="e">
        <v>#REF!</v>
      </c>
      <c r="CF174" s="33"/>
      <c r="CG174" s="34">
        <v>0.0</v>
      </c>
      <c r="CH174" s="35">
        <v>0.0</v>
      </c>
      <c r="CI174" s="36">
        <v>15.0</v>
      </c>
      <c r="CJ174" s="36">
        <v>1366.0</v>
      </c>
      <c r="CK174" s="37">
        <v>-14.0</v>
      </c>
      <c r="CL174" s="36">
        <v>1352.0</v>
      </c>
      <c r="CM174" s="38">
        <v>317.0</v>
      </c>
      <c r="CN174" s="36">
        <v>0.0</v>
      </c>
      <c r="CO174" s="39">
        <v>21.1</v>
      </c>
      <c r="CP174" s="40">
        <v>0.0</v>
      </c>
      <c r="CQ174" s="36">
        <v>64.0</v>
      </c>
      <c r="CR174" s="36">
        <v>64.0</v>
      </c>
      <c r="CS174" s="36">
        <v>85.0</v>
      </c>
      <c r="CT174" s="41"/>
      <c r="CU174" s="42"/>
      <c r="CV174" s="43"/>
      <c r="CW174" s="44">
        <v>7.0</v>
      </c>
      <c r="CX174" s="44" t="s">
        <v>201</v>
      </c>
      <c r="CY174" s="44" t="s">
        <v>202</v>
      </c>
      <c r="CZ174" s="45"/>
      <c r="DA174" s="44">
        <v>2100.0</v>
      </c>
      <c r="DB174" s="44">
        <v>0.0</v>
      </c>
      <c r="DC174" s="46" t="s">
        <v>127</v>
      </c>
      <c r="DD174" s="47">
        <v>46240.0</v>
      </c>
      <c r="DE174" s="43"/>
      <c r="DF174" s="43"/>
      <c r="DG174" s="48" t="s">
        <v>128</v>
      </c>
      <c r="DH174" s="48" t="s">
        <v>128</v>
      </c>
      <c r="DI174" s="48" t="s">
        <v>128</v>
      </c>
      <c r="DJ174" s="49">
        <v>1.0</v>
      </c>
      <c r="DK174" s="48" t="b">
        <v>0</v>
      </c>
      <c r="DL174" s="50" t="s">
        <v>522</v>
      </c>
      <c r="DM174" s="50" t="s">
        <v>131</v>
      </c>
      <c r="DN174" s="50" t="s">
        <v>523</v>
      </c>
      <c r="DO174" s="48" t="e">
        <v>#N/A</v>
      </c>
      <c r="DP174" s="48" t="s">
        <v>128</v>
      </c>
      <c r="DQ174" s="48" t="s">
        <v>128</v>
      </c>
      <c r="DR174" s="51"/>
      <c r="DS174" s="48" t="s">
        <v>134</v>
      </c>
    </row>
    <row r="175">
      <c r="A175" s="52" t="s">
        <v>118</v>
      </c>
      <c r="B175" s="53">
        <v>3.0</v>
      </c>
      <c r="C175" s="52" t="s">
        <v>119</v>
      </c>
      <c r="D175" s="53">
        <v>576393.0</v>
      </c>
      <c r="E175" s="52" t="s">
        <v>164</v>
      </c>
      <c r="F175" s="52" t="s">
        <v>548</v>
      </c>
      <c r="G175" s="52" t="s">
        <v>549</v>
      </c>
      <c r="H175" s="53">
        <v>96729.0</v>
      </c>
      <c r="I175" s="53">
        <v>17.0</v>
      </c>
      <c r="J175" s="53">
        <v>0.0</v>
      </c>
      <c r="K175" s="53">
        <v>0.0</v>
      </c>
      <c r="L175" s="53">
        <v>0.0</v>
      </c>
      <c r="M175" s="53">
        <v>0.0</v>
      </c>
      <c r="N175" s="53">
        <v>0.0</v>
      </c>
      <c r="O175" s="53">
        <v>2.0</v>
      </c>
      <c r="P175" s="53">
        <v>0.0</v>
      </c>
      <c r="Q175" s="53">
        <v>1.0</v>
      </c>
      <c r="R175" s="53">
        <v>0.0</v>
      </c>
      <c r="S175" s="53">
        <v>0.0</v>
      </c>
      <c r="T175" s="53">
        <v>0.0</v>
      </c>
      <c r="U175" s="53">
        <v>1.0</v>
      </c>
      <c r="V175" s="53">
        <v>2.0</v>
      </c>
      <c r="W175" s="53">
        <v>1.0</v>
      </c>
      <c r="X175" s="53">
        <v>0.0</v>
      </c>
      <c r="Y175" s="53">
        <v>2.0</v>
      </c>
      <c r="Z175" s="53">
        <v>1.0</v>
      </c>
      <c r="AA175" s="53">
        <v>1.0</v>
      </c>
      <c r="AB175" s="53">
        <v>1.0</v>
      </c>
      <c r="AC175" s="53">
        <v>1.0</v>
      </c>
      <c r="AD175" s="53">
        <v>0.0</v>
      </c>
      <c r="AE175" s="53">
        <v>1.0</v>
      </c>
      <c r="AF175" s="53">
        <v>1.0</v>
      </c>
      <c r="AG175" s="53">
        <v>0.0</v>
      </c>
      <c r="AH175" s="53">
        <v>1.0</v>
      </c>
      <c r="AI175" s="53">
        <v>0.0</v>
      </c>
      <c r="AJ175" s="53">
        <v>0.0</v>
      </c>
      <c r="AK175" s="53">
        <v>0.0</v>
      </c>
      <c r="AL175" s="53">
        <v>0.0</v>
      </c>
      <c r="AM175" s="53">
        <v>1.0</v>
      </c>
      <c r="AN175" s="53">
        <v>0.0</v>
      </c>
      <c r="AO175" s="25">
        <v>20.1</v>
      </c>
      <c r="AP175" s="54"/>
      <c r="AQ175" s="54"/>
      <c r="AR175" s="54"/>
      <c r="AS175" s="54"/>
      <c r="AT175" s="54"/>
      <c r="AU175" s="53">
        <v>18.6</v>
      </c>
      <c r="AV175" s="54"/>
      <c r="AW175" s="53">
        <v>23.03</v>
      </c>
      <c r="AX175" s="54"/>
      <c r="AY175" s="54"/>
      <c r="AZ175" s="54"/>
      <c r="BA175" s="53">
        <v>24.73</v>
      </c>
      <c r="BB175" s="53">
        <v>14.17</v>
      </c>
      <c r="BC175" s="53">
        <v>32.13</v>
      </c>
      <c r="BD175" s="54"/>
      <c r="BE175" s="53">
        <v>19.9</v>
      </c>
      <c r="BF175" s="53">
        <v>22.23</v>
      </c>
      <c r="BG175" s="53">
        <v>19.28</v>
      </c>
      <c r="BH175" s="53">
        <v>17.9</v>
      </c>
      <c r="BI175" s="53">
        <v>19.97</v>
      </c>
      <c r="BJ175" s="54"/>
      <c r="BK175" s="53">
        <v>22.18</v>
      </c>
      <c r="BL175" s="53">
        <v>17.22</v>
      </c>
      <c r="BM175" s="54"/>
      <c r="BN175" s="53">
        <v>20.05</v>
      </c>
      <c r="BO175" s="53">
        <v>0.28</v>
      </c>
      <c r="BP175" s="53">
        <v>1.46</v>
      </c>
      <c r="BQ175" s="53">
        <v>6.55</v>
      </c>
      <c r="BR175" s="53">
        <v>7.8</v>
      </c>
      <c r="BS175" s="25">
        <v>5.44</v>
      </c>
      <c r="BT175" s="77">
        <v>14.3</v>
      </c>
      <c r="BU175" s="57">
        <v>1.2</v>
      </c>
      <c r="BV175" s="25">
        <v>7.25</v>
      </c>
      <c r="BW175" s="53">
        <v>1500.0</v>
      </c>
      <c r="BX175" s="53">
        <v>2100.0</v>
      </c>
      <c r="BY175" s="53" t="s">
        <v>123</v>
      </c>
      <c r="BZ175" s="58">
        <v>1800.0</v>
      </c>
      <c r="CA175" s="29" t="s">
        <v>124</v>
      </c>
      <c r="CB175" s="30">
        <v>2100.0</v>
      </c>
      <c r="CC175" s="31"/>
      <c r="CD175" s="58">
        <v>2100.0</v>
      </c>
      <c r="CE175" s="59" t="e">
        <v>#REF!</v>
      </c>
      <c r="CF175" s="60"/>
      <c r="CG175" s="61">
        <v>0.0</v>
      </c>
      <c r="CH175" s="62">
        <v>0.0</v>
      </c>
      <c r="CI175" s="63">
        <v>17.0</v>
      </c>
      <c r="CJ175" s="63">
        <v>1366.0</v>
      </c>
      <c r="CK175" s="64">
        <v>-14.0</v>
      </c>
      <c r="CL175" s="63">
        <v>1352.0</v>
      </c>
      <c r="CM175" s="65">
        <v>342.0</v>
      </c>
      <c r="CN175" s="63">
        <v>0.0</v>
      </c>
      <c r="CO175" s="66">
        <v>20.1</v>
      </c>
      <c r="CP175" s="67">
        <v>0.0</v>
      </c>
      <c r="CQ175" s="63">
        <v>25.0</v>
      </c>
      <c r="CR175" s="63">
        <v>25.0</v>
      </c>
      <c r="CS175" s="63">
        <v>92.0</v>
      </c>
      <c r="CT175" s="68"/>
      <c r="CU175" s="69"/>
      <c r="CV175" s="70"/>
      <c r="CW175" s="71">
        <v>7.0</v>
      </c>
      <c r="CX175" s="71" t="s">
        <v>201</v>
      </c>
      <c r="CY175" s="71" t="s">
        <v>202</v>
      </c>
      <c r="CZ175" s="45"/>
      <c r="DA175" s="44">
        <v>2100.0</v>
      </c>
      <c r="DB175" s="44">
        <v>0.0</v>
      </c>
      <c r="DC175" s="46" t="s">
        <v>127</v>
      </c>
      <c r="DD175" s="47">
        <v>46246.0</v>
      </c>
      <c r="DE175" s="43"/>
      <c r="DF175" s="43"/>
      <c r="DG175" s="48" t="s">
        <v>128</v>
      </c>
      <c r="DH175" s="48" t="s">
        <v>128</v>
      </c>
      <c r="DI175" s="48" t="s">
        <v>128</v>
      </c>
      <c r="DJ175" s="49">
        <v>1.0</v>
      </c>
      <c r="DK175" s="48" t="b">
        <v>1</v>
      </c>
      <c r="DL175" s="50" t="s">
        <v>522</v>
      </c>
      <c r="DM175" s="50" t="s">
        <v>131</v>
      </c>
      <c r="DN175" s="50" t="s">
        <v>523</v>
      </c>
      <c r="DO175" s="48" t="e">
        <v>#N/A</v>
      </c>
      <c r="DP175" s="48" t="s">
        <v>128</v>
      </c>
      <c r="DQ175" s="48" t="s">
        <v>128</v>
      </c>
      <c r="DR175" s="51"/>
      <c r="DS175" s="48" t="s">
        <v>134</v>
      </c>
    </row>
    <row r="176">
      <c r="A176" s="23" t="s">
        <v>118</v>
      </c>
      <c r="B176" s="24">
        <v>3.0</v>
      </c>
      <c r="C176" s="23" t="s">
        <v>119</v>
      </c>
      <c r="D176" s="24">
        <v>648806.0</v>
      </c>
      <c r="E176" s="23" t="s">
        <v>179</v>
      </c>
      <c r="F176" s="23" t="s">
        <v>550</v>
      </c>
      <c r="G176" s="23" t="s">
        <v>551</v>
      </c>
      <c r="H176" s="24">
        <v>96729.0</v>
      </c>
      <c r="I176" s="24">
        <v>5.0</v>
      </c>
      <c r="J176" s="24">
        <v>0.0</v>
      </c>
      <c r="K176" s="24">
        <v>0.0</v>
      </c>
      <c r="L176" s="24">
        <v>0.0</v>
      </c>
      <c r="M176" s="24">
        <v>0.0</v>
      </c>
      <c r="N176" s="24">
        <v>0.0</v>
      </c>
      <c r="O176" s="24">
        <v>1.0</v>
      </c>
      <c r="P176" s="24">
        <v>0.0</v>
      </c>
      <c r="Q176" s="24">
        <v>0.0</v>
      </c>
      <c r="R176" s="24">
        <v>0.0</v>
      </c>
      <c r="S176" s="24">
        <v>1.0</v>
      </c>
      <c r="T176" s="24">
        <v>0.0</v>
      </c>
      <c r="U176" s="24">
        <v>0.0</v>
      </c>
      <c r="V176" s="24">
        <v>0.0</v>
      </c>
      <c r="W176" s="24">
        <v>1.0</v>
      </c>
      <c r="X176" s="24">
        <v>0.0</v>
      </c>
      <c r="Y176" s="24">
        <v>1.0</v>
      </c>
      <c r="Z176" s="24">
        <v>0.0</v>
      </c>
      <c r="AA176" s="24">
        <v>0.0</v>
      </c>
      <c r="AB176" s="24">
        <v>1.0</v>
      </c>
      <c r="AC176" s="24">
        <v>0.0</v>
      </c>
      <c r="AD176" s="24">
        <v>0.0</v>
      </c>
      <c r="AE176" s="24">
        <v>0.0</v>
      </c>
      <c r="AF176" s="24">
        <v>0.0</v>
      </c>
      <c r="AG176" s="24">
        <v>0.0</v>
      </c>
      <c r="AH176" s="24">
        <v>0.0</v>
      </c>
      <c r="AI176" s="24">
        <v>0.0</v>
      </c>
      <c r="AJ176" s="24">
        <v>0.0</v>
      </c>
      <c r="AK176" s="24">
        <v>0.0</v>
      </c>
      <c r="AL176" s="24">
        <v>0.0</v>
      </c>
      <c r="AM176" s="24">
        <v>0.0</v>
      </c>
      <c r="AN176" s="24">
        <v>0.0</v>
      </c>
      <c r="AO176" s="25">
        <v>21.9</v>
      </c>
      <c r="AP176" s="26"/>
      <c r="AQ176" s="26"/>
      <c r="AR176" s="26"/>
      <c r="AS176" s="26"/>
      <c r="AT176" s="26"/>
      <c r="AU176" s="24">
        <v>29.82</v>
      </c>
      <c r="AV176" s="26"/>
      <c r="AW176" s="26"/>
      <c r="AX176" s="26"/>
      <c r="AY176" s="24">
        <v>23.1</v>
      </c>
      <c r="AZ176" s="26"/>
      <c r="BA176" s="26"/>
      <c r="BB176" s="26"/>
      <c r="BC176" s="24">
        <v>14.32</v>
      </c>
      <c r="BD176" s="26"/>
      <c r="BE176" s="24">
        <v>14.32</v>
      </c>
      <c r="BF176" s="26"/>
      <c r="BG176" s="26"/>
      <c r="BH176" s="24">
        <v>27.78</v>
      </c>
      <c r="BI176" s="26"/>
      <c r="BJ176" s="26"/>
      <c r="BK176" s="26"/>
      <c r="BL176" s="26"/>
      <c r="BM176" s="26"/>
      <c r="BN176" s="26"/>
      <c r="BO176" s="26"/>
      <c r="BP176" s="24">
        <v>5.48</v>
      </c>
      <c r="BQ176" s="24">
        <v>5.92</v>
      </c>
      <c r="BR176" s="24">
        <v>11.2</v>
      </c>
      <c r="BS176" s="25">
        <v>5.41</v>
      </c>
      <c r="BT176" s="56">
        <v>29.8</v>
      </c>
      <c r="BU176" s="57">
        <v>0.7</v>
      </c>
      <c r="BV176" s="57">
        <v>1.2</v>
      </c>
      <c r="BW176" s="26"/>
      <c r="BX176" s="24">
        <v>2100.0</v>
      </c>
      <c r="BY176" s="24" t="s">
        <v>123</v>
      </c>
      <c r="BZ176" s="28">
        <v>1800.0</v>
      </c>
      <c r="CA176" s="29" t="s">
        <v>124</v>
      </c>
      <c r="CB176" s="30">
        <v>2100.0</v>
      </c>
      <c r="CC176" s="31"/>
      <c r="CD176" s="28">
        <v>2100.0</v>
      </c>
      <c r="CE176" s="32" t="e">
        <v>#REF!</v>
      </c>
      <c r="CF176" s="33"/>
      <c r="CG176" s="34">
        <v>0.0</v>
      </c>
      <c r="CH176" s="35">
        <v>0.0</v>
      </c>
      <c r="CI176" s="36">
        <v>5.0</v>
      </c>
      <c r="CJ176" s="36">
        <v>1366.0</v>
      </c>
      <c r="CK176" s="37">
        <v>-14.0</v>
      </c>
      <c r="CL176" s="36">
        <v>1352.0</v>
      </c>
      <c r="CM176" s="38">
        <v>110.0</v>
      </c>
      <c r="CN176" s="36">
        <v>0.0</v>
      </c>
      <c r="CO176" s="39">
        <v>21.9</v>
      </c>
      <c r="CP176" s="40">
        <v>0.0</v>
      </c>
      <c r="CQ176" s="36">
        <v>27.0</v>
      </c>
      <c r="CR176" s="36">
        <v>27.0</v>
      </c>
      <c r="CS176" s="36">
        <v>27.0</v>
      </c>
      <c r="CT176" s="41"/>
      <c r="CU176" s="42"/>
      <c r="CV176" s="43"/>
      <c r="CW176" s="44">
        <v>7.0</v>
      </c>
      <c r="CX176" s="44" t="s">
        <v>201</v>
      </c>
      <c r="CY176" s="44" t="s">
        <v>202</v>
      </c>
      <c r="CZ176" s="45"/>
      <c r="DA176" s="44">
        <v>2100.0</v>
      </c>
      <c r="DB176" s="44">
        <v>0.0</v>
      </c>
      <c r="DC176" s="46" t="s">
        <v>127</v>
      </c>
      <c r="DD176" s="47">
        <v>46240.0</v>
      </c>
      <c r="DE176" s="43"/>
      <c r="DF176" s="43"/>
      <c r="DG176" s="48" t="s">
        <v>128</v>
      </c>
      <c r="DH176" s="48" t="s">
        <v>128</v>
      </c>
      <c r="DI176" s="48" t="s">
        <v>128</v>
      </c>
      <c r="DJ176" s="49">
        <v>1.0</v>
      </c>
      <c r="DK176" s="48" t="b">
        <v>0</v>
      </c>
      <c r="DL176" s="50" t="s">
        <v>522</v>
      </c>
      <c r="DM176" s="50" t="s">
        <v>131</v>
      </c>
      <c r="DN176" s="50" t="s">
        <v>523</v>
      </c>
      <c r="DO176" s="48" t="e">
        <v>#N/A</v>
      </c>
      <c r="DP176" s="48" t="s">
        <v>128</v>
      </c>
      <c r="DQ176" s="48" t="s">
        <v>128</v>
      </c>
      <c r="DR176" s="51"/>
      <c r="DS176" s="48" t="s">
        <v>134</v>
      </c>
    </row>
    <row r="177">
      <c r="A177" s="52" t="s">
        <v>118</v>
      </c>
      <c r="B177" s="53">
        <v>3.0</v>
      </c>
      <c r="C177" s="52" t="s">
        <v>119</v>
      </c>
      <c r="D177" s="53">
        <v>643373.0</v>
      </c>
      <c r="E177" s="52" t="s">
        <v>120</v>
      </c>
      <c r="F177" s="52" t="s">
        <v>552</v>
      </c>
      <c r="G177" s="52" t="s">
        <v>553</v>
      </c>
      <c r="H177" s="53">
        <v>96729.0</v>
      </c>
      <c r="I177" s="53">
        <v>4.0</v>
      </c>
      <c r="J177" s="53">
        <v>0.0</v>
      </c>
      <c r="K177" s="53">
        <v>0.0</v>
      </c>
      <c r="L177" s="53">
        <v>0.0</v>
      </c>
      <c r="M177" s="53">
        <v>0.0</v>
      </c>
      <c r="N177" s="53">
        <v>0.0</v>
      </c>
      <c r="O177" s="53">
        <v>0.0</v>
      </c>
      <c r="P177" s="53">
        <v>0.0</v>
      </c>
      <c r="Q177" s="53">
        <v>0.0</v>
      </c>
      <c r="R177" s="53">
        <v>0.0</v>
      </c>
      <c r="S177" s="53">
        <v>0.0</v>
      </c>
      <c r="T177" s="53">
        <v>0.0</v>
      </c>
      <c r="U177" s="53">
        <v>1.0</v>
      </c>
      <c r="V177" s="53">
        <v>1.0</v>
      </c>
      <c r="W177" s="53">
        <v>0.0</v>
      </c>
      <c r="X177" s="53">
        <v>0.0</v>
      </c>
      <c r="Y177" s="53">
        <v>0.0</v>
      </c>
      <c r="Z177" s="53">
        <v>0.0</v>
      </c>
      <c r="AA177" s="53">
        <v>0.0</v>
      </c>
      <c r="AB177" s="53">
        <v>1.0</v>
      </c>
      <c r="AC177" s="53">
        <v>0.0</v>
      </c>
      <c r="AD177" s="53">
        <v>0.0</v>
      </c>
      <c r="AE177" s="53">
        <v>0.0</v>
      </c>
      <c r="AF177" s="53">
        <v>0.0</v>
      </c>
      <c r="AG177" s="53">
        <v>1.0</v>
      </c>
      <c r="AH177" s="53">
        <v>0.0</v>
      </c>
      <c r="AI177" s="53">
        <v>0.0</v>
      </c>
      <c r="AJ177" s="53">
        <v>0.0</v>
      </c>
      <c r="AK177" s="53">
        <v>0.0</v>
      </c>
      <c r="AL177" s="53">
        <v>0.0</v>
      </c>
      <c r="AM177" s="53">
        <v>0.0</v>
      </c>
      <c r="AN177" s="53">
        <v>0.0</v>
      </c>
      <c r="AO177" s="25">
        <v>20.5</v>
      </c>
      <c r="AP177" s="54"/>
      <c r="AQ177" s="54"/>
      <c r="AR177" s="54"/>
      <c r="AS177" s="54"/>
      <c r="AT177" s="54"/>
      <c r="AU177" s="54"/>
      <c r="AV177" s="54"/>
      <c r="AW177" s="54"/>
      <c r="AX177" s="54"/>
      <c r="AY177" s="54"/>
      <c r="AZ177" s="54"/>
      <c r="BA177" s="53">
        <v>13.37</v>
      </c>
      <c r="BB177" s="53">
        <v>28.3</v>
      </c>
      <c r="BC177" s="54"/>
      <c r="BD177" s="54"/>
      <c r="BE177" s="54"/>
      <c r="BF177" s="54"/>
      <c r="BG177" s="54"/>
      <c r="BH177" s="53">
        <v>20.58</v>
      </c>
      <c r="BI177" s="54"/>
      <c r="BJ177" s="54"/>
      <c r="BK177" s="54"/>
      <c r="BL177" s="54"/>
      <c r="BM177" s="53">
        <v>19.73</v>
      </c>
      <c r="BN177" s="54"/>
      <c r="BO177" s="54"/>
      <c r="BP177" s="53">
        <v>3.18</v>
      </c>
      <c r="BQ177" s="53">
        <v>5.39</v>
      </c>
      <c r="BR177" s="53">
        <v>8.38</v>
      </c>
      <c r="BS177" s="25">
        <v>5.27</v>
      </c>
      <c r="BT177" s="81"/>
      <c r="BU177" s="54"/>
      <c r="BV177" s="54"/>
      <c r="BW177" s="54"/>
      <c r="BX177" s="53">
        <v>2100.0</v>
      </c>
      <c r="BY177" s="53" t="s">
        <v>123</v>
      </c>
      <c r="BZ177" s="58">
        <v>1800.0</v>
      </c>
      <c r="CA177" s="29" t="s">
        <v>124</v>
      </c>
      <c r="CB177" s="30">
        <v>2100.0</v>
      </c>
      <c r="CC177" s="31"/>
      <c r="CD177" s="58">
        <v>2100.0</v>
      </c>
      <c r="CE177" s="59" t="e">
        <v>#REF!</v>
      </c>
      <c r="CF177" s="60"/>
      <c r="CG177" s="61">
        <v>0.0</v>
      </c>
      <c r="CH177" s="62">
        <v>0.0</v>
      </c>
      <c r="CI177" s="63">
        <v>4.0</v>
      </c>
      <c r="CJ177" s="63">
        <v>1366.0</v>
      </c>
      <c r="CK177" s="64">
        <v>-14.0</v>
      </c>
      <c r="CL177" s="63">
        <v>1352.0</v>
      </c>
      <c r="CM177" s="65">
        <v>82.0</v>
      </c>
      <c r="CN177" s="63">
        <v>0.0</v>
      </c>
      <c r="CO177" s="66">
        <v>20.5</v>
      </c>
      <c r="CP177" s="67">
        <v>0.0</v>
      </c>
      <c r="CQ177" s="63">
        <v>13.0</v>
      </c>
      <c r="CR177" s="63">
        <v>13.0</v>
      </c>
      <c r="CS177" s="63">
        <v>21.0</v>
      </c>
      <c r="CT177" s="68"/>
      <c r="CU177" s="69"/>
      <c r="CV177" s="70"/>
      <c r="CW177" s="71">
        <v>7.0</v>
      </c>
      <c r="CX177" s="71" t="s">
        <v>201</v>
      </c>
      <c r="CY177" s="71" t="s">
        <v>202</v>
      </c>
      <c r="CZ177" s="45"/>
      <c r="DA177" s="44">
        <v>2100.0</v>
      </c>
      <c r="DB177" s="44">
        <v>0.0</v>
      </c>
      <c r="DC177" s="43"/>
      <c r="DD177" s="78"/>
      <c r="DE177" s="43"/>
      <c r="DF177" s="43"/>
      <c r="DG177" s="48" t="s">
        <v>128</v>
      </c>
      <c r="DH177" s="48" t="s">
        <v>128</v>
      </c>
      <c r="DI177" s="48" t="s">
        <v>129</v>
      </c>
      <c r="DJ177" s="49">
        <v>0.0</v>
      </c>
      <c r="DK177" s="48" t="b">
        <v>0</v>
      </c>
      <c r="DL177" s="50" t="s">
        <v>522</v>
      </c>
      <c r="DM177" s="50" t="s">
        <v>131</v>
      </c>
      <c r="DN177" s="50" t="s">
        <v>523</v>
      </c>
      <c r="DO177" s="48" t="e">
        <v>#N/A</v>
      </c>
      <c r="DP177" s="48" t="s">
        <v>128</v>
      </c>
      <c r="DQ177" s="48" t="s">
        <v>133</v>
      </c>
      <c r="DR177" s="51"/>
      <c r="DS177" s="48" t="s">
        <v>134</v>
      </c>
    </row>
    <row r="178">
      <c r="A178" s="23" t="s">
        <v>118</v>
      </c>
      <c r="B178" s="24">
        <v>3.0</v>
      </c>
      <c r="C178" s="23" t="s">
        <v>119</v>
      </c>
      <c r="D178" s="24">
        <v>680607.0</v>
      </c>
      <c r="E178" s="23" t="s">
        <v>246</v>
      </c>
      <c r="F178" s="23" t="s">
        <v>554</v>
      </c>
      <c r="G178" s="23" t="s">
        <v>555</v>
      </c>
      <c r="H178" s="24">
        <v>96729.0</v>
      </c>
      <c r="I178" s="24">
        <v>1.0</v>
      </c>
      <c r="J178" s="24">
        <v>0.0</v>
      </c>
      <c r="K178" s="24">
        <v>0.0</v>
      </c>
      <c r="L178" s="24">
        <v>0.0</v>
      </c>
      <c r="M178" s="24">
        <v>0.0</v>
      </c>
      <c r="N178" s="24">
        <v>1.0</v>
      </c>
      <c r="O178" s="24">
        <v>0.0</v>
      </c>
      <c r="P178" s="24">
        <v>0.0</v>
      </c>
      <c r="Q178" s="24">
        <v>0.0</v>
      </c>
      <c r="R178" s="24">
        <v>0.0</v>
      </c>
      <c r="S178" s="24">
        <v>0.0</v>
      </c>
      <c r="T178" s="24">
        <v>0.0</v>
      </c>
      <c r="U178" s="24">
        <v>0.0</v>
      </c>
      <c r="V178" s="24">
        <v>0.0</v>
      </c>
      <c r="W178" s="24">
        <v>0.0</v>
      </c>
      <c r="X178" s="24">
        <v>0.0</v>
      </c>
      <c r="Y178" s="24">
        <v>0.0</v>
      </c>
      <c r="Z178" s="24">
        <v>0.0</v>
      </c>
      <c r="AA178" s="24">
        <v>0.0</v>
      </c>
      <c r="AB178" s="24">
        <v>0.0</v>
      </c>
      <c r="AC178" s="24">
        <v>0.0</v>
      </c>
      <c r="AD178" s="24">
        <v>0.0</v>
      </c>
      <c r="AE178" s="24">
        <v>0.0</v>
      </c>
      <c r="AF178" s="24">
        <v>0.0</v>
      </c>
      <c r="AG178" s="24">
        <v>0.0</v>
      </c>
      <c r="AH178" s="24">
        <v>0.0</v>
      </c>
      <c r="AI178" s="24">
        <v>0.0</v>
      </c>
      <c r="AJ178" s="24">
        <v>0.0</v>
      </c>
      <c r="AK178" s="24">
        <v>0.0</v>
      </c>
      <c r="AL178" s="24">
        <v>0.0</v>
      </c>
      <c r="AM178" s="24">
        <v>0.0</v>
      </c>
      <c r="AN178" s="24">
        <v>0.0</v>
      </c>
      <c r="AO178" s="25">
        <v>23.3</v>
      </c>
      <c r="AP178" s="26"/>
      <c r="AQ178" s="26"/>
      <c r="AR178" s="26"/>
      <c r="AS178" s="26"/>
      <c r="AT178" s="24">
        <v>0.0</v>
      </c>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4">
        <v>5.4</v>
      </c>
      <c r="BQ178" s="24">
        <v>3.42</v>
      </c>
      <c r="BR178" s="24">
        <v>8.62</v>
      </c>
      <c r="BS178" s="25">
        <v>5.12</v>
      </c>
      <c r="BT178" s="27"/>
      <c r="BU178" s="26"/>
      <c r="BV178" s="26"/>
      <c r="BW178" s="26"/>
      <c r="BX178" s="24">
        <v>2100.0</v>
      </c>
      <c r="BY178" s="24" t="s">
        <v>123</v>
      </c>
      <c r="BZ178" s="28">
        <v>1800.0</v>
      </c>
      <c r="CA178" s="29" t="s">
        <v>124</v>
      </c>
      <c r="CB178" s="30">
        <v>2100.0</v>
      </c>
      <c r="CC178" s="31"/>
      <c r="CD178" s="28">
        <v>2100.0</v>
      </c>
      <c r="CE178" s="32" t="e">
        <v>#REF!</v>
      </c>
      <c r="CF178" s="33"/>
      <c r="CG178" s="34">
        <v>0.0</v>
      </c>
      <c r="CH178" s="35">
        <v>0.0</v>
      </c>
      <c r="CI178" s="36">
        <v>1.0</v>
      </c>
      <c r="CJ178" s="36">
        <v>1366.0</v>
      </c>
      <c r="CK178" s="37">
        <v>-14.0</v>
      </c>
      <c r="CL178" s="36">
        <v>1352.0</v>
      </c>
      <c r="CM178" s="38">
        <v>23.0</v>
      </c>
      <c r="CN178" s="36">
        <v>0.0</v>
      </c>
      <c r="CO178" s="39">
        <v>23.3</v>
      </c>
      <c r="CP178" s="40">
        <v>0.0</v>
      </c>
      <c r="CQ178" s="36">
        <v>5.0</v>
      </c>
      <c r="CR178" s="36">
        <v>5.0</v>
      </c>
      <c r="CS178" s="36">
        <v>5.0</v>
      </c>
      <c r="CT178" s="41"/>
      <c r="CU178" s="42"/>
      <c r="CV178" s="43"/>
      <c r="CW178" s="44">
        <v>7.0</v>
      </c>
      <c r="CX178" s="44" t="s">
        <v>201</v>
      </c>
      <c r="CY178" s="44" t="s">
        <v>202</v>
      </c>
      <c r="CZ178" s="45"/>
      <c r="DA178" s="44">
        <v>2100.0</v>
      </c>
      <c r="DB178" s="44">
        <v>0.0</v>
      </c>
      <c r="DC178" s="43"/>
      <c r="DD178" s="78"/>
      <c r="DE178" s="43"/>
      <c r="DF178" s="43"/>
      <c r="DG178" s="48" t="s">
        <v>128</v>
      </c>
      <c r="DH178" s="48" t="s">
        <v>128</v>
      </c>
      <c r="DI178" s="48" t="s">
        <v>129</v>
      </c>
      <c r="DJ178" s="49">
        <v>0.0</v>
      </c>
      <c r="DK178" s="48" t="b">
        <v>0</v>
      </c>
      <c r="DL178" s="50" t="s">
        <v>522</v>
      </c>
      <c r="DM178" s="50" t="s">
        <v>131</v>
      </c>
      <c r="DN178" s="50" t="s">
        <v>523</v>
      </c>
      <c r="DO178" s="48" t="e">
        <v>#N/A</v>
      </c>
      <c r="DP178" s="48" t="s">
        <v>128</v>
      </c>
      <c r="DQ178" s="48" t="s">
        <v>133</v>
      </c>
      <c r="DR178" s="51"/>
      <c r="DS178" s="48" t="s">
        <v>134</v>
      </c>
    </row>
    <row r="179">
      <c r="A179" s="52" t="s">
        <v>118</v>
      </c>
      <c r="B179" s="53">
        <v>3.0</v>
      </c>
      <c r="C179" s="52" t="s">
        <v>119</v>
      </c>
      <c r="D179" s="53">
        <v>558730.0</v>
      </c>
      <c r="E179" s="52" t="s">
        <v>148</v>
      </c>
      <c r="F179" s="52" t="s">
        <v>556</v>
      </c>
      <c r="G179" s="52" t="s">
        <v>557</v>
      </c>
      <c r="H179" s="53">
        <v>96729.0</v>
      </c>
      <c r="I179" s="53">
        <v>15.0</v>
      </c>
      <c r="J179" s="53">
        <v>0.0</v>
      </c>
      <c r="K179" s="53">
        <v>0.0</v>
      </c>
      <c r="L179" s="53">
        <v>0.0</v>
      </c>
      <c r="M179" s="53">
        <v>0.0</v>
      </c>
      <c r="N179" s="53">
        <v>0.0</v>
      </c>
      <c r="O179" s="53">
        <v>1.0</v>
      </c>
      <c r="P179" s="53">
        <v>0.0</v>
      </c>
      <c r="Q179" s="53">
        <v>4.0</v>
      </c>
      <c r="R179" s="53">
        <v>0.0</v>
      </c>
      <c r="S179" s="53">
        <v>0.0</v>
      </c>
      <c r="T179" s="53">
        <v>0.0</v>
      </c>
      <c r="U179" s="53">
        <v>0.0</v>
      </c>
      <c r="V179" s="53">
        <v>1.0</v>
      </c>
      <c r="W179" s="53">
        <v>0.0</v>
      </c>
      <c r="X179" s="53">
        <v>0.0</v>
      </c>
      <c r="Y179" s="53">
        <v>0.0</v>
      </c>
      <c r="Z179" s="53">
        <v>0.0</v>
      </c>
      <c r="AA179" s="53">
        <v>1.0</v>
      </c>
      <c r="AB179" s="53">
        <v>1.0</v>
      </c>
      <c r="AC179" s="53">
        <v>1.0</v>
      </c>
      <c r="AD179" s="53">
        <v>2.0</v>
      </c>
      <c r="AE179" s="53">
        <v>1.0</v>
      </c>
      <c r="AF179" s="53">
        <v>0.0</v>
      </c>
      <c r="AG179" s="53">
        <v>1.0</v>
      </c>
      <c r="AH179" s="53">
        <v>1.0</v>
      </c>
      <c r="AI179" s="53">
        <v>0.0</v>
      </c>
      <c r="AJ179" s="53">
        <v>0.0</v>
      </c>
      <c r="AK179" s="53">
        <v>0.0</v>
      </c>
      <c r="AL179" s="53">
        <v>0.0</v>
      </c>
      <c r="AM179" s="53">
        <v>0.0</v>
      </c>
      <c r="AN179" s="53">
        <v>1.0</v>
      </c>
      <c r="AO179" s="25">
        <v>20.5</v>
      </c>
      <c r="AP179" s="54"/>
      <c r="AQ179" s="54"/>
      <c r="AR179" s="54"/>
      <c r="AS179" s="54"/>
      <c r="AT179" s="54"/>
      <c r="AU179" s="53">
        <v>20.03</v>
      </c>
      <c r="AV179" s="54"/>
      <c r="AW179" s="53">
        <v>14.3</v>
      </c>
      <c r="AX179" s="54"/>
      <c r="AY179" s="54"/>
      <c r="AZ179" s="54"/>
      <c r="BA179" s="54"/>
      <c r="BB179" s="53">
        <v>22.05</v>
      </c>
      <c r="BC179" s="54"/>
      <c r="BD179" s="54"/>
      <c r="BE179" s="54"/>
      <c r="BF179" s="54"/>
      <c r="BG179" s="53">
        <v>30.17</v>
      </c>
      <c r="BH179" s="53">
        <v>12.75</v>
      </c>
      <c r="BI179" s="53">
        <v>33.52</v>
      </c>
      <c r="BJ179" s="53">
        <v>25.68</v>
      </c>
      <c r="BK179" s="53">
        <v>25.83</v>
      </c>
      <c r="BL179" s="54"/>
      <c r="BM179" s="53">
        <v>20.52</v>
      </c>
      <c r="BN179" s="53">
        <v>18.72</v>
      </c>
      <c r="BO179" s="53">
        <v>0.26</v>
      </c>
      <c r="BP179" s="53">
        <v>2.79</v>
      </c>
      <c r="BQ179" s="53">
        <v>5.73</v>
      </c>
      <c r="BR179" s="53">
        <v>8.31</v>
      </c>
      <c r="BS179" s="25">
        <v>5.12</v>
      </c>
      <c r="BT179" s="56">
        <v>24.1</v>
      </c>
      <c r="BU179" s="25">
        <v>6.8</v>
      </c>
      <c r="BV179" s="25">
        <v>8.86</v>
      </c>
      <c r="BW179" s="53">
        <v>1900.0</v>
      </c>
      <c r="BX179" s="53">
        <v>2400.0</v>
      </c>
      <c r="BY179" s="53" t="s">
        <v>123</v>
      </c>
      <c r="BZ179" s="58">
        <v>2100.0</v>
      </c>
      <c r="CA179" s="29" t="s">
        <v>124</v>
      </c>
      <c r="CB179" s="30">
        <v>2100.0</v>
      </c>
      <c r="CC179" s="31"/>
      <c r="CD179" s="58">
        <v>2100.0</v>
      </c>
      <c r="CE179" s="59" t="e">
        <v>#REF!</v>
      </c>
      <c r="CF179" s="105">
        <v>-300.0</v>
      </c>
      <c r="CG179" s="61">
        <v>-6.0</v>
      </c>
      <c r="CH179" s="62">
        <v>-0.4</v>
      </c>
      <c r="CI179" s="63">
        <v>9.0</v>
      </c>
      <c r="CJ179" s="63">
        <v>1366.0</v>
      </c>
      <c r="CK179" s="64">
        <v>-14.0</v>
      </c>
      <c r="CL179" s="63">
        <v>1352.0</v>
      </c>
      <c r="CM179" s="65">
        <v>308.0</v>
      </c>
      <c r="CN179" s="106"/>
      <c r="CO179" s="66">
        <v>34.2</v>
      </c>
      <c r="CP179" s="90">
        <f>+13.7</f>
        <v>13.7</v>
      </c>
      <c r="CQ179" s="63">
        <v>42.0</v>
      </c>
      <c r="CR179" s="63">
        <v>25.0</v>
      </c>
      <c r="CS179" s="63">
        <v>46.0</v>
      </c>
      <c r="CT179" s="68"/>
      <c r="CU179" s="69"/>
      <c r="CV179" s="70"/>
      <c r="CW179" s="71">
        <v>7.0</v>
      </c>
      <c r="CX179" s="71" t="s">
        <v>201</v>
      </c>
      <c r="CY179" s="71" t="s">
        <v>202</v>
      </c>
      <c r="CZ179" s="107" t="s">
        <v>124</v>
      </c>
      <c r="DA179" s="44">
        <v>2100.0</v>
      </c>
      <c r="DB179" s="44">
        <v>0.0</v>
      </c>
      <c r="DC179" s="46" t="s">
        <v>127</v>
      </c>
      <c r="DD179" s="47">
        <v>46240.0</v>
      </c>
      <c r="DE179" s="43"/>
      <c r="DF179" s="43"/>
      <c r="DG179" s="48" t="s">
        <v>128</v>
      </c>
      <c r="DH179" s="48" t="s">
        <v>128</v>
      </c>
      <c r="DI179" s="48" t="s">
        <v>128</v>
      </c>
      <c r="DJ179" s="49">
        <v>1.0</v>
      </c>
      <c r="DK179" s="48" t="b">
        <v>0</v>
      </c>
      <c r="DL179" s="50" t="s">
        <v>522</v>
      </c>
      <c r="DM179" s="50" t="s">
        <v>131</v>
      </c>
      <c r="DN179" s="50" t="s">
        <v>523</v>
      </c>
      <c r="DO179" s="48" t="e">
        <v>#N/A</v>
      </c>
      <c r="DP179" s="48" t="s">
        <v>128</v>
      </c>
      <c r="DQ179" s="48" t="s">
        <v>128</v>
      </c>
      <c r="DR179" s="51"/>
      <c r="DS179" s="48" t="s">
        <v>134</v>
      </c>
    </row>
    <row r="180">
      <c r="A180" s="23" t="s">
        <v>118</v>
      </c>
      <c r="B180" s="24">
        <v>3.0</v>
      </c>
      <c r="C180" s="23" t="s">
        <v>119</v>
      </c>
      <c r="D180" s="24">
        <v>640888.0</v>
      </c>
      <c r="E180" s="23" t="s">
        <v>161</v>
      </c>
      <c r="F180" s="23" t="s">
        <v>558</v>
      </c>
      <c r="G180" s="23" t="s">
        <v>559</v>
      </c>
      <c r="H180" s="24">
        <v>96729.0</v>
      </c>
      <c r="I180" s="24">
        <v>6.0</v>
      </c>
      <c r="J180" s="24">
        <v>0.0</v>
      </c>
      <c r="K180" s="24">
        <v>0.0</v>
      </c>
      <c r="L180" s="24">
        <v>0.0</v>
      </c>
      <c r="M180" s="24">
        <v>0.0</v>
      </c>
      <c r="N180" s="24">
        <v>0.0</v>
      </c>
      <c r="O180" s="24">
        <v>0.0</v>
      </c>
      <c r="P180" s="24">
        <v>0.0</v>
      </c>
      <c r="Q180" s="24">
        <v>0.0</v>
      </c>
      <c r="R180" s="24">
        <v>0.0</v>
      </c>
      <c r="S180" s="24">
        <v>0.0</v>
      </c>
      <c r="T180" s="24">
        <v>0.0</v>
      </c>
      <c r="U180" s="24">
        <v>0.0</v>
      </c>
      <c r="V180" s="24">
        <v>0.0</v>
      </c>
      <c r="W180" s="24">
        <v>0.0</v>
      </c>
      <c r="X180" s="24">
        <v>0.0</v>
      </c>
      <c r="Y180" s="24">
        <v>0.0</v>
      </c>
      <c r="Z180" s="24">
        <v>0.0</v>
      </c>
      <c r="AA180" s="24">
        <v>0.0</v>
      </c>
      <c r="AB180" s="24">
        <v>0.0</v>
      </c>
      <c r="AC180" s="24">
        <v>0.0</v>
      </c>
      <c r="AD180" s="24">
        <v>2.0</v>
      </c>
      <c r="AE180" s="24">
        <v>1.0</v>
      </c>
      <c r="AF180" s="24">
        <v>1.0</v>
      </c>
      <c r="AG180" s="24">
        <v>1.0</v>
      </c>
      <c r="AH180" s="24">
        <v>1.0</v>
      </c>
      <c r="AI180" s="24">
        <v>0.0</v>
      </c>
      <c r="AJ180" s="24">
        <v>0.0</v>
      </c>
      <c r="AK180" s="24">
        <v>0.0</v>
      </c>
      <c r="AL180" s="24">
        <v>0.0</v>
      </c>
      <c r="AM180" s="24">
        <v>0.0</v>
      </c>
      <c r="AN180" s="24">
        <v>0.0</v>
      </c>
      <c r="AO180" s="25">
        <v>18.6</v>
      </c>
      <c r="AP180" s="26"/>
      <c r="AQ180" s="26"/>
      <c r="AR180" s="26"/>
      <c r="AS180" s="26"/>
      <c r="AT180" s="26"/>
      <c r="AU180" s="26"/>
      <c r="AV180" s="26"/>
      <c r="AW180" s="26"/>
      <c r="AX180" s="26"/>
      <c r="AY180" s="26"/>
      <c r="AZ180" s="26"/>
      <c r="BA180" s="26"/>
      <c r="BB180" s="26"/>
      <c r="BC180" s="26"/>
      <c r="BD180" s="26"/>
      <c r="BE180" s="26"/>
      <c r="BF180" s="26"/>
      <c r="BG180" s="26"/>
      <c r="BH180" s="26"/>
      <c r="BI180" s="26"/>
      <c r="BJ180" s="24">
        <v>20.34</v>
      </c>
      <c r="BK180" s="24">
        <v>17.93</v>
      </c>
      <c r="BL180" s="24">
        <v>20.55</v>
      </c>
      <c r="BM180" s="24">
        <v>10.83</v>
      </c>
      <c r="BN180" s="24">
        <v>21.43</v>
      </c>
      <c r="BO180" s="26"/>
      <c r="BP180" s="24">
        <v>2.68</v>
      </c>
      <c r="BQ180" s="24">
        <v>3.73</v>
      </c>
      <c r="BR180" s="24">
        <v>6.2</v>
      </c>
      <c r="BS180" s="25">
        <v>5.06</v>
      </c>
      <c r="BT180" s="77">
        <v>10.8</v>
      </c>
      <c r="BU180" s="57">
        <v>2.1</v>
      </c>
      <c r="BV180" s="57">
        <v>3.65</v>
      </c>
      <c r="BW180" s="24">
        <v>2000.0</v>
      </c>
      <c r="BX180" s="24">
        <v>2100.0</v>
      </c>
      <c r="BY180" s="24" t="s">
        <v>123</v>
      </c>
      <c r="BZ180" s="28">
        <v>1800.0</v>
      </c>
      <c r="CA180" s="29" t="s">
        <v>124</v>
      </c>
      <c r="CB180" s="30">
        <v>2100.0</v>
      </c>
      <c r="CC180" s="31"/>
      <c r="CD180" s="28">
        <v>2100.0</v>
      </c>
      <c r="CE180" s="32" t="e">
        <v>#REF!</v>
      </c>
      <c r="CF180" s="33"/>
      <c r="CG180" s="34">
        <v>0.0</v>
      </c>
      <c r="CH180" s="35">
        <v>0.0</v>
      </c>
      <c r="CI180" s="36">
        <v>6.0</v>
      </c>
      <c r="CJ180" s="36">
        <v>1366.0</v>
      </c>
      <c r="CK180" s="37">
        <v>-14.0</v>
      </c>
      <c r="CL180" s="36">
        <v>1352.0</v>
      </c>
      <c r="CM180" s="38">
        <v>112.0</v>
      </c>
      <c r="CN180" s="36">
        <v>0.0</v>
      </c>
      <c r="CO180" s="39">
        <v>18.6</v>
      </c>
      <c r="CP180" s="40">
        <v>0.0</v>
      </c>
      <c r="CQ180" s="36">
        <v>16.0</v>
      </c>
      <c r="CR180" s="36">
        <v>16.0</v>
      </c>
      <c r="CS180" s="36">
        <v>30.0</v>
      </c>
      <c r="CT180" s="41"/>
      <c r="CU180" s="42"/>
      <c r="CV180" s="43"/>
      <c r="CW180" s="44">
        <v>7.0</v>
      </c>
      <c r="CX180" s="44" t="s">
        <v>201</v>
      </c>
      <c r="CY180" s="44" t="s">
        <v>202</v>
      </c>
      <c r="CZ180" s="45"/>
      <c r="DA180" s="44">
        <v>2100.0</v>
      </c>
      <c r="DB180" s="44">
        <v>0.0</v>
      </c>
      <c r="DC180" s="43"/>
      <c r="DD180" s="78"/>
      <c r="DE180" s="43"/>
      <c r="DF180" s="43"/>
      <c r="DG180" s="48" t="s">
        <v>128</v>
      </c>
      <c r="DH180" s="48" t="s">
        <v>128</v>
      </c>
      <c r="DI180" s="48" t="s">
        <v>128</v>
      </c>
      <c r="DJ180" s="49">
        <v>0.0</v>
      </c>
      <c r="DK180" s="48" t="b">
        <v>0</v>
      </c>
      <c r="DL180" s="50" t="s">
        <v>522</v>
      </c>
      <c r="DM180" s="50" t="s">
        <v>131</v>
      </c>
      <c r="DN180" s="50" t="s">
        <v>523</v>
      </c>
      <c r="DO180" s="48" t="e">
        <v>#N/A</v>
      </c>
      <c r="DP180" s="48" t="s">
        <v>128</v>
      </c>
      <c r="DQ180" s="48" t="s">
        <v>128</v>
      </c>
      <c r="DR180" s="48" t="s">
        <v>526</v>
      </c>
      <c r="DS180" s="48" t="s">
        <v>134</v>
      </c>
    </row>
    <row r="181">
      <c r="A181" s="52" t="s">
        <v>118</v>
      </c>
      <c r="B181" s="53">
        <v>3.0</v>
      </c>
      <c r="C181" s="52" t="s">
        <v>119</v>
      </c>
      <c r="D181" s="53">
        <v>639495.0</v>
      </c>
      <c r="E181" s="52" t="s">
        <v>155</v>
      </c>
      <c r="F181" s="52" t="s">
        <v>560</v>
      </c>
      <c r="G181" s="52" t="s">
        <v>561</v>
      </c>
      <c r="H181" s="53">
        <v>96729.0</v>
      </c>
      <c r="I181" s="53">
        <v>21.0</v>
      </c>
      <c r="J181" s="53">
        <v>0.0</v>
      </c>
      <c r="K181" s="53">
        <v>0.0</v>
      </c>
      <c r="L181" s="53">
        <v>0.0</v>
      </c>
      <c r="M181" s="53">
        <v>0.0</v>
      </c>
      <c r="N181" s="53">
        <v>0.0</v>
      </c>
      <c r="O181" s="53">
        <v>0.0</v>
      </c>
      <c r="P181" s="53">
        <v>0.0</v>
      </c>
      <c r="Q181" s="53">
        <v>1.0</v>
      </c>
      <c r="R181" s="53">
        <v>0.0</v>
      </c>
      <c r="S181" s="53">
        <v>0.0</v>
      </c>
      <c r="T181" s="53">
        <v>0.0</v>
      </c>
      <c r="U181" s="53">
        <v>0.0</v>
      </c>
      <c r="V181" s="53">
        <v>3.0</v>
      </c>
      <c r="W181" s="53">
        <v>1.0</v>
      </c>
      <c r="X181" s="53">
        <v>1.0</v>
      </c>
      <c r="Y181" s="53">
        <v>2.0</v>
      </c>
      <c r="Z181" s="53">
        <v>4.0</v>
      </c>
      <c r="AA181" s="53">
        <v>3.0</v>
      </c>
      <c r="AB181" s="53">
        <v>1.0</v>
      </c>
      <c r="AC181" s="53">
        <v>3.0</v>
      </c>
      <c r="AD181" s="53">
        <v>1.0</v>
      </c>
      <c r="AE181" s="53">
        <v>1.0</v>
      </c>
      <c r="AF181" s="53">
        <v>0.0</v>
      </c>
      <c r="AG181" s="53">
        <v>0.0</v>
      </c>
      <c r="AH181" s="53">
        <v>0.0</v>
      </c>
      <c r="AI181" s="53">
        <v>0.0</v>
      </c>
      <c r="AJ181" s="53">
        <v>0.0</v>
      </c>
      <c r="AK181" s="53">
        <v>0.0</v>
      </c>
      <c r="AL181" s="53">
        <v>0.0</v>
      </c>
      <c r="AM181" s="53">
        <v>0.0</v>
      </c>
      <c r="AN181" s="53">
        <v>0.0</v>
      </c>
      <c r="AO181" s="25">
        <v>19.6</v>
      </c>
      <c r="AP181" s="54"/>
      <c r="AQ181" s="54"/>
      <c r="AR181" s="54"/>
      <c r="AS181" s="54"/>
      <c r="AT181" s="54"/>
      <c r="AU181" s="54"/>
      <c r="AV181" s="54"/>
      <c r="AW181" s="53">
        <v>11.13</v>
      </c>
      <c r="AX181" s="54"/>
      <c r="AY181" s="54"/>
      <c r="AZ181" s="54"/>
      <c r="BA181" s="54"/>
      <c r="BB181" s="53">
        <v>18.27</v>
      </c>
      <c r="BC181" s="53">
        <v>25.15</v>
      </c>
      <c r="BD181" s="53">
        <v>19.12</v>
      </c>
      <c r="BE181" s="53">
        <v>24.28</v>
      </c>
      <c r="BF181" s="53">
        <v>17.0</v>
      </c>
      <c r="BG181" s="53">
        <v>23.03</v>
      </c>
      <c r="BH181" s="53">
        <v>16.8</v>
      </c>
      <c r="BI181" s="53">
        <v>22.06</v>
      </c>
      <c r="BJ181" s="53">
        <v>14.47</v>
      </c>
      <c r="BK181" s="53">
        <v>19.03</v>
      </c>
      <c r="BL181" s="54"/>
      <c r="BM181" s="54"/>
      <c r="BN181" s="54"/>
      <c r="BO181" s="54"/>
      <c r="BP181" s="53">
        <v>1.95</v>
      </c>
      <c r="BQ181" s="53">
        <v>5.12</v>
      </c>
      <c r="BR181" s="53">
        <v>6.87</v>
      </c>
      <c r="BS181" s="25">
        <v>4.64</v>
      </c>
      <c r="BT181" s="56">
        <v>18.4</v>
      </c>
      <c r="BU181" s="25">
        <v>4.8</v>
      </c>
      <c r="BV181" s="55">
        <v>6.55</v>
      </c>
      <c r="BW181" s="53">
        <v>1200.0</v>
      </c>
      <c r="BX181" s="53">
        <v>2100.0</v>
      </c>
      <c r="BY181" s="53" t="s">
        <v>123</v>
      </c>
      <c r="BZ181" s="58">
        <v>1800.0</v>
      </c>
      <c r="CA181" s="29" t="s">
        <v>124</v>
      </c>
      <c r="CB181" s="30">
        <v>2400.0</v>
      </c>
      <c r="CC181" s="31"/>
      <c r="CD181" s="58">
        <v>2400.0</v>
      </c>
      <c r="CE181" s="59" t="e">
        <v>#REF!</v>
      </c>
      <c r="CF181" s="79">
        <f t="shared" ref="CF181:CF183" si="8">+300</f>
        <v>300</v>
      </c>
      <c r="CG181" s="80">
        <f>+3</f>
        <v>3</v>
      </c>
      <c r="CH181" s="62">
        <v>0.14</v>
      </c>
      <c r="CI181" s="63">
        <v>24.0</v>
      </c>
      <c r="CJ181" s="63">
        <v>1366.0</v>
      </c>
      <c r="CK181" s="64">
        <v>-14.0</v>
      </c>
      <c r="CL181" s="63">
        <v>1352.0</v>
      </c>
      <c r="CM181" s="65">
        <v>412.0</v>
      </c>
      <c r="CN181" s="63">
        <v>-78.0</v>
      </c>
      <c r="CO181" s="66">
        <v>20.4</v>
      </c>
      <c r="CP181" s="67">
        <v>0.8</v>
      </c>
      <c r="CQ181" s="63">
        <v>41.0</v>
      </c>
      <c r="CR181" s="63">
        <v>47.0</v>
      </c>
      <c r="CS181" s="63">
        <v>111.0</v>
      </c>
      <c r="CT181" s="68"/>
      <c r="CU181" s="69"/>
      <c r="CV181" s="70"/>
      <c r="CW181" s="71">
        <v>8.0</v>
      </c>
      <c r="CX181" s="71" t="s">
        <v>125</v>
      </c>
      <c r="CY181" s="71" t="s">
        <v>126</v>
      </c>
      <c r="CZ181" s="76" t="s">
        <v>151</v>
      </c>
      <c r="DA181" s="44">
        <v>2400.0</v>
      </c>
      <c r="DB181" s="44">
        <v>0.0</v>
      </c>
      <c r="DC181" s="43"/>
      <c r="DD181" s="78"/>
      <c r="DE181" s="43"/>
      <c r="DF181" s="43"/>
      <c r="DG181" s="48" t="s">
        <v>128</v>
      </c>
      <c r="DH181" s="48" t="s">
        <v>128</v>
      </c>
      <c r="DI181" s="48" t="s">
        <v>128</v>
      </c>
      <c r="DJ181" s="49">
        <v>1.0</v>
      </c>
      <c r="DK181" s="48" t="b">
        <v>0</v>
      </c>
      <c r="DL181" s="50" t="s">
        <v>522</v>
      </c>
      <c r="DM181" s="50" t="s">
        <v>131</v>
      </c>
      <c r="DN181" s="50" t="s">
        <v>523</v>
      </c>
      <c r="DO181" s="48" t="e">
        <v>#N/A</v>
      </c>
      <c r="DP181" s="48" t="s">
        <v>128</v>
      </c>
      <c r="DQ181" s="48" t="s">
        <v>128</v>
      </c>
      <c r="DR181" s="51"/>
      <c r="DS181" s="48" t="s">
        <v>134</v>
      </c>
    </row>
    <row r="182">
      <c r="A182" s="23" t="s">
        <v>118</v>
      </c>
      <c r="B182" s="24">
        <v>3.0</v>
      </c>
      <c r="C182" s="23" t="s">
        <v>119</v>
      </c>
      <c r="D182" s="24">
        <v>648801.0</v>
      </c>
      <c r="E182" s="23" t="s">
        <v>198</v>
      </c>
      <c r="F182" s="23" t="s">
        <v>562</v>
      </c>
      <c r="G182" s="23" t="s">
        <v>563</v>
      </c>
      <c r="H182" s="24">
        <v>96729.0</v>
      </c>
      <c r="I182" s="24">
        <v>11.0</v>
      </c>
      <c r="J182" s="24">
        <v>0.0</v>
      </c>
      <c r="K182" s="24">
        <v>0.0</v>
      </c>
      <c r="L182" s="24">
        <v>0.0</v>
      </c>
      <c r="M182" s="24">
        <v>0.0</v>
      </c>
      <c r="N182" s="24">
        <v>0.0</v>
      </c>
      <c r="O182" s="24">
        <v>0.0</v>
      </c>
      <c r="P182" s="24">
        <v>1.0</v>
      </c>
      <c r="Q182" s="24">
        <v>1.0</v>
      </c>
      <c r="R182" s="24">
        <v>0.0</v>
      </c>
      <c r="S182" s="24">
        <v>0.0</v>
      </c>
      <c r="T182" s="24">
        <v>0.0</v>
      </c>
      <c r="U182" s="24">
        <v>0.0</v>
      </c>
      <c r="V182" s="24">
        <v>1.0</v>
      </c>
      <c r="W182" s="24">
        <v>0.0</v>
      </c>
      <c r="X182" s="24">
        <v>3.0</v>
      </c>
      <c r="Y182" s="24">
        <v>1.0</v>
      </c>
      <c r="Z182" s="24">
        <v>0.0</v>
      </c>
      <c r="AA182" s="24">
        <v>1.0</v>
      </c>
      <c r="AB182" s="24">
        <v>1.0</v>
      </c>
      <c r="AC182" s="24">
        <v>0.0</v>
      </c>
      <c r="AD182" s="24">
        <v>0.0</v>
      </c>
      <c r="AE182" s="24">
        <v>0.0</v>
      </c>
      <c r="AF182" s="24">
        <v>1.0</v>
      </c>
      <c r="AG182" s="24">
        <v>1.0</v>
      </c>
      <c r="AH182" s="24">
        <v>0.0</v>
      </c>
      <c r="AI182" s="24">
        <v>0.0</v>
      </c>
      <c r="AJ182" s="24">
        <v>0.0</v>
      </c>
      <c r="AK182" s="24">
        <v>0.0</v>
      </c>
      <c r="AL182" s="24">
        <v>0.0</v>
      </c>
      <c r="AM182" s="24">
        <v>0.0</v>
      </c>
      <c r="AN182" s="24">
        <v>0.0</v>
      </c>
      <c r="AO182" s="25">
        <v>18.3</v>
      </c>
      <c r="AP182" s="26"/>
      <c r="AQ182" s="26"/>
      <c r="AR182" s="26"/>
      <c r="AS182" s="26"/>
      <c r="AT182" s="26"/>
      <c r="AU182" s="26"/>
      <c r="AV182" s="24">
        <v>18.48</v>
      </c>
      <c r="AW182" s="24">
        <v>15.07</v>
      </c>
      <c r="AX182" s="26"/>
      <c r="AY182" s="26"/>
      <c r="AZ182" s="26"/>
      <c r="BA182" s="26"/>
      <c r="BB182" s="24">
        <v>19.58</v>
      </c>
      <c r="BC182" s="26"/>
      <c r="BD182" s="24">
        <v>16.01</v>
      </c>
      <c r="BE182" s="24">
        <v>23.22</v>
      </c>
      <c r="BF182" s="26"/>
      <c r="BG182" s="24">
        <v>25.65</v>
      </c>
      <c r="BH182" s="24">
        <v>14.87</v>
      </c>
      <c r="BI182" s="26"/>
      <c r="BJ182" s="26"/>
      <c r="BK182" s="26"/>
      <c r="BL182" s="24">
        <v>20.68</v>
      </c>
      <c r="BM182" s="24">
        <v>15.8</v>
      </c>
      <c r="BN182" s="26"/>
      <c r="BO182" s="26"/>
      <c r="BP182" s="24">
        <v>1.53</v>
      </c>
      <c r="BQ182" s="24">
        <v>5.5</v>
      </c>
      <c r="BR182" s="24">
        <v>6.83</v>
      </c>
      <c r="BS182" s="25">
        <v>4.59</v>
      </c>
      <c r="BT182" s="56">
        <v>19.0</v>
      </c>
      <c r="BU182" s="25">
        <v>5.0</v>
      </c>
      <c r="BV182" s="55">
        <v>6.28</v>
      </c>
      <c r="BW182" s="26"/>
      <c r="BX182" s="24">
        <v>2100.0</v>
      </c>
      <c r="BY182" s="24" t="s">
        <v>123</v>
      </c>
      <c r="BZ182" s="28">
        <v>1800.0</v>
      </c>
      <c r="CA182" s="29" t="s">
        <v>124</v>
      </c>
      <c r="CB182" s="30">
        <v>2400.0</v>
      </c>
      <c r="CC182" s="31"/>
      <c r="CD182" s="28">
        <v>2400.0</v>
      </c>
      <c r="CE182" s="32" t="e">
        <v>#REF!</v>
      </c>
      <c r="CF182" s="73">
        <f t="shared" si="8"/>
        <v>300</v>
      </c>
      <c r="CG182" s="74">
        <f>+2</f>
        <v>2</v>
      </c>
      <c r="CH182" s="35">
        <v>0.18</v>
      </c>
      <c r="CI182" s="36">
        <v>13.0</v>
      </c>
      <c r="CJ182" s="36">
        <v>1366.0</v>
      </c>
      <c r="CK182" s="37">
        <v>-14.0</v>
      </c>
      <c r="CL182" s="36">
        <v>1352.0</v>
      </c>
      <c r="CM182" s="38">
        <v>201.0</v>
      </c>
      <c r="CN182" s="36">
        <v>-43.0</v>
      </c>
      <c r="CO182" s="39">
        <v>18.8</v>
      </c>
      <c r="CP182" s="40">
        <v>0.5</v>
      </c>
      <c r="CQ182" s="36">
        <v>17.0</v>
      </c>
      <c r="CR182" s="36">
        <v>20.0</v>
      </c>
      <c r="CS182" s="36">
        <v>60.0</v>
      </c>
      <c r="CT182" s="41"/>
      <c r="CU182" s="42"/>
      <c r="CV182" s="43"/>
      <c r="CW182" s="44">
        <v>8.0</v>
      </c>
      <c r="CX182" s="44" t="s">
        <v>125</v>
      </c>
      <c r="CY182" s="44" t="s">
        <v>126</v>
      </c>
      <c r="CZ182" s="76" t="s">
        <v>151</v>
      </c>
      <c r="DA182" s="44">
        <v>2400.0</v>
      </c>
      <c r="DB182" s="44">
        <v>0.0</v>
      </c>
      <c r="DC182" s="46" t="s">
        <v>127</v>
      </c>
      <c r="DD182" s="47">
        <v>46240.0</v>
      </c>
      <c r="DE182" s="43"/>
      <c r="DF182" s="43"/>
      <c r="DG182" s="48" t="s">
        <v>128</v>
      </c>
      <c r="DH182" s="48" t="s">
        <v>128</v>
      </c>
      <c r="DI182" s="48" t="s">
        <v>128</v>
      </c>
      <c r="DJ182" s="49">
        <v>1.0</v>
      </c>
      <c r="DK182" s="48" t="b">
        <v>0</v>
      </c>
      <c r="DL182" s="50" t="s">
        <v>522</v>
      </c>
      <c r="DM182" s="50" t="s">
        <v>131</v>
      </c>
      <c r="DN182" s="50" t="s">
        <v>523</v>
      </c>
      <c r="DO182" s="48" t="e">
        <v>#N/A</v>
      </c>
      <c r="DP182" s="48" t="s">
        <v>128</v>
      </c>
      <c r="DQ182" s="48" t="s">
        <v>128</v>
      </c>
      <c r="DR182" s="51"/>
      <c r="DS182" s="48" t="s">
        <v>134</v>
      </c>
    </row>
    <row r="183">
      <c r="A183" s="52" t="s">
        <v>118</v>
      </c>
      <c r="B183" s="53">
        <v>3.0</v>
      </c>
      <c r="C183" s="52" t="s">
        <v>119</v>
      </c>
      <c r="D183" s="53">
        <v>680603.0</v>
      </c>
      <c r="E183" s="52" t="s">
        <v>182</v>
      </c>
      <c r="F183" s="52" t="s">
        <v>564</v>
      </c>
      <c r="G183" s="52" t="s">
        <v>565</v>
      </c>
      <c r="H183" s="53">
        <v>96729.0</v>
      </c>
      <c r="I183" s="53">
        <v>2.0</v>
      </c>
      <c r="J183" s="53">
        <v>0.0</v>
      </c>
      <c r="K183" s="53">
        <v>1.0</v>
      </c>
      <c r="L183" s="53">
        <v>0.0</v>
      </c>
      <c r="M183" s="53">
        <v>0.0</v>
      </c>
      <c r="N183" s="53">
        <v>0.0</v>
      </c>
      <c r="O183" s="53">
        <v>0.0</v>
      </c>
      <c r="P183" s="53">
        <v>0.0</v>
      </c>
      <c r="Q183" s="53">
        <v>0.0</v>
      </c>
      <c r="R183" s="53">
        <v>0.0</v>
      </c>
      <c r="S183" s="53">
        <v>0.0</v>
      </c>
      <c r="T183" s="53">
        <v>0.0</v>
      </c>
      <c r="U183" s="53">
        <v>0.0</v>
      </c>
      <c r="V183" s="53">
        <v>0.0</v>
      </c>
      <c r="W183" s="53">
        <v>0.0</v>
      </c>
      <c r="X183" s="53">
        <v>0.0</v>
      </c>
      <c r="Y183" s="53">
        <v>0.0</v>
      </c>
      <c r="Z183" s="53">
        <v>0.0</v>
      </c>
      <c r="AA183" s="53">
        <v>0.0</v>
      </c>
      <c r="AB183" s="53">
        <v>0.0</v>
      </c>
      <c r="AC183" s="53">
        <v>0.0</v>
      </c>
      <c r="AD183" s="53">
        <v>1.0</v>
      </c>
      <c r="AE183" s="53">
        <v>0.0</v>
      </c>
      <c r="AF183" s="53">
        <v>0.0</v>
      </c>
      <c r="AG183" s="53">
        <v>0.0</v>
      </c>
      <c r="AH183" s="53">
        <v>0.0</v>
      </c>
      <c r="AI183" s="53">
        <v>0.0</v>
      </c>
      <c r="AJ183" s="53">
        <v>0.0</v>
      </c>
      <c r="AK183" s="53">
        <v>0.0</v>
      </c>
      <c r="AL183" s="53">
        <v>0.0</v>
      </c>
      <c r="AM183" s="53">
        <v>0.0</v>
      </c>
      <c r="AN183" s="53">
        <v>0.0</v>
      </c>
      <c r="AO183" s="55">
        <v>15.5</v>
      </c>
      <c r="AP183" s="54"/>
      <c r="AQ183" s="53">
        <v>13.57</v>
      </c>
      <c r="AR183" s="54"/>
      <c r="AS183" s="54"/>
      <c r="AT183" s="54"/>
      <c r="AU183" s="54"/>
      <c r="AV183" s="54"/>
      <c r="AW183" s="54"/>
      <c r="AX183" s="54"/>
      <c r="AY183" s="54"/>
      <c r="AZ183" s="54"/>
      <c r="BA183" s="54"/>
      <c r="BB183" s="54"/>
      <c r="BC183" s="54"/>
      <c r="BD183" s="54"/>
      <c r="BE183" s="54"/>
      <c r="BF183" s="54"/>
      <c r="BG183" s="54"/>
      <c r="BH183" s="54"/>
      <c r="BI183" s="54"/>
      <c r="BJ183" s="53">
        <v>17.52</v>
      </c>
      <c r="BK183" s="54"/>
      <c r="BL183" s="54"/>
      <c r="BM183" s="54"/>
      <c r="BN183" s="54"/>
      <c r="BO183" s="54"/>
      <c r="BP183" s="53">
        <v>5.11</v>
      </c>
      <c r="BQ183" s="53">
        <v>3.57</v>
      </c>
      <c r="BR183" s="53">
        <v>8.44</v>
      </c>
      <c r="BS183" s="55">
        <v>3.16</v>
      </c>
      <c r="BT183" s="56">
        <v>17.5</v>
      </c>
      <c r="BU183" s="57">
        <v>2.8</v>
      </c>
      <c r="BV183" s="57">
        <v>5.75</v>
      </c>
      <c r="BW183" s="54"/>
      <c r="BX183" s="53">
        <v>2100.0</v>
      </c>
      <c r="BY183" s="53" t="s">
        <v>123</v>
      </c>
      <c r="BZ183" s="58">
        <v>2100.0</v>
      </c>
      <c r="CA183" s="72"/>
      <c r="CB183" s="30">
        <v>2400.0</v>
      </c>
      <c r="CC183" s="31"/>
      <c r="CD183" s="58">
        <v>2400.0</v>
      </c>
      <c r="CE183" s="59" t="e">
        <v>#REF!</v>
      </c>
      <c r="CF183" s="79">
        <f t="shared" si="8"/>
        <v>300</v>
      </c>
      <c r="CG183" s="80">
        <f>+1</f>
        <v>1</v>
      </c>
      <c r="CH183" s="62">
        <v>0.5</v>
      </c>
      <c r="CI183" s="63">
        <v>3.0</v>
      </c>
      <c r="CJ183" s="63">
        <v>1366.0</v>
      </c>
      <c r="CK183" s="64">
        <v>-14.0</v>
      </c>
      <c r="CL183" s="63">
        <v>1352.0</v>
      </c>
      <c r="CM183" s="65">
        <v>31.0</v>
      </c>
      <c r="CN183" s="63">
        <v>-7.0</v>
      </c>
      <c r="CO183" s="66">
        <v>12.7</v>
      </c>
      <c r="CP183" s="67">
        <v>-2.8</v>
      </c>
      <c r="CQ183" s="63">
        <v>10.0</v>
      </c>
      <c r="CR183" s="63">
        <v>15.0</v>
      </c>
      <c r="CS183" s="63">
        <v>9.0</v>
      </c>
      <c r="CT183" s="68"/>
      <c r="CU183" s="69"/>
      <c r="CV183" s="70"/>
      <c r="CW183" s="71">
        <v>8.0</v>
      </c>
      <c r="CX183" s="71" t="s">
        <v>125</v>
      </c>
      <c r="CY183" s="71" t="s">
        <v>126</v>
      </c>
      <c r="CZ183" s="76" t="s">
        <v>151</v>
      </c>
      <c r="DA183" s="44">
        <v>2400.0</v>
      </c>
      <c r="DB183" s="44">
        <v>0.0</v>
      </c>
      <c r="DC183" s="46" t="s">
        <v>127</v>
      </c>
      <c r="DD183" s="47">
        <v>46245.0</v>
      </c>
      <c r="DE183" s="43"/>
      <c r="DF183" s="43"/>
      <c r="DG183" s="48" t="s">
        <v>128</v>
      </c>
      <c r="DH183" s="48" t="s">
        <v>128</v>
      </c>
      <c r="DI183" s="48" t="s">
        <v>128</v>
      </c>
      <c r="DJ183" s="49">
        <v>1.0</v>
      </c>
      <c r="DK183" s="48" t="b">
        <v>0</v>
      </c>
      <c r="DL183" s="50" t="s">
        <v>522</v>
      </c>
      <c r="DM183" s="50" t="s">
        <v>131</v>
      </c>
      <c r="DN183" s="50" t="s">
        <v>523</v>
      </c>
      <c r="DO183" s="48" t="e">
        <v>#N/A</v>
      </c>
      <c r="DP183" s="48" t="s">
        <v>128</v>
      </c>
      <c r="DQ183" s="48" t="s">
        <v>128</v>
      </c>
      <c r="DR183" s="51"/>
      <c r="DS183" s="48" t="s">
        <v>134</v>
      </c>
    </row>
    <row r="184">
      <c r="A184" s="23" t="s">
        <v>118</v>
      </c>
      <c r="B184" s="24">
        <v>3.0</v>
      </c>
      <c r="C184" s="23" t="s">
        <v>119</v>
      </c>
      <c r="D184" s="24">
        <v>536832.0</v>
      </c>
      <c r="E184" s="23" t="s">
        <v>158</v>
      </c>
      <c r="F184" s="23" t="s">
        <v>566</v>
      </c>
      <c r="G184" s="23" t="s">
        <v>567</v>
      </c>
      <c r="H184" s="24">
        <v>96729.0</v>
      </c>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7"/>
      <c r="BU184" s="26"/>
      <c r="BV184" s="26"/>
      <c r="BW184" s="26"/>
      <c r="BX184" s="24">
        <v>2400.0</v>
      </c>
      <c r="BY184" s="24" t="s">
        <v>123</v>
      </c>
      <c r="BZ184" s="28">
        <v>2400.0</v>
      </c>
      <c r="CA184" s="72"/>
      <c r="CB184" s="82"/>
      <c r="CC184" s="31"/>
      <c r="CD184" s="28">
        <v>2400.0</v>
      </c>
      <c r="CE184" s="88" t="s">
        <v>185</v>
      </c>
      <c r="CF184" s="33"/>
      <c r="CG184" s="34">
        <v>0.0</v>
      </c>
      <c r="CH184" s="89"/>
      <c r="CI184" s="36">
        <v>0.0</v>
      </c>
      <c r="CJ184" s="36">
        <v>1366.0</v>
      </c>
      <c r="CK184" s="37">
        <v>-14.0</v>
      </c>
      <c r="CL184" s="36">
        <v>1352.0</v>
      </c>
      <c r="CM184" s="38">
        <v>0.0</v>
      </c>
      <c r="CN184" s="36">
        <v>0.0</v>
      </c>
      <c r="CO184" s="39">
        <v>0.0</v>
      </c>
      <c r="CP184" s="40">
        <v>0.0</v>
      </c>
      <c r="CQ184" s="36">
        <v>0.0</v>
      </c>
      <c r="CR184" s="36">
        <v>0.0</v>
      </c>
      <c r="CS184" s="36">
        <v>0.0</v>
      </c>
      <c r="CT184" s="41"/>
      <c r="CU184" s="42"/>
      <c r="CV184" s="43"/>
      <c r="CW184" s="44">
        <v>8.0</v>
      </c>
      <c r="CX184" s="44" t="s">
        <v>125</v>
      </c>
      <c r="CY184" s="44" t="s">
        <v>126</v>
      </c>
      <c r="CZ184" s="45"/>
      <c r="DA184" s="43"/>
      <c r="DB184" s="44">
        <v>0.0</v>
      </c>
      <c r="DC184" s="43"/>
      <c r="DD184" s="78"/>
      <c r="DE184" s="43"/>
      <c r="DF184" s="43"/>
      <c r="DG184" s="48" t="s">
        <v>128</v>
      </c>
      <c r="DH184" s="48" t="s">
        <v>128</v>
      </c>
      <c r="DI184" s="48" t="s">
        <v>196</v>
      </c>
      <c r="DJ184" s="49">
        <v>1.0</v>
      </c>
      <c r="DK184" s="48" t="b">
        <v>0</v>
      </c>
      <c r="DL184" s="50" t="s">
        <v>522</v>
      </c>
      <c r="DM184" s="50" t="s">
        <v>131</v>
      </c>
      <c r="DN184" s="50" t="s">
        <v>523</v>
      </c>
      <c r="DO184" s="48" t="e">
        <v>#N/A</v>
      </c>
      <c r="DP184" s="48" t="s">
        <v>245</v>
      </c>
      <c r="DQ184" s="48" t="s">
        <v>196</v>
      </c>
      <c r="DR184" s="51"/>
      <c r="DS184" s="48" t="s">
        <v>134</v>
      </c>
    </row>
    <row r="185">
      <c r="A185" s="52" t="s">
        <v>118</v>
      </c>
      <c r="B185" s="53">
        <v>3.0</v>
      </c>
      <c r="C185" s="52" t="s">
        <v>119</v>
      </c>
      <c r="D185" s="53">
        <v>648803.0</v>
      </c>
      <c r="E185" s="52" t="s">
        <v>189</v>
      </c>
      <c r="F185" s="52" t="s">
        <v>568</v>
      </c>
      <c r="G185" s="52" t="s">
        <v>569</v>
      </c>
      <c r="H185" s="53">
        <v>96729.0</v>
      </c>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81"/>
      <c r="BU185" s="54"/>
      <c r="BV185" s="54"/>
      <c r="BW185" s="54"/>
      <c r="BX185" s="53">
        <v>1500.0</v>
      </c>
      <c r="BY185" s="53" t="s">
        <v>123</v>
      </c>
      <c r="BZ185" s="58">
        <v>1500.0</v>
      </c>
      <c r="CA185" s="72"/>
      <c r="CB185" s="82"/>
      <c r="CC185" s="31"/>
      <c r="CD185" s="58">
        <v>1500.0</v>
      </c>
      <c r="CE185" s="83" t="s">
        <v>185</v>
      </c>
      <c r="CF185" s="60"/>
      <c r="CG185" s="61">
        <v>0.0</v>
      </c>
      <c r="CH185" s="84"/>
      <c r="CI185" s="63">
        <v>0.0</v>
      </c>
      <c r="CJ185" s="63">
        <v>1366.0</v>
      </c>
      <c r="CK185" s="64">
        <v>-14.0</v>
      </c>
      <c r="CL185" s="63">
        <v>1352.0</v>
      </c>
      <c r="CM185" s="65">
        <v>0.0</v>
      </c>
      <c r="CN185" s="63">
        <v>0.0</v>
      </c>
      <c r="CO185" s="66">
        <v>0.0</v>
      </c>
      <c r="CP185" s="67">
        <v>0.0</v>
      </c>
      <c r="CQ185" s="63">
        <v>0.0</v>
      </c>
      <c r="CR185" s="63">
        <v>0.0</v>
      </c>
      <c r="CS185" s="63">
        <v>0.0</v>
      </c>
      <c r="CT185" s="68"/>
      <c r="CU185" s="69"/>
      <c r="CV185" s="70"/>
      <c r="CW185" s="71">
        <v>5.0</v>
      </c>
      <c r="CX185" s="71" t="s">
        <v>450</v>
      </c>
      <c r="CY185" s="71" t="s">
        <v>451</v>
      </c>
      <c r="CZ185" s="45"/>
      <c r="DA185" s="43"/>
      <c r="DB185" s="44">
        <v>0.0</v>
      </c>
      <c r="DC185" s="43"/>
      <c r="DD185" s="78"/>
      <c r="DE185" s="43"/>
      <c r="DF185" s="43"/>
      <c r="DG185" s="48" t="s">
        <v>128</v>
      </c>
      <c r="DH185" s="48" t="s">
        <v>128</v>
      </c>
      <c r="DI185" s="85" t="str">
        <f>+ OFF 30 DIAS SIN VENTA</f>
        <v>#ERROR!</v>
      </c>
      <c r="DJ185" s="49">
        <v>0.0</v>
      </c>
      <c r="DK185" s="48" t="b">
        <v>0</v>
      </c>
      <c r="DL185" s="50" t="s">
        <v>522</v>
      </c>
      <c r="DM185" s="50" t="s">
        <v>131</v>
      </c>
      <c r="DN185" s="50" t="s">
        <v>523</v>
      </c>
      <c r="DO185" s="48" t="e">
        <v>#N/A</v>
      </c>
      <c r="DP185" s="48" t="s">
        <v>128</v>
      </c>
      <c r="DQ185" s="86" t="str">
        <f>+ OFF 30 DIAS SIN VENTA</f>
        <v>#ERROR!</v>
      </c>
      <c r="DR185" s="51"/>
      <c r="DS185" s="48" t="s">
        <v>134</v>
      </c>
    </row>
    <row r="186">
      <c r="A186" s="23" t="s">
        <v>118</v>
      </c>
      <c r="B186" s="24">
        <v>3.0</v>
      </c>
      <c r="C186" s="23" t="s">
        <v>119</v>
      </c>
      <c r="D186" s="24">
        <v>680588.0</v>
      </c>
      <c r="E186" s="23" t="s">
        <v>251</v>
      </c>
      <c r="F186" s="23" t="s">
        <v>570</v>
      </c>
      <c r="G186" s="23" t="s">
        <v>571</v>
      </c>
      <c r="H186" s="24">
        <v>96729.0</v>
      </c>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7"/>
      <c r="BU186" s="26"/>
      <c r="BV186" s="26"/>
      <c r="BW186" s="26"/>
      <c r="BX186" s="24">
        <v>2100.0</v>
      </c>
      <c r="BY186" s="24" t="s">
        <v>123</v>
      </c>
      <c r="BZ186" s="28">
        <v>2100.0</v>
      </c>
      <c r="CA186" s="72"/>
      <c r="CB186" s="82"/>
      <c r="CC186" s="31"/>
      <c r="CD186" s="28">
        <v>2100.0</v>
      </c>
      <c r="CE186" s="88" t="s">
        <v>185</v>
      </c>
      <c r="CF186" s="33"/>
      <c r="CG186" s="34">
        <v>0.0</v>
      </c>
      <c r="CH186" s="89"/>
      <c r="CI186" s="36">
        <v>0.0</v>
      </c>
      <c r="CJ186" s="36">
        <v>1366.0</v>
      </c>
      <c r="CK186" s="37">
        <v>-14.0</v>
      </c>
      <c r="CL186" s="36">
        <v>1352.0</v>
      </c>
      <c r="CM186" s="38">
        <v>0.0</v>
      </c>
      <c r="CN186" s="36">
        <v>0.0</v>
      </c>
      <c r="CO186" s="39">
        <v>0.0</v>
      </c>
      <c r="CP186" s="40">
        <v>0.0</v>
      </c>
      <c r="CQ186" s="36">
        <v>0.0</v>
      </c>
      <c r="CR186" s="36">
        <v>0.0</v>
      </c>
      <c r="CS186" s="36">
        <v>0.0</v>
      </c>
      <c r="CT186" s="41"/>
      <c r="CU186" s="42"/>
      <c r="CV186" s="43"/>
      <c r="CW186" s="44">
        <v>7.0</v>
      </c>
      <c r="CX186" s="44" t="s">
        <v>201</v>
      </c>
      <c r="CY186" s="44" t="s">
        <v>202</v>
      </c>
      <c r="CZ186" s="45"/>
      <c r="DA186" s="43"/>
      <c r="DB186" s="44">
        <v>0.0</v>
      </c>
      <c r="DC186" s="43"/>
      <c r="DD186" s="78"/>
      <c r="DE186" s="43"/>
      <c r="DF186" s="43"/>
      <c r="DG186" s="48" t="s">
        <v>128</v>
      </c>
      <c r="DH186" s="48" t="s">
        <v>128</v>
      </c>
      <c r="DI186" s="85" t="str">
        <f>+ OFF 30 DIAS SIN VENTA</f>
        <v>#ERROR!</v>
      </c>
      <c r="DJ186" s="49">
        <v>0.0</v>
      </c>
      <c r="DK186" s="48" t="b">
        <v>0</v>
      </c>
      <c r="DL186" s="50" t="s">
        <v>522</v>
      </c>
      <c r="DM186" s="50" t="s">
        <v>131</v>
      </c>
      <c r="DN186" s="50" t="s">
        <v>523</v>
      </c>
      <c r="DO186" s="48" t="e">
        <v>#N/A</v>
      </c>
      <c r="DP186" s="48" t="s">
        <v>128</v>
      </c>
      <c r="DQ186" s="86" t="str">
        <f>+ OFF 30 DIAS SIN VENTA</f>
        <v>#ERROR!</v>
      </c>
      <c r="DR186" s="51"/>
      <c r="DS186" s="48" t="s">
        <v>134</v>
      </c>
    </row>
    <row r="187">
      <c r="A187" s="52" t="s">
        <v>118</v>
      </c>
      <c r="B187" s="53">
        <v>3.0</v>
      </c>
      <c r="C187" s="52" t="s">
        <v>119</v>
      </c>
      <c r="D187" s="53">
        <v>669823.0</v>
      </c>
      <c r="E187" s="52" t="s">
        <v>214</v>
      </c>
      <c r="F187" s="52" t="s">
        <v>572</v>
      </c>
      <c r="G187" s="52" t="s">
        <v>573</v>
      </c>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81"/>
      <c r="BU187" s="54"/>
      <c r="BV187" s="54"/>
      <c r="BW187" s="54"/>
      <c r="BX187" s="53">
        <v>1.0</v>
      </c>
      <c r="BY187" s="53" t="s">
        <v>123</v>
      </c>
      <c r="BZ187" s="87">
        <v>1.0</v>
      </c>
      <c r="CA187" s="72"/>
      <c r="CB187" s="82"/>
      <c r="CC187" s="31"/>
      <c r="CD187" s="58">
        <v>1.0</v>
      </c>
      <c r="CE187" s="83" t="s">
        <v>185</v>
      </c>
      <c r="CF187" s="60"/>
      <c r="CG187" s="61">
        <v>0.0</v>
      </c>
      <c r="CH187" s="84"/>
      <c r="CI187" s="63">
        <v>0.0</v>
      </c>
      <c r="CJ187" s="63">
        <v>0.0</v>
      </c>
      <c r="CK187" s="64">
        <v>0.0</v>
      </c>
      <c r="CL187" s="63">
        <v>0.0</v>
      </c>
      <c r="CM187" s="65">
        <v>0.0</v>
      </c>
      <c r="CN187" s="63">
        <v>0.0</v>
      </c>
      <c r="CO187" s="66">
        <v>0.0</v>
      </c>
      <c r="CP187" s="67">
        <v>0.0</v>
      </c>
      <c r="CQ187" s="63">
        <v>0.0</v>
      </c>
      <c r="CR187" s="63">
        <v>0.0</v>
      </c>
      <c r="CS187" s="63">
        <v>0.0</v>
      </c>
      <c r="CT187" s="68"/>
      <c r="CU187" s="69"/>
      <c r="CV187" s="70"/>
      <c r="CW187" s="71">
        <v>1.0</v>
      </c>
      <c r="CX187" s="71">
        <v>1.0</v>
      </c>
      <c r="CY187" s="71">
        <v>0.1</v>
      </c>
      <c r="CZ187" s="45"/>
      <c r="DA187" s="43"/>
      <c r="DB187" s="44">
        <v>0.0</v>
      </c>
      <c r="DC187" s="43"/>
      <c r="DD187" s="78"/>
      <c r="DE187" s="43"/>
      <c r="DF187" s="43"/>
      <c r="DG187" s="48" t="s">
        <v>128</v>
      </c>
      <c r="DH187" s="48" t="s">
        <v>131</v>
      </c>
      <c r="DI187" s="48" t="s">
        <v>574</v>
      </c>
      <c r="DJ187" s="49">
        <v>1.0</v>
      </c>
      <c r="DK187" s="48" t="b">
        <v>0</v>
      </c>
      <c r="DL187" s="50" t="s">
        <v>575</v>
      </c>
      <c r="DM187" s="111"/>
      <c r="DN187" s="111"/>
      <c r="DO187" s="51"/>
      <c r="DP187" s="51"/>
      <c r="DQ187" s="48" t="s">
        <v>576</v>
      </c>
      <c r="DR187" s="51"/>
      <c r="DS187" s="48" t="s">
        <v>134</v>
      </c>
    </row>
    <row r="188">
      <c r="A188" s="23" t="s">
        <v>118</v>
      </c>
      <c r="B188" s="24">
        <v>3.0</v>
      </c>
      <c r="C188" s="23" t="s">
        <v>119</v>
      </c>
      <c r="D188" s="24">
        <v>648803.0</v>
      </c>
      <c r="E188" s="23" t="s">
        <v>189</v>
      </c>
      <c r="F188" s="23" t="s">
        <v>577</v>
      </c>
      <c r="G188" s="23" t="s">
        <v>578</v>
      </c>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7"/>
      <c r="BU188" s="26"/>
      <c r="BV188" s="26"/>
      <c r="BW188" s="26"/>
      <c r="BX188" s="24">
        <v>1.0</v>
      </c>
      <c r="BY188" s="24" t="s">
        <v>123</v>
      </c>
      <c r="BZ188" s="87">
        <v>1.0</v>
      </c>
      <c r="CA188" s="72"/>
      <c r="CB188" s="82"/>
      <c r="CC188" s="31"/>
      <c r="CD188" s="28">
        <v>1.0</v>
      </c>
      <c r="CE188" s="88" t="s">
        <v>185</v>
      </c>
      <c r="CF188" s="33"/>
      <c r="CG188" s="34">
        <v>0.0</v>
      </c>
      <c r="CH188" s="89"/>
      <c r="CI188" s="36">
        <v>0.0</v>
      </c>
      <c r="CJ188" s="36">
        <v>0.0</v>
      </c>
      <c r="CK188" s="37">
        <v>0.0</v>
      </c>
      <c r="CL188" s="36">
        <v>0.0</v>
      </c>
      <c r="CM188" s="38">
        <v>0.0</v>
      </c>
      <c r="CN188" s="36">
        <v>0.0</v>
      </c>
      <c r="CO188" s="39">
        <v>0.0</v>
      </c>
      <c r="CP188" s="40">
        <v>0.0</v>
      </c>
      <c r="CQ188" s="36">
        <v>0.0</v>
      </c>
      <c r="CR188" s="36">
        <v>0.0</v>
      </c>
      <c r="CS188" s="36">
        <v>0.0</v>
      </c>
      <c r="CT188" s="41"/>
      <c r="CU188" s="42"/>
      <c r="CV188" s="43"/>
      <c r="CW188" s="44">
        <v>1.0</v>
      </c>
      <c r="CX188" s="44">
        <v>1.0</v>
      </c>
      <c r="CY188" s="44">
        <v>0.1</v>
      </c>
      <c r="CZ188" s="45"/>
      <c r="DA188" s="43"/>
      <c r="DB188" s="44">
        <v>0.0</v>
      </c>
      <c r="DC188" s="43"/>
      <c r="DD188" s="78"/>
      <c r="DE188" s="43"/>
      <c r="DF188" s="43"/>
      <c r="DG188" s="48" t="s">
        <v>128</v>
      </c>
      <c r="DH188" s="48" t="s">
        <v>131</v>
      </c>
      <c r="DI188" s="48" t="s">
        <v>574</v>
      </c>
      <c r="DJ188" s="49">
        <v>1.0</v>
      </c>
      <c r="DK188" s="48" t="b">
        <v>0</v>
      </c>
      <c r="DL188" s="111"/>
      <c r="DM188" s="111"/>
      <c r="DN188" s="111"/>
      <c r="DO188" s="51"/>
      <c r="DP188" s="51"/>
      <c r="DQ188" s="48" t="s">
        <v>576</v>
      </c>
      <c r="DR188" s="51"/>
      <c r="DS188" s="48" t="s">
        <v>134</v>
      </c>
    </row>
    <row r="189">
      <c r="A189" s="52" t="s">
        <v>118</v>
      </c>
      <c r="B189" s="53">
        <v>3.0</v>
      </c>
      <c r="C189" s="52" t="s">
        <v>119</v>
      </c>
      <c r="D189" s="53">
        <v>604008.0</v>
      </c>
      <c r="E189" s="52" t="s">
        <v>176</v>
      </c>
      <c r="F189" s="52" t="s">
        <v>579</v>
      </c>
      <c r="G189" s="52" t="s">
        <v>580</v>
      </c>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81"/>
      <c r="BU189" s="54"/>
      <c r="BV189" s="54"/>
      <c r="BW189" s="54"/>
      <c r="BX189" s="53">
        <v>1.0</v>
      </c>
      <c r="BY189" s="53" t="s">
        <v>123</v>
      </c>
      <c r="BZ189" s="87">
        <v>1.0</v>
      </c>
      <c r="CA189" s="72"/>
      <c r="CB189" s="82"/>
      <c r="CC189" s="31"/>
      <c r="CD189" s="58">
        <v>1.0</v>
      </c>
      <c r="CE189" s="83" t="s">
        <v>185</v>
      </c>
      <c r="CF189" s="60"/>
      <c r="CG189" s="61">
        <v>0.0</v>
      </c>
      <c r="CH189" s="84"/>
      <c r="CI189" s="63">
        <v>0.0</v>
      </c>
      <c r="CJ189" s="63">
        <v>0.0</v>
      </c>
      <c r="CK189" s="64">
        <v>0.0</v>
      </c>
      <c r="CL189" s="63">
        <v>0.0</v>
      </c>
      <c r="CM189" s="65">
        <v>0.0</v>
      </c>
      <c r="CN189" s="63">
        <v>0.0</v>
      </c>
      <c r="CO189" s="66">
        <v>0.0</v>
      </c>
      <c r="CP189" s="67">
        <v>0.0</v>
      </c>
      <c r="CQ189" s="63">
        <v>0.0</v>
      </c>
      <c r="CR189" s="63">
        <v>0.0</v>
      </c>
      <c r="CS189" s="63">
        <v>0.0</v>
      </c>
      <c r="CT189" s="68"/>
      <c r="CU189" s="69"/>
      <c r="CV189" s="70"/>
      <c r="CW189" s="71">
        <v>1.0</v>
      </c>
      <c r="CX189" s="71">
        <v>1.0</v>
      </c>
      <c r="CY189" s="71">
        <v>0.1</v>
      </c>
      <c r="CZ189" s="45"/>
      <c r="DA189" s="43"/>
      <c r="DB189" s="44">
        <v>0.0</v>
      </c>
      <c r="DC189" s="43"/>
      <c r="DD189" s="78"/>
      <c r="DE189" s="43"/>
      <c r="DF189" s="43"/>
      <c r="DG189" s="48" t="s">
        <v>128</v>
      </c>
      <c r="DH189" s="48" t="s">
        <v>131</v>
      </c>
      <c r="DI189" s="48" t="s">
        <v>574</v>
      </c>
      <c r="DJ189" s="49">
        <v>1.0</v>
      </c>
      <c r="DK189" s="48" t="b">
        <v>0</v>
      </c>
      <c r="DL189" s="50" t="s">
        <v>581</v>
      </c>
      <c r="DM189" s="111"/>
      <c r="DN189" s="111"/>
      <c r="DO189" s="51"/>
      <c r="DP189" s="51"/>
      <c r="DQ189" s="48" t="s">
        <v>576</v>
      </c>
      <c r="DR189" s="51"/>
      <c r="DS189" s="48" t="s">
        <v>134</v>
      </c>
    </row>
    <row r="190">
      <c r="A190" s="23" t="s">
        <v>118</v>
      </c>
      <c r="B190" s="24">
        <v>3.0</v>
      </c>
      <c r="C190" s="23" t="s">
        <v>119</v>
      </c>
      <c r="D190" s="24">
        <v>604008.0</v>
      </c>
      <c r="E190" s="23" t="s">
        <v>176</v>
      </c>
      <c r="F190" s="23" t="s">
        <v>582</v>
      </c>
      <c r="G190" s="23" t="s">
        <v>583</v>
      </c>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7"/>
      <c r="BU190" s="26"/>
      <c r="BV190" s="26"/>
      <c r="BW190" s="26"/>
      <c r="BX190" s="24">
        <v>1.0</v>
      </c>
      <c r="BY190" s="24" t="s">
        <v>123</v>
      </c>
      <c r="BZ190" s="87">
        <v>1.0</v>
      </c>
      <c r="CA190" s="72"/>
      <c r="CB190" s="82"/>
      <c r="CC190" s="31"/>
      <c r="CD190" s="28">
        <v>1.0</v>
      </c>
      <c r="CE190" s="88" t="s">
        <v>185</v>
      </c>
      <c r="CF190" s="33"/>
      <c r="CG190" s="34">
        <v>0.0</v>
      </c>
      <c r="CH190" s="89"/>
      <c r="CI190" s="36">
        <v>0.0</v>
      </c>
      <c r="CJ190" s="36">
        <v>0.0</v>
      </c>
      <c r="CK190" s="37">
        <v>0.0</v>
      </c>
      <c r="CL190" s="36">
        <v>0.0</v>
      </c>
      <c r="CM190" s="38">
        <v>0.0</v>
      </c>
      <c r="CN190" s="36">
        <v>0.0</v>
      </c>
      <c r="CO190" s="39">
        <v>0.0</v>
      </c>
      <c r="CP190" s="40">
        <v>0.0</v>
      </c>
      <c r="CQ190" s="36">
        <v>0.0</v>
      </c>
      <c r="CR190" s="36">
        <v>0.0</v>
      </c>
      <c r="CS190" s="36">
        <v>0.0</v>
      </c>
      <c r="CT190" s="41"/>
      <c r="CU190" s="42"/>
      <c r="CV190" s="43"/>
      <c r="CW190" s="44">
        <v>1.0</v>
      </c>
      <c r="CX190" s="44">
        <v>1.0</v>
      </c>
      <c r="CY190" s="44">
        <v>0.1</v>
      </c>
      <c r="CZ190" s="45"/>
      <c r="DA190" s="43"/>
      <c r="DB190" s="44">
        <v>0.0</v>
      </c>
      <c r="DC190" s="43"/>
      <c r="DD190" s="78"/>
      <c r="DE190" s="43"/>
      <c r="DF190" s="43"/>
      <c r="DG190" s="48" t="s">
        <v>128</v>
      </c>
      <c r="DH190" s="48" t="s">
        <v>131</v>
      </c>
      <c r="DI190" s="48" t="s">
        <v>574</v>
      </c>
      <c r="DJ190" s="49">
        <v>1.0</v>
      </c>
      <c r="DK190" s="48" t="b">
        <v>0</v>
      </c>
      <c r="DL190" s="50" t="s">
        <v>584</v>
      </c>
      <c r="DM190" s="111"/>
      <c r="DN190" s="111"/>
      <c r="DO190" s="51"/>
      <c r="DP190" s="51"/>
      <c r="DQ190" s="48" t="s">
        <v>576</v>
      </c>
      <c r="DR190" s="51"/>
      <c r="DS190" s="48" t="s">
        <v>134</v>
      </c>
    </row>
    <row r="191">
      <c r="A191" s="52" t="s">
        <v>118</v>
      </c>
      <c r="B191" s="53">
        <v>3.0</v>
      </c>
      <c r="C191" s="52" t="s">
        <v>119</v>
      </c>
      <c r="D191" s="53">
        <v>536832.0</v>
      </c>
      <c r="E191" s="52" t="s">
        <v>158</v>
      </c>
      <c r="F191" s="52" t="s">
        <v>585</v>
      </c>
      <c r="G191" s="52" t="s">
        <v>586</v>
      </c>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81"/>
      <c r="BU191" s="54"/>
      <c r="BV191" s="54"/>
      <c r="BW191" s="54"/>
      <c r="BX191" s="53">
        <v>1.0</v>
      </c>
      <c r="BY191" s="53" t="s">
        <v>123</v>
      </c>
      <c r="BZ191" s="87">
        <v>1.0</v>
      </c>
      <c r="CA191" s="72"/>
      <c r="CB191" s="82"/>
      <c r="CC191" s="31"/>
      <c r="CD191" s="58">
        <v>1.0</v>
      </c>
      <c r="CE191" s="83" t="s">
        <v>185</v>
      </c>
      <c r="CF191" s="60"/>
      <c r="CG191" s="61">
        <v>0.0</v>
      </c>
      <c r="CH191" s="84"/>
      <c r="CI191" s="63">
        <v>0.0</v>
      </c>
      <c r="CJ191" s="63">
        <v>0.0</v>
      </c>
      <c r="CK191" s="64">
        <v>0.0</v>
      </c>
      <c r="CL191" s="63">
        <v>0.0</v>
      </c>
      <c r="CM191" s="65">
        <v>0.0</v>
      </c>
      <c r="CN191" s="63">
        <v>0.0</v>
      </c>
      <c r="CO191" s="66">
        <v>0.0</v>
      </c>
      <c r="CP191" s="67">
        <v>0.0</v>
      </c>
      <c r="CQ191" s="63">
        <v>0.0</v>
      </c>
      <c r="CR191" s="63">
        <v>0.0</v>
      </c>
      <c r="CS191" s="63">
        <v>0.0</v>
      </c>
      <c r="CT191" s="68"/>
      <c r="CU191" s="69"/>
      <c r="CV191" s="70"/>
      <c r="CW191" s="71">
        <v>1.0</v>
      </c>
      <c r="CX191" s="71">
        <v>1.0</v>
      </c>
      <c r="CY191" s="71">
        <v>0.1</v>
      </c>
      <c r="CZ191" s="45"/>
      <c r="DA191" s="43"/>
      <c r="DB191" s="44">
        <v>0.0</v>
      </c>
      <c r="DC191" s="43"/>
      <c r="DD191" s="78"/>
      <c r="DE191" s="43"/>
      <c r="DF191" s="43"/>
      <c r="DG191" s="48" t="s">
        <v>128</v>
      </c>
      <c r="DH191" s="48" t="s">
        <v>131</v>
      </c>
      <c r="DI191" s="48" t="s">
        <v>574</v>
      </c>
      <c r="DJ191" s="49">
        <v>1.0</v>
      </c>
      <c r="DK191" s="48" t="b">
        <v>0</v>
      </c>
      <c r="DL191" s="111"/>
      <c r="DM191" s="111"/>
      <c r="DN191" s="111"/>
      <c r="DO191" s="51"/>
      <c r="DP191" s="51"/>
      <c r="DQ191" s="48" t="s">
        <v>576</v>
      </c>
      <c r="DR191" s="51"/>
      <c r="DS191" s="48" t="s">
        <v>134</v>
      </c>
    </row>
    <row r="192">
      <c r="A192" s="23" t="s">
        <v>118</v>
      </c>
      <c r="B192" s="24">
        <v>3.0</v>
      </c>
      <c r="C192" s="23" t="s">
        <v>119</v>
      </c>
      <c r="D192" s="24">
        <v>536832.0</v>
      </c>
      <c r="E192" s="23" t="s">
        <v>158</v>
      </c>
      <c r="F192" s="23" t="s">
        <v>587</v>
      </c>
      <c r="G192" s="23" t="s">
        <v>588</v>
      </c>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7"/>
      <c r="BU192" s="26"/>
      <c r="BV192" s="26"/>
      <c r="BW192" s="26"/>
      <c r="BX192" s="24">
        <v>1.0</v>
      </c>
      <c r="BY192" s="24" t="s">
        <v>123</v>
      </c>
      <c r="BZ192" s="87">
        <v>1.0</v>
      </c>
      <c r="CA192" s="72"/>
      <c r="CB192" s="82"/>
      <c r="CC192" s="31"/>
      <c r="CD192" s="28">
        <v>1.0</v>
      </c>
      <c r="CE192" s="88" t="s">
        <v>185</v>
      </c>
      <c r="CF192" s="33"/>
      <c r="CG192" s="34">
        <v>0.0</v>
      </c>
      <c r="CH192" s="89"/>
      <c r="CI192" s="36">
        <v>0.0</v>
      </c>
      <c r="CJ192" s="36">
        <v>0.0</v>
      </c>
      <c r="CK192" s="37">
        <v>0.0</v>
      </c>
      <c r="CL192" s="36">
        <v>0.0</v>
      </c>
      <c r="CM192" s="38">
        <v>0.0</v>
      </c>
      <c r="CN192" s="36">
        <v>0.0</v>
      </c>
      <c r="CO192" s="39">
        <v>0.0</v>
      </c>
      <c r="CP192" s="40">
        <v>0.0</v>
      </c>
      <c r="CQ192" s="36">
        <v>0.0</v>
      </c>
      <c r="CR192" s="36">
        <v>0.0</v>
      </c>
      <c r="CS192" s="36">
        <v>0.0</v>
      </c>
      <c r="CT192" s="41"/>
      <c r="CU192" s="42"/>
      <c r="CV192" s="43"/>
      <c r="CW192" s="44">
        <v>1.0</v>
      </c>
      <c r="CX192" s="44">
        <v>1.0</v>
      </c>
      <c r="CY192" s="44">
        <v>0.1</v>
      </c>
      <c r="CZ192" s="45"/>
      <c r="DA192" s="43"/>
      <c r="DB192" s="44">
        <v>0.0</v>
      </c>
      <c r="DC192" s="43"/>
      <c r="DD192" s="78"/>
      <c r="DE192" s="43"/>
      <c r="DF192" s="43"/>
      <c r="DG192" s="48" t="s">
        <v>128</v>
      </c>
      <c r="DH192" s="48" t="s">
        <v>131</v>
      </c>
      <c r="DI192" s="48" t="s">
        <v>589</v>
      </c>
      <c r="DJ192" s="49">
        <v>1.0</v>
      </c>
      <c r="DK192" s="48" t="b">
        <v>0</v>
      </c>
      <c r="DL192" s="50" t="s">
        <v>590</v>
      </c>
      <c r="DM192" s="111"/>
      <c r="DN192" s="111"/>
      <c r="DO192" s="51"/>
      <c r="DP192" s="48" t="s">
        <v>589</v>
      </c>
      <c r="DQ192" s="48" t="s">
        <v>589</v>
      </c>
      <c r="DR192" s="51"/>
      <c r="DS192" s="48" t="s">
        <v>134</v>
      </c>
    </row>
    <row r="193">
      <c r="A193" s="52" t="s">
        <v>118</v>
      </c>
      <c r="B193" s="53">
        <v>3.0</v>
      </c>
      <c r="C193" s="52" t="s">
        <v>119</v>
      </c>
      <c r="D193" s="53">
        <v>627274.0</v>
      </c>
      <c r="E193" s="52" t="s">
        <v>173</v>
      </c>
      <c r="F193" s="52" t="s">
        <v>591</v>
      </c>
      <c r="G193" s="52" t="s">
        <v>592</v>
      </c>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81"/>
      <c r="BU193" s="54"/>
      <c r="BV193" s="54"/>
      <c r="BW193" s="54"/>
      <c r="BX193" s="53">
        <v>1.0</v>
      </c>
      <c r="BY193" s="53" t="s">
        <v>123</v>
      </c>
      <c r="BZ193" s="87">
        <v>1.0</v>
      </c>
      <c r="CA193" s="72"/>
      <c r="CB193" s="82"/>
      <c r="CC193" s="31"/>
      <c r="CD193" s="58">
        <v>1.0</v>
      </c>
      <c r="CE193" s="83" t="s">
        <v>185</v>
      </c>
      <c r="CF193" s="60"/>
      <c r="CG193" s="61">
        <v>0.0</v>
      </c>
      <c r="CH193" s="84"/>
      <c r="CI193" s="63">
        <v>0.0</v>
      </c>
      <c r="CJ193" s="63">
        <v>0.0</v>
      </c>
      <c r="CK193" s="64">
        <v>0.0</v>
      </c>
      <c r="CL193" s="63">
        <v>0.0</v>
      </c>
      <c r="CM193" s="65">
        <v>0.0</v>
      </c>
      <c r="CN193" s="63">
        <v>0.0</v>
      </c>
      <c r="CO193" s="66">
        <v>0.0</v>
      </c>
      <c r="CP193" s="67">
        <v>0.0</v>
      </c>
      <c r="CQ193" s="63">
        <v>0.0</v>
      </c>
      <c r="CR193" s="63">
        <v>0.0</v>
      </c>
      <c r="CS193" s="63">
        <v>0.0</v>
      </c>
      <c r="CT193" s="68"/>
      <c r="CU193" s="69"/>
      <c r="CV193" s="70"/>
      <c r="CW193" s="71">
        <v>1.0</v>
      </c>
      <c r="CX193" s="71">
        <v>1.0</v>
      </c>
      <c r="CY193" s="71">
        <v>0.1</v>
      </c>
      <c r="CZ193" s="45"/>
      <c r="DA193" s="43"/>
      <c r="DB193" s="44">
        <v>0.0</v>
      </c>
      <c r="DC193" s="43"/>
      <c r="DD193" s="78"/>
      <c r="DE193" s="43"/>
      <c r="DF193" s="43"/>
      <c r="DG193" s="48" t="s">
        <v>128</v>
      </c>
      <c r="DH193" s="48" t="s">
        <v>131</v>
      </c>
      <c r="DI193" s="48" t="s">
        <v>574</v>
      </c>
      <c r="DJ193" s="49">
        <v>1.0</v>
      </c>
      <c r="DK193" s="48" t="b">
        <v>0</v>
      </c>
      <c r="DL193" s="50" t="s">
        <v>581</v>
      </c>
      <c r="DM193" s="111"/>
      <c r="DN193" s="111"/>
      <c r="DO193" s="51"/>
      <c r="DP193" s="51"/>
      <c r="DQ193" s="48" t="s">
        <v>576</v>
      </c>
      <c r="DR193" s="51"/>
      <c r="DS193" s="48" t="s">
        <v>134</v>
      </c>
    </row>
    <row r="194">
      <c r="A194" s="23" t="s">
        <v>118</v>
      </c>
      <c r="B194" s="24">
        <v>3.0</v>
      </c>
      <c r="C194" s="23" t="s">
        <v>119</v>
      </c>
      <c r="D194" s="24">
        <v>536832.0</v>
      </c>
      <c r="E194" s="23" t="s">
        <v>158</v>
      </c>
      <c r="F194" s="23" t="s">
        <v>593</v>
      </c>
      <c r="G194" s="23" t="s">
        <v>594</v>
      </c>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7"/>
      <c r="BU194" s="26"/>
      <c r="BV194" s="26"/>
      <c r="BW194" s="26"/>
      <c r="BX194" s="24">
        <v>1.0</v>
      </c>
      <c r="BY194" s="24" t="s">
        <v>123</v>
      </c>
      <c r="BZ194" s="87">
        <v>1.0</v>
      </c>
      <c r="CA194" s="72"/>
      <c r="CB194" s="82"/>
      <c r="CC194" s="31"/>
      <c r="CD194" s="28">
        <v>1.0</v>
      </c>
      <c r="CE194" s="88" t="s">
        <v>185</v>
      </c>
      <c r="CF194" s="33"/>
      <c r="CG194" s="34">
        <v>0.0</v>
      </c>
      <c r="CH194" s="89"/>
      <c r="CI194" s="36">
        <v>0.0</v>
      </c>
      <c r="CJ194" s="36">
        <v>0.0</v>
      </c>
      <c r="CK194" s="37">
        <v>0.0</v>
      </c>
      <c r="CL194" s="36">
        <v>0.0</v>
      </c>
      <c r="CM194" s="38">
        <v>0.0</v>
      </c>
      <c r="CN194" s="36">
        <v>0.0</v>
      </c>
      <c r="CO194" s="39">
        <v>0.0</v>
      </c>
      <c r="CP194" s="40">
        <v>0.0</v>
      </c>
      <c r="CQ194" s="36">
        <v>0.0</v>
      </c>
      <c r="CR194" s="36">
        <v>0.0</v>
      </c>
      <c r="CS194" s="36">
        <v>0.0</v>
      </c>
      <c r="CT194" s="41"/>
      <c r="CU194" s="42"/>
      <c r="CV194" s="43"/>
      <c r="CW194" s="44">
        <v>1.0</v>
      </c>
      <c r="CX194" s="44">
        <v>1.0</v>
      </c>
      <c r="CY194" s="44">
        <v>0.1</v>
      </c>
      <c r="CZ194" s="45"/>
      <c r="DA194" s="43"/>
      <c r="DB194" s="44">
        <v>0.0</v>
      </c>
      <c r="DC194" s="43"/>
      <c r="DD194" s="78"/>
      <c r="DE194" s="43"/>
      <c r="DF194" s="43"/>
      <c r="DG194" s="48" t="s">
        <v>128</v>
      </c>
      <c r="DH194" s="48" t="s">
        <v>131</v>
      </c>
      <c r="DI194" s="48" t="s">
        <v>574</v>
      </c>
      <c r="DJ194" s="49">
        <v>1.0</v>
      </c>
      <c r="DK194" s="48" t="b">
        <v>0</v>
      </c>
      <c r="DL194" s="50" t="s">
        <v>595</v>
      </c>
      <c r="DM194" s="111"/>
      <c r="DN194" s="111"/>
      <c r="DO194" s="51"/>
      <c r="DP194" s="51"/>
      <c r="DQ194" s="48" t="s">
        <v>576</v>
      </c>
      <c r="DR194" s="51"/>
      <c r="DS194" s="48" t="s">
        <v>134</v>
      </c>
    </row>
    <row r="195">
      <c r="A195" s="52" t="s">
        <v>118</v>
      </c>
      <c r="B195" s="53">
        <v>3.0</v>
      </c>
      <c r="C195" s="52" t="s">
        <v>119</v>
      </c>
      <c r="D195" s="53">
        <v>536832.0</v>
      </c>
      <c r="E195" s="52" t="s">
        <v>158</v>
      </c>
      <c r="F195" s="52" t="s">
        <v>596</v>
      </c>
      <c r="G195" s="52" t="s">
        <v>597</v>
      </c>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81"/>
      <c r="BU195" s="54"/>
      <c r="BV195" s="54"/>
      <c r="BW195" s="54"/>
      <c r="BX195" s="53">
        <v>1.0</v>
      </c>
      <c r="BY195" s="53" t="s">
        <v>123</v>
      </c>
      <c r="BZ195" s="87">
        <v>1.0</v>
      </c>
      <c r="CA195" s="72"/>
      <c r="CB195" s="82"/>
      <c r="CC195" s="31"/>
      <c r="CD195" s="58">
        <v>1.0</v>
      </c>
      <c r="CE195" s="83" t="s">
        <v>185</v>
      </c>
      <c r="CF195" s="60"/>
      <c r="CG195" s="61">
        <v>0.0</v>
      </c>
      <c r="CH195" s="84"/>
      <c r="CI195" s="63">
        <v>0.0</v>
      </c>
      <c r="CJ195" s="63">
        <v>0.0</v>
      </c>
      <c r="CK195" s="64">
        <v>0.0</v>
      </c>
      <c r="CL195" s="63">
        <v>0.0</v>
      </c>
      <c r="CM195" s="65">
        <v>0.0</v>
      </c>
      <c r="CN195" s="63">
        <v>0.0</v>
      </c>
      <c r="CO195" s="66">
        <v>0.0</v>
      </c>
      <c r="CP195" s="67">
        <v>0.0</v>
      </c>
      <c r="CQ195" s="63">
        <v>0.0</v>
      </c>
      <c r="CR195" s="63">
        <v>0.0</v>
      </c>
      <c r="CS195" s="63">
        <v>0.0</v>
      </c>
      <c r="CT195" s="68"/>
      <c r="CU195" s="69"/>
      <c r="CV195" s="70"/>
      <c r="CW195" s="71">
        <v>1.0</v>
      </c>
      <c r="CX195" s="71">
        <v>1.0</v>
      </c>
      <c r="CY195" s="71">
        <v>0.1</v>
      </c>
      <c r="CZ195" s="45"/>
      <c r="DA195" s="43"/>
      <c r="DB195" s="44">
        <v>0.0</v>
      </c>
      <c r="DC195" s="43"/>
      <c r="DD195" s="78"/>
      <c r="DE195" s="43"/>
      <c r="DF195" s="43"/>
      <c r="DG195" s="48" t="s">
        <v>128</v>
      </c>
      <c r="DH195" s="48" t="s">
        <v>131</v>
      </c>
      <c r="DI195" s="48" t="s">
        <v>574</v>
      </c>
      <c r="DJ195" s="49">
        <v>1.0</v>
      </c>
      <c r="DK195" s="48" t="b">
        <v>0</v>
      </c>
      <c r="DL195" s="111"/>
      <c r="DM195" s="111"/>
      <c r="DN195" s="111"/>
      <c r="DO195" s="51"/>
      <c r="DP195" s="51"/>
      <c r="DQ195" s="48" t="s">
        <v>576</v>
      </c>
      <c r="DR195" s="51"/>
      <c r="DS195" s="48" t="s">
        <v>134</v>
      </c>
    </row>
    <row r="196">
      <c r="A196" s="23" t="s">
        <v>118</v>
      </c>
      <c r="B196" s="24">
        <v>3.0</v>
      </c>
      <c r="C196" s="23" t="s">
        <v>119</v>
      </c>
      <c r="D196" s="24">
        <v>639495.0</v>
      </c>
      <c r="E196" s="23" t="s">
        <v>155</v>
      </c>
      <c r="F196" s="23" t="s">
        <v>598</v>
      </c>
      <c r="G196" s="23" t="s">
        <v>599</v>
      </c>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7"/>
      <c r="BU196" s="26"/>
      <c r="BV196" s="26"/>
      <c r="BW196" s="26"/>
      <c r="BX196" s="24">
        <v>1.0</v>
      </c>
      <c r="BY196" s="24" t="s">
        <v>123</v>
      </c>
      <c r="BZ196" s="87">
        <v>1.0</v>
      </c>
      <c r="CA196" s="72"/>
      <c r="CB196" s="82"/>
      <c r="CC196" s="31"/>
      <c r="CD196" s="28">
        <v>1.0</v>
      </c>
      <c r="CE196" s="88" t="s">
        <v>185</v>
      </c>
      <c r="CF196" s="33"/>
      <c r="CG196" s="34">
        <v>0.0</v>
      </c>
      <c r="CH196" s="89"/>
      <c r="CI196" s="36">
        <v>0.0</v>
      </c>
      <c r="CJ196" s="36">
        <v>0.0</v>
      </c>
      <c r="CK196" s="37">
        <v>0.0</v>
      </c>
      <c r="CL196" s="36">
        <v>0.0</v>
      </c>
      <c r="CM196" s="38">
        <v>0.0</v>
      </c>
      <c r="CN196" s="36">
        <v>0.0</v>
      </c>
      <c r="CO196" s="39">
        <v>0.0</v>
      </c>
      <c r="CP196" s="40">
        <v>0.0</v>
      </c>
      <c r="CQ196" s="36">
        <v>0.0</v>
      </c>
      <c r="CR196" s="36">
        <v>0.0</v>
      </c>
      <c r="CS196" s="36">
        <v>0.0</v>
      </c>
      <c r="CT196" s="41"/>
      <c r="CU196" s="42"/>
      <c r="CV196" s="43"/>
      <c r="CW196" s="44">
        <v>1.0</v>
      </c>
      <c r="CX196" s="44">
        <v>1.0</v>
      </c>
      <c r="CY196" s="44">
        <v>0.1</v>
      </c>
      <c r="CZ196" s="45"/>
      <c r="DA196" s="43"/>
      <c r="DB196" s="44">
        <v>0.0</v>
      </c>
      <c r="DC196" s="43"/>
      <c r="DD196" s="78"/>
      <c r="DE196" s="43"/>
      <c r="DF196" s="43"/>
      <c r="DG196" s="48" t="s">
        <v>128</v>
      </c>
      <c r="DH196" s="48" t="s">
        <v>131</v>
      </c>
      <c r="DI196" s="48" t="s">
        <v>574</v>
      </c>
      <c r="DJ196" s="49">
        <v>1.0</v>
      </c>
      <c r="DK196" s="48" t="b">
        <v>0</v>
      </c>
      <c r="DL196" s="50" t="s">
        <v>581</v>
      </c>
      <c r="DM196" s="111"/>
      <c r="DN196" s="111"/>
      <c r="DO196" s="51"/>
      <c r="DP196" s="51"/>
      <c r="DQ196" s="48" t="s">
        <v>576</v>
      </c>
      <c r="DR196" s="51"/>
      <c r="DS196" s="48" t="s">
        <v>134</v>
      </c>
    </row>
    <row r="197">
      <c r="A197" s="52" t="s">
        <v>118</v>
      </c>
      <c r="B197" s="53">
        <v>3.0</v>
      </c>
      <c r="C197" s="52" t="s">
        <v>119</v>
      </c>
      <c r="D197" s="53">
        <v>648803.0</v>
      </c>
      <c r="E197" s="52" t="s">
        <v>189</v>
      </c>
      <c r="F197" s="52" t="s">
        <v>600</v>
      </c>
      <c r="G197" s="52" t="s">
        <v>601</v>
      </c>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81"/>
      <c r="BU197" s="54"/>
      <c r="BV197" s="54"/>
      <c r="BW197" s="54"/>
      <c r="BX197" s="53">
        <v>1.0</v>
      </c>
      <c r="BY197" s="53" t="s">
        <v>123</v>
      </c>
      <c r="BZ197" s="87">
        <v>1.0</v>
      </c>
      <c r="CA197" s="72"/>
      <c r="CB197" s="82"/>
      <c r="CC197" s="31"/>
      <c r="CD197" s="58">
        <v>1.0</v>
      </c>
      <c r="CE197" s="83" t="s">
        <v>185</v>
      </c>
      <c r="CF197" s="60"/>
      <c r="CG197" s="61">
        <v>0.0</v>
      </c>
      <c r="CH197" s="84"/>
      <c r="CI197" s="63">
        <v>0.0</v>
      </c>
      <c r="CJ197" s="63">
        <v>0.0</v>
      </c>
      <c r="CK197" s="64">
        <v>0.0</v>
      </c>
      <c r="CL197" s="63">
        <v>0.0</v>
      </c>
      <c r="CM197" s="65">
        <v>0.0</v>
      </c>
      <c r="CN197" s="63">
        <v>0.0</v>
      </c>
      <c r="CO197" s="66">
        <v>0.0</v>
      </c>
      <c r="CP197" s="67">
        <v>0.0</v>
      </c>
      <c r="CQ197" s="63">
        <v>0.0</v>
      </c>
      <c r="CR197" s="63">
        <v>0.0</v>
      </c>
      <c r="CS197" s="63">
        <v>0.0</v>
      </c>
      <c r="CT197" s="68"/>
      <c r="CU197" s="69"/>
      <c r="CV197" s="70"/>
      <c r="CW197" s="71">
        <v>1.0</v>
      </c>
      <c r="CX197" s="71">
        <v>1.0</v>
      </c>
      <c r="CY197" s="71">
        <v>0.1</v>
      </c>
      <c r="CZ197" s="45"/>
      <c r="DA197" s="43"/>
      <c r="DB197" s="44">
        <v>0.0</v>
      </c>
      <c r="DC197" s="43"/>
      <c r="DD197" s="78"/>
      <c r="DE197" s="43"/>
      <c r="DF197" s="43"/>
      <c r="DG197" s="48" t="s">
        <v>128</v>
      </c>
      <c r="DH197" s="48" t="s">
        <v>131</v>
      </c>
      <c r="DI197" s="48" t="s">
        <v>574</v>
      </c>
      <c r="DJ197" s="49">
        <v>1.0</v>
      </c>
      <c r="DK197" s="48" t="b">
        <v>0</v>
      </c>
      <c r="DL197" s="111"/>
      <c r="DM197" s="111"/>
      <c r="DN197" s="111"/>
      <c r="DO197" s="51"/>
      <c r="DP197" s="51"/>
      <c r="DQ197" s="48" t="s">
        <v>576</v>
      </c>
      <c r="DR197" s="51"/>
      <c r="DS197" s="48" t="s">
        <v>134</v>
      </c>
    </row>
    <row r="198">
      <c r="A198" s="23" t="s">
        <v>118</v>
      </c>
      <c r="B198" s="24">
        <v>3.0</v>
      </c>
      <c r="C198" s="23" t="s">
        <v>119</v>
      </c>
      <c r="D198" s="24">
        <v>536832.0</v>
      </c>
      <c r="E198" s="23" t="s">
        <v>158</v>
      </c>
      <c r="F198" s="23" t="s">
        <v>602</v>
      </c>
      <c r="G198" s="23" t="s">
        <v>603</v>
      </c>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7"/>
      <c r="BU198" s="26"/>
      <c r="BV198" s="26"/>
      <c r="BW198" s="26"/>
      <c r="BX198" s="24">
        <v>1.0</v>
      </c>
      <c r="BY198" s="24" t="s">
        <v>123</v>
      </c>
      <c r="BZ198" s="87">
        <v>1.0</v>
      </c>
      <c r="CA198" s="72"/>
      <c r="CB198" s="82"/>
      <c r="CC198" s="31"/>
      <c r="CD198" s="28">
        <v>1.0</v>
      </c>
      <c r="CE198" s="88" t="s">
        <v>185</v>
      </c>
      <c r="CF198" s="33"/>
      <c r="CG198" s="34">
        <v>0.0</v>
      </c>
      <c r="CH198" s="89"/>
      <c r="CI198" s="36">
        <v>0.0</v>
      </c>
      <c r="CJ198" s="36">
        <v>0.0</v>
      </c>
      <c r="CK198" s="37">
        <v>0.0</v>
      </c>
      <c r="CL198" s="36">
        <v>0.0</v>
      </c>
      <c r="CM198" s="38">
        <v>0.0</v>
      </c>
      <c r="CN198" s="36">
        <v>0.0</v>
      </c>
      <c r="CO198" s="39">
        <v>0.0</v>
      </c>
      <c r="CP198" s="40">
        <v>0.0</v>
      </c>
      <c r="CQ198" s="36">
        <v>0.0</v>
      </c>
      <c r="CR198" s="36">
        <v>0.0</v>
      </c>
      <c r="CS198" s="36">
        <v>0.0</v>
      </c>
      <c r="CT198" s="41"/>
      <c r="CU198" s="42"/>
      <c r="CV198" s="43"/>
      <c r="CW198" s="44">
        <v>1.0</v>
      </c>
      <c r="CX198" s="44">
        <v>1.0</v>
      </c>
      <c r="CY198" s="44">
        <v>0.1</v>
      </c>
      <c r="CZ198" s="45"/>
      <c r="DA198" s="43"/>
      <c r="DB198" s="44">
        <v>0.0</v>
      </c>
      <c r="DC198" s="43"/>
      <c r="DD198" s="78"/>
      <c r="DE198" s="43"/>
      <c r="DF198" s="43"/>
      <c r="DG198" s="48" t="s">
        <v>128</v>
      </c>
      <c r="DH198" s="48" t="s">
        <v>131</v>
      </c>
      <c r="DI198" s="48" t="s">
        <v>574</v>
      </c>
      <c r="DJ198" s="49">
        <v>1.0</v>
      </c>
      <c r="DK198" s="48" t="b">
        <v>0</v>
      </c>
      <c r="DL198" s="50" t="s">
        <v>584</v>
      </c>
      <c r="DM198" s="111"/>
      <c r="DN198" s="111"/>
      <c r="DO198" s="51"/>
      <c r="DP198" s="51"/>
      <c r="DQ198" s="48" t="s">
        <v>576</v>
      </c>
      <c r="DR198" s="51"/>
      <c r="DS198" s="48" t="s">
        <v>134</v>
      </c>
    </row>
    <row r="199">
      <c r="A199" s="52" t="s">
        <v>118</v>
      </c>
      <c r="B199" s="53">
        <v>3.0</v>
      </c>
      <c r="C199" s="52" t="s">
        <v>119</v>
      </c>
      <c r="D199" s="53">
        <v>631195.0</v>
      </c>
      <c r="E199" s="52" t="s">
        <v>140</v>
      </c>
      <c r="F199" s="52" t="s">
        <v>604</v>
      </c>
      <c r="G199" s="52" t="s">
        <v>605</v>
      </c>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81"/>
      <c r="BU199" s="54"/>
      <c r="BV199" s="54"/>
      <c r="BW199" s="54"/>
      <c r="BX199" s="53">
        <v>1.0</v>
      </c>
      <c r="BY199" s="53" t="s">
        <v>123</v>
      </c>
      <c r="BZ199" s="87">
        <v>1.0</v>
      </c>
      <c r="CA199" s="72"/>
      <c r="CB199" s="82"/>
      <c r="CC199" s="31"/>
      <c r="CD199" s="58">
        <v>1.0</v>
      </c>
      <c r="CE199" s="83" t="s">
        <v>185</v>
      </c>
      <c r="CF199" s="60"/>
      <c r="CG199" s="61">
        <v>0.0</v>
      </c>
      <c r="CH199" s="84"/>
      <c r="CI199" s="63">
        <v>0.0</v>
      </c>
      <c r="CJ199" s="63">
        <v>0.0</v>
      </c>
      <c r="CK199" s="64">
        <v>0.0</v>
      </c>
      <c r="CL199" s="63">
        <v>0.0</v>
      </c>
      <c r="CM199" s="65">
        <v>0.0</v>
      </c>
      <c r="CN199" s="63">
        <v>0.0</v>
      </c>
      <c r="CO199" s="66">
        <v>0.0</v>
      </c>
      <c r="CP199" s="67">
        <v>0.0</v>
      </c>
      <c r="CQ199" s="63">
        <v>0.0</v>
      </c>
      <c r="CR199" s="63">
        <v>0.0</v>
      </c>
      <c r="CS199" s="63">
        <v>0.0</v>
      </c>
      <c r="CT199" s="68"/>
      <c r="CU199" s="69"/>
      <c r="CV199" s="70"/>
      <c r="CW199" s="71">
        <v>1.0</v>
      </c>
      <c r="CX199" s="71">
        <v>1.0</v>
      </c>
      <c r="CY199" s="71">
        <v>0.1</v>
      </c>
      <c r="CZ199" s="45"/>
      <c r="DA199" s="43"/>
      <c r="DB199" s="44">
        <v>0.0</v>
      </c>
      <c r="DC199" s="43"/>
      <c r="DD199" s="78"/>
      <c r="DE199" s="43"/>
      <c r="DF199" s="43"/>
      <c r="DG199" s="48" t="s">
        <v>128</v>
      </c>
      <c r="DH199" s="48" t="s">
        <v>131</v>
      </c>
      <c r="DI199" s="48" t="s">
        <v>574</v>
      </c>
      <c r="DJ199" s="49">
        <v>1.0</v>
      </c>
      <c r="DK199" s="48" t="b">
        <v>0</v>
      </c>
      <c r="DL199" s="50" t="s">
        <v>575</v>
      </c>
      <c r="DM199" s="111"/>
      <c r="DN199" s="111"/>
      <c r="DO199" s="51"/>
      <c r="DP199" s="51"/>
      <c r="DQ199" s="48" t="s">
        <v>576</v>
      </c>
      <c r="DR199" s="51"/>
      <c r="DS199" s="48" t="s">
        <v>134</v>
      </c>
    </row>
    <row r="200">
      <c r="A200" s="23" t="s">
        <v>118</v>
      </c>
      <c r="B200" s="24">
        <v>3.0</v>
      </c>
      <c r="C200" s="23" t="s">
        <v>119</v>
      </c>
      <c r="D200" s="24">
        <v>610881.0</v>
      </c>
      <c r="E200" s="23" t="s">
        <v>167</v>
      </c>
      <c r="F200" s="23" t="s">
        <v>606</v>
      </c>
      <c r="G200" s="23" t="s">
        <v>607</v>
      </c>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7"/>
      <c r="BU200" s="26"/>
      <c r="BV200" s="26"/>
      <c r="BW200" s="26"/>
      <c r="BX200" s="24">
        <v>1.0</v>
      </c>
      <c r="BY200" s="24" t="s">
        <v>123</v>
      </c>
      <c r="BZ200" s="87">
        <v>1.0</v>
      </c>
      <c r="CA200" s="72"/>
      <c r="CB200" s="82"/>
      <c r="CC200" s="31"/>
      <c r="CD200" s="28">
        <v>1.0</v>
      </c>
      <c r="CE200" s="88" t="s">
        <v>185</v>
      </c>
      <c r="CF200" s="33"/>
      <c r="CG200" s="34">
        <v>0.0</v>
      </c>
      <c r="CH200" s="89"/>
      <c r="CI200" s="36">
        <v>0.0</v>
      </c>
      <c r="CJ200" s="36">
        <v>0.0</v>
      </c>
      <c r="CK200" s="37">
        <v>0.0</v>
      </c>
      <c r="CL200" s="36">
        <v>0.0</v>
      </c>
      <c r="CM200" s="38">
        <v>0.0</v>
      </c>
      <c r="CN200" s="36">
        <v>0.0</v>
      </c>
      <c r="CO200" s="39">
        <v>0.0</v>
      </c>
      <c r="CP200" s="40">
        <v>0.0</v>
      </c>
      <c r="CQ200" s="36">
        <v>0.0</v>
      </c>
      <c r="CR200" s="36">
        <v>0.0</v>
      </c>
      <c r="CS200" s="36">
        <v>0.0</v>
      </c>
      <c r="CT200" s="41"/>
      <c r="CU200" s="42"/>
      <c r="CV200" s="43"/>
      <c r="CW200" s="44">
        <v>1.0</v>
      </c>
      <c r="CX200" s="44">
        <v>1.0</v>
      </c>
      <c r="CY200" s="44">
        <v>0.1</v>
      </c>
      <c r="CZ200" s="45"/>
      <c r="DA200" s="43"/>
      <c r="DB200" s="44">
        <v>0.0</v>
      </c>
      <c r="DC200" s="43"/>
      <c r="DD200" s="78"/>
      <c r="DE200" s="43"/>
      <c r="DF200" s="43"/>
      <c r="DG200" s="48" t="s">
        <v>128</v>
      </c>
      <c r="DH200" s="48" t="s">
        <v>131</v>
      </c>
      <c r="DI200" s="48" t="s">
        <v>574</v>
      </c>
      <c r="DJ200" s="49">
        <v>1.0</v>
      </c>
      <c r="DK200" s="48" t="b">
        <v>0</v>
      </c>
      <c r="DL200" s="111"/>
      <c r="DM200" s="111"/>
      <c r="DN200" s="111"/>
      <c r="DO200" s="51"/>
      <c r="DP200" s="51"/>
      <c r="DQ200" s="48" t="s">
        <v>576</v>
      </c>
      <c r="DR200" s="51"/>
      <c r="DS200" s="48" t="s">
        <v>134</v>
      </c>
    </row>
    <row r="201">
      <c r="A201" s="52" t="s">
        <v>118</v>
      </c>
      <c r="B201" s="53">
        <v>3.0</v>
      </c>
      <c r="C201" s="52" t="s">
        <v>119</v>
      </c>
      <c r="D201" s="53">
        <v>576393.0</v>
      </c>
      <c r="E201" s="52" t="s">
        <v>164</v>
      </c>
      <c r="F201" s="52" t="s">
        <v>608</v>
      </c>
      <c r="G201" s="52" t="s">
        <v>609</v>
      </c>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81"/>
      <c r="BU201" s="54"/>
      <c r="BV201" s="54"/>
      <c r="BW201" s="54"/>
      <c r="BX201" s="53">
        <v>1.0</v>
      </c>
      <c r="BY201" s="53" t="s">
        <v>123</v>
      </c>
      <c r="BZ201" s="87">
        <v>1.0</v>
      </c>
      <c r="CA201" s="72"/>
      <c r="CB201" s="82"/>
      <c r="CC201" s="31"/>
      <c r="CD201" s="58">
        <v>1.0</v>
      </c>
      <c r="CE201" s="83" t="s">
        <v>185</v>
      </c>
      <c r="CF201" s="60"/>
      <c r="CG201" s="61">
        <v>0.0</v>
      </c>
      <c r="CH201" s="84"/>
      <c r="CI201" s="63">
        <v>0.0</v>
      </c>
      <c r="CJ201" s="63">
        <v>0.0</v>
      </c>
      <c r="CK201" s="64">
        <v>0.0</v>
      </c>
      <c r="CL201" s="63">
        <v>0.0</v>
      </c>
      <c r="CM201" s="65">
        <v>0.0</v>
      </c>
      <c r="CN201" s="63">
        <v>0.0</v>
      </c>
      <c r="CO201" s="66">
        <v>0.0</v>
      </c>
      <c r="CP201" s="67">
        <v>0.0</v>
      </c>
      <c r="CQ201" s="63">
        <v>0.0</v>
      </c>
      <c r="CR201" s="63">
        <v>0.0</v>
      </c>
      <c r="CS201" s="63">
        <v>0.0</v>
      </c>
      <c r="CT201" s="68"/>
      <c r="CU201" s="69"/>
      <c r="CV201" s="70"/>
      <c r="CW201" s="71">
        <v>1.0</v>
      </c>
      <c r="CX201" s="71">
        <v>1.0</v>
      </c>
      <c r="CY201" s="71">
        <v>0.1</v>
      </c>
      <c r="CZ201" s="45"/>
      <c r="DA201" s="43"/>
      <c r="DB201" s="44">
        <v>0.0</v>
      </c>
      <c r="DC201" s="43"/>
      <c r="DD201" s="78"/>
      <c r="DE201" s="43"/>
      <c r="DF201" s="43"/>
      <c r="DG201" s="48" t="s">
        <v>128</v>
      </c>
      <c r="DH201" s="48" t="s">
        <v>131</v>
      </c>
      <c r="DI201" s="48" t="s">
        <v>574</v>
      </c>
      <c r="DJ201" s="49">
        <v>1.0</v>
      </c>
      <c r="DK201" s="48" t="b">
        <v>0</v>
      </c>
      <c r="DL201" s="50" t="s">
        <v>584</v>
      </c>
      <c r="DM201" s="111"/>
      <c r="DN201" s="111"/>
      <c r="DO201" s="51"/>
      <c r="DP201" s="51"/>
      <c r="DQ201" s="48" t="s">
        <v>576</v>
      </c>
      <c r="DR201" s="51"/>
      <c r="DS201" s="48" t="s">
        <v>134</v>
      </c>
    </row>
    <row r="202">
      <c r="A202" s="23" t="s">
        <v>118</v>
      </c>
      <c r="B202" s="24">
        <v>3.0</v>
      </c>
      <c r="C202" s="23" t="s">
        <v>119</v>
      </c>
      <c r="D202" s="24">
        <v>536832.0</v>
      </c>
      <c r="E202" s="23" t="s">
        <v>158</v>
      </c>
      <c r="F202" s="23" t="s">
        <v>610</v>
      </c>
      <c r="G202" s="23" t="s">
        <v>611</v>
      </c>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7"/>
      <c r="BU202" s="26"/>
      <c r="BV202" s="26"/>
      <c r="BW202" s="26"/>
      <c r="BX202" s="24">
        <v>1.0</v>
      </c>
      <c r="BY202" s="24" t="s">
        <v>123</v>
      </c>
      <c r="BZ202" s="87">
        <v>1.0</v>
      </c>
      <c r="CA202" s="72"/>
      <c r="CB202" s="82"/>
      <c r="CC202" s="31"/>
      <c r="CD202" s="28">
        <v>1.0</v>
      </c>
      <c r="CE202" s="88" t="s">
        <v>185</v>
      </c>
      <c r="CF202" s="33"/>
      <c r="CG202" s="34">
        <v>0.0</v>
      </c>
      <c r="CH202" s="89"/>
      <c r="CI202" s="36">
        <v>0.0</v>
      </c>
      <c r="CJ202" s="36">
        <v>0.0</v>
      </c>
      <c r="CK202" s="37">
        <v>0.0</v>
      </c>
      <c r="CL202" s="36">
        <v>0.0</v>
      </c>
      <c r="CM202" s="38">
        <v>0.0</v>
      </c>
      <c r="CN202" s="36">
        <v>0.0</v>
      </c>
      <c r="CO202" s="39">
        <v>0.0</v>
      </c>
      <c r="CP202" s="40">
        <v>0.0</v>
      </c>
      <c r="CQ202" s="36">
        <v>0.0</v>
      </c>
      <c r="CR202" s="36">
        <v>0.0</v>
      </c>
      <c r="CS202" s="36">
        <v>0.0</v>
      </c>
      <c r="CT202" s="41"/>
      <c r="CU202" s="42"/>
      <c r="CV202" s="43"/>
      <c r="CW202" s="44">
        <v>1.0</v>
      </c>
      <c r="CX202" s="44">
        <v>1.0</v>
      </c>
      <c r="CY202" s="44">
        <v>0.1</v>
      </c>
      <c r="CZ202" s="45"/>
      <c r="DA202" s="43"/>
      <c r="DB202" s="44">
        <v>0.0</v>
      </c>
      <c r="DC202" s="43"/>
      <c r="DD202" s="78"/>
      <c r="DE202" s="43"/>
      <c r="DF202" s="43"/>
      <c r="DG202" s="48" t="s">
        <v>128</v>
      </c>
      <c r="DH202" s="48" t="s">
        <v>131</v>
      </c>
      <c r="DI202" s="48" t="s">
        <v>574</v>
      </c>
      <c r="DJ202" s="49">
        <v>1.0</v>
      </c>
      <c r="DK202" s="48" t="b">
        <v>0</v>
      </c>
      <c r="DL202" s="50" t="s">
        <v>595</v>
      </c>
      <c r="DM202" s="111"/>
      <c r="DN202" s="111"/>
      <c r="DO202" s="51"/>
      <c r="DP202" s="51"/>
      <c r="DQ202" s="48" t="s">
        <v>576</v>
      </c>
      <c r="DR202" s="51"/>
      <c r="DS202" s="48" t="s">
        <v>134</v>
      </c>
    </row>
    <row r="203">
      <c r="A203" s="52" t="s">
        <v>118</v>
      </c>
      <c r="B203" s="53">
        <v>3.0</v>
      </c>
      <c r="C203" s="52" t="s">
        <v>119</v>
      </c>
      <c r="D203" s="53">
        <v>588071.0</v>
      </c>
      <c r="E203" s="52" t="s">
        <v>152</v>
      </c>
      <c r="F203" s="52" t="s">
        <v>612</v>
      </c>
      <c r="G203" s="52" t="s">
        <v>613</v>
      </c>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81"/>
      <c r="BU203" s="54"/>
      <c r="BV203" s="54"/>
      <c r="BW203" s="54"/>
      <c r="BX203" s="53">
        <v>1.0</v>
      </c>
      <c r="BY203" s="53" t="s">
        <v>123</v>
      </c>
      <c r="BZ203" s="87">
        <v>1.0</v>
      </c>
      <c r="CA203" s="72"/>
      <c r="CB203" s="82"/>
      <c r="CC203" s="31"/>
      <c r="CD203" s="58">
        <v>1.0</v>
      </c>
      <c r="CE203" s="83" t="s">
        <v>185</v>
      </c>
      <c r="CF203" s="60"/>
      <c r="CG203" s="61">
        <v>0.0</v>
      </c>
      <c r="CH203" s="84"/>
      <c r="CI203" s="63">
        <v>0.0</v>
      </c>
      <c r="CJ203" s="63">
        <v>0.0</v>
      </c>
      <c r="CK203" s="64">
        <v>0.0</v>
      </c>
      <c r="CL203" s="63">
        <v>0.0</v>
      </c>
      <c r="CM203" s="65">
        <v>0.0</v>
      </c>
      <c r="CN203" s="63">
        <v>0.0</v>
      </c>
      <c r="CO203" s="66">
        <v>0.0</v>
      </c>
      <c r="CP203" s="67">
        <v>0.0</v>
      </c>
      <c r="CQ203" s="63">
        <v>0.0</v>
      </c>
      <c r="CR203" s="63">
        <v>0.0</v>
      </c>
      <c r="CS203" s="63">
        <v>0.0</v>
      </c>
      <c r="CT203" s="68"/>
      <c r="CU203" s="69"/>
      <c r="CV203" s="70"/>
      <c r="CW203" s="71">
        <v>1.0</v>
      </c>
      <c r="CX203" s="71">
        <v>1.0</v>
      </c>
      <c r="CY203" s="71">
        <v>0.1</v>
      </c>
      <c r="CZ203" s="45"/>
      <c r="DA203" s="43"/>
      <c r="DB203" s="44">
        <v>0.0</v>
      </c>
      <c r="DC203" s="43"/>
      <c r="DD203" s="78"/>
      <c r="DE203" s="43"/>
      <c r="DF203" s="43"/>
      <c r="DG203" s="48" t="s">
        <v>128</v>
      </c>
      <c r="DH203" s="48" t="s">
        <v>131</v>
      </c>
      <c r="DI203" s="48" t="s">
        <v>574</v>
      </c>
      <c r="DJ203" s="49">
        <v>1.0</v>
      </c>
      <c r="DK203" s="48" t="b">
        <v>0</v>
      </c>
      <c r="DL203" s="50" t="s">
        <v>575</v>
      </c>
      <c r="DM203" s="111"/>
      <c r="DN203" s="111"/>
      <c r="DO203" s="51"/>
      <c r="DP203" s="51"/>
      <c r="DQ203" s="48" t="s">
        <v>576</v>
      </c>
      <c r="DR203" s="51"/>
      <c r="DS203" s="48" t="s">
        <v>134</v>
      </c>
    </row>
    <row r="204">
      <c r="A204" s="23" t="s">
        <v>118</v>
      </c>
      <c r="B204" s="24">
        <v>3.0</v>
      </c>
      <c r="C204" s="23" t="s">
        <v>119</v>
      </c>
      <c r="D204" s="24">
        <v>536832.0</v>
      </c>
      <c r="E204" s="23" t="s">
        <v>158</v>
      </c>
      <c r="F204" s="23" t="s">
        <v>614</v>
      </c>
      <c r="G204" s="23" t="s">
        <v>615</v>
      </c>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7"/>
      <c r="BU204" s="26"/>
      <c r="BV204" s="26"/>
      <c r="BW204" s="26"/>
      <c r="BX204" s="24">
        <v>1.0</v>
      </c>
      <c r="BY204" s="24" t="s">
        <v>123</v>
      </c>
      <c r="BZ204" s="87">
        <v>1.0</v>
      </c>
      <c r="CA204" s="72"/>
      <c r="CB204" s="82"/>
      <c r="CC204" s="31"/>
      <c r="CD204" s="28">
        <v>1.0</v>
      </c>
      <c r="CE204" s="88" t="s">
        <v>185</v>
      </c>
      <c r="CF204" s="33"/>
      <c r="CG204" s="34">
        <v>0.0</v>
      </c>
      <c r="CH204" s="89"/>
      <c r="CI204" s="36">
        <v>0.0</v>
      </c>
      <c r="CJ204" s="36">
        <v>0.0</v>
      </c>
      <c r="CK204" s="37">
        <v>0.0</v>
      </c>
      <c r="CL204" s="36">
        <v>0.0</v>
      </c>
      <c r="CM204" s="38">
        <v>0.0</v>
      </c>
      <c r="CN204" s="36">
        <v>0.0</v>
      </c>
      <c r="CO204" s="39">
        <v>0.0</v>
      </c>
      <c r="CP204" s="40">
        <v>0.0</v>
      </c>
      <c r="CQ204" s="36">
        <v>0.0</v>
      </c>
      <c r="CR204" s="36">
        <v>0.0</v>
      </c>
      <c r="CS204" s="36">
        <v>0.0</v>
      </c>
      <c r="CT204" s="41"/>
      <c r="CU204" s="42"/>
      <c r="CV204" s="43"/>
      <c r="CW204" s="44">
        <v>1.0</v>
      </c>
      <c r="CX204" s="44">
        <v>1.0</v>
      </c>
      <c r="CY204" s="44">
        <v>0.1</v>
      </c>
      <c r="CZ204" s="45"/>
      <c r="DA204" s="43"/>
      <c r="DB204" s="44">
        <v>0.0</v>
      </c>
      <c r="DC204" s="43"/>
      <c r="DD204" s="78"/>
      <c r="DE204" s="43"/>
      <c r="DF204" s="43"/>
      <c r="DG204" s="48" t="s">
        <v>128</v>
      </c>
      <c r="DH204" s="48" t="s">
        <v>131</v>
      </c>
      <c r="DI204" s="48" t="s">
        <v>574</v>
      </c>
      <c r="DJ204" s="49">
        <v>1.0</v>
      </c>
      <c r="DK204" s="48" t="b">
        <v>0</v>
      </c>
      <c r="DL204" s="50" t="s">
        <v>584</v>
      </c>
      <c r="DM204" s="111"/>
      <c r="DN204" s="111"/>
      <c r="DO204" s="51"/>
      <c r="DP204" s="51"/>
      <c r="DQ204" s="48" t="s">
        <v>576</v>
      </c>
      <c r="DR204" s="51"/>
      <c r="DS204" s="48" t="s">
        <v>134</v>
      </c>
    </row>
    <row r="205">
      <c r="A205" s="52" t="s">
        <v>118</v>
      </c>
      <c r="B205" s="53">
        <v>3.0</v>
      </c>
      <c r="C205" s="52" t="s">
        <v>119</v>
      </c>
      <c r="D205" s="53">
        <v>648801.0</v>
      </c>
      <c r="E205" s="52" t="s">
        <v>198</v>
      </c>
      <c r="F205" s="52" t="s">
        <v>616</v>
      </c>
      <c r="G205" s="52" t="s">
        <v>617</v>
      </c>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81"/>
      <c r="BU205" s="54"/>
      <c r="BV205" s="54"/>
      <c r="BW205" s="54"/>
      <c r="BX205" s="53">
        <v>1.0</v>
      </c>
      <c r="BY205" s="53" t="s">
        <v>123</v>
      </c>
      <c r="BZ205" s="87">
        <v>1.0</v>
      </c>
      <c r="CA205" s="72"/>
      <c r="CB205" s="82"/>
      <c r="CC205" s="31"/>
      <c r="CD205" s="58">
        <v>1.0</v>
      </c>
      <c r="CE205" s="83" t="s">
        <v>185</v>
      </c>
      <c r="CF205" s="60"/>
      <c r="CG205" s="61">
        <v>0.0</v>
      </c>
      <c r="CH205" s="84"/>
      <c r="CI205" s="63">
        <v>0.0</v>
      </c>
      <c r="CJ205" s="63">
        <v>0.0</v>
      </c>
      <c r="CK205" s="64">
        <v>0.0</v>
      </c>
      <c r="CL205" s="63">
        <v>0.0</v>
      </c>
      <c r="CM205" s="65">
        <v>0.0</v>
      </c>
      <c r="CN205" s="63">
        <v>0.0</v>
      </c>
      <c r="CO205" s="66">
        <v>0.0</v>
      </c>
      <c r="CP205" s="67">
        <v>0.0</v>
      </c>
      <c r="CQ205" s="63">
        <v>0.0</v>
      </c>
      <c r="CR205" s="63">
        <v>0.0</v>
      </c>
      <c r="CS205" s="63">
        <v>0.0</v>
      </c>
      <c r="CT205" s="68"/>
      <c r="CU205" s="69"/>
      <c r="CV205" s="70"/>
      <c r="CW205" s="71">
        <v>1.0</v>
      </c>
      <c r="CX205" s="71">
        <v>1.0</v>
      </c>
      <c r="CY205" s="71">
        <v>0.1</v>
      </c>
      <c r="CZ205" s="45"/>
      <c r="DA205" s="43"/>
      <c r="DB205" s="44">
        <v>0.0</v>
      </c>
      <c r="DC205" s="43"/>
      <c r="DD205" s="78"/>
      <c r="DE205" s="43"/>
      <c r="DF205" s="43"/>
      <c r="DG205" s="48" t="s">
        <v>128</v>
      </c>
      <c r="DH205" s="48" t="s">
        <v>131</v>
      </c>
      <c r="DI205" s="48" t="s">
        <v>574</v>
      </c>
      <c r="DJ205" s="49">
        <v>1.0</v>
      </c>
      <c r="DK205" s="48" t="b">
        <v>0</v>
      </c>
      <c r="DL205" s="50" t="s">
        <v>575</v>
      </c>
      <c r="DM205" s="111"/>
      <c r="DN205" s="111"/>
      <c r="DO205" s="51"/>
      <c r="DP205" s="51"/>
      <c r="DQ205" s="48" t="s">
        <v>576</v>
      </c>
      <c r="DR205" s="51"/>
      <c r="DS205" s="48" t="s">
        <v>134</v>
      </c>
    </row>
    <row r="206">
      <c r="A206" s="23" t="s">
        <v>118</v>
      </c>
      <c r="B206" s="24">
        <v>3.0</v>
      </c>
      <c r="C206" s="23" t="s">
        <v>119</v>
      </c>
      <c r="D206" s="24">
        <v>626041.0</v>
      </c>
      <c r="E206" s="23" t="s">
        <v>135</v>
      </c>
      <c r="F206" s="23" t="s">
        <v>618</v>
      </c>
      <c r="G206" s="23" t="s">
        <v>619</v>
      </c>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7"/>
      <c r="BU206" s="26"/>
      <c r="BV206" s="26"/>
      <c r="BW206" s="26"/>
      <c r="BX206" s="24">
        <v>1.0</v>
      </c>
      <c r="BY206" s="24" t="s">
        <v>123</v>
      </c>
      <c r="BZ206" s="87">
        <v>1.0</v>
      </c>
      <c r="CA206" s="72"/>
      <c r="CB206" s="82"/>
      <c r="CC206" s="31"/>
      <c r="CD206" s="28">
        <v>1.0</v>
      </c>
      <c r="CE206" s="88" t="s">
        <v>185</v>
      </c>
      <c r="CF206" s="33"/>
      <c r="CG206" s="34">
        <v>0.0</v>
      </c>
      <c r="CH206" s="89"/>
      <c r="CI206" s="36">
        <v>0.0</v>
      </c>
      <c r="CJ206" s="36">
        <v>0.0</v>
      </c>
      <c r="CK206" s="37">
        <v>0.0</v>
      </c>
      <c r="CL206" s="36">
        <v>0.0</v>
      </c>
      <c r="CM206" s="38">
        <v>0.0</v>
      </c>
      <c r="CN206" s="36">
        <v>0.0</v>
      </c>
      <c r="CO206" s="39">
        <v>0.0</v>
      </c>
      <c r="CP206" s="40">
        <v>0.0</v>
      </c>
      <c r="CQ206" s="36">
        <v>0.0</v>
      </c>
      <c r="CR206" s="36">
        <v>0.0</v>
      </c>
      <c r="CS206" s="36">
        <v>0.0</v>
      </c>
      <c r="CT206" s="41"/>
      <c r="CU206" s="42"/>
      <c r="CV206" s="43"/>
      <c r="CW206" s="44">
        <v>1.0</v>
      </c>
      <c r="CX206" s="44">
        <v>1.0</v>
      </c>
      <c r="CY206" s="44">
        <v>0.1</v>
      </c>
      <c r="CZ206" s="45"/>
      <c r="DA206" s="43"/>
      <c r="DB206" s="44">
        <v>0.0</v>
      </c>
      <c r="DC206" s="43"/>
      <c r="DD206" s="78"/>
      <c r="DE206" s="43"/>
      <c r="DF206" s="43"/>
      <c r="DG206" s="48" t="s">
        <v>128</v>
      </c>
      <c r="DH206" s="48" t="s">
        <v>131</v>
      </c>
      <c r="DI206" s="48" t="s">
        <v>574</v>
      </c>
      <c r="DJ206" s="49">
        <v>1.0</v>
      </c>
      <c r="DK206" s="48" t="b">
        <v>0</v>
      </c>
      <c r="DL206" s="50" t="s">
        <v>575</v>
      </c>
      <c r="DM206" s="111"/>
      <c r="DN206" s="111"/>
      <c r="DO206" s="51"/>
      <c r="DP206" s="51"/>
      <c r="DQ206" s="48" t="s">
        <v>576</v>
      </c>
      <c r="DR206" s="51"/>
      <c r="DS206" s="48" t="s">
        <v>134</v>
      </c>
    </row>
    <row r="207">
      <c r="A207" s="52" t="s">
        <v>118</v>
      </c>
      <c r="B207" s="53">
        <v>3.0</v>
      </c>
      <c r="C207" s="52" t="s">
        <v>119</v>
      </c>
      <c r="D207" s="53">
        <v>640888.0</v>
      </c>
      <c r="E207" s="52" t="s">
        <v>161</v>
      </c>
      <c r="F207" s="52" t="s">
        <v>620</v>
      </c>
      <c r="G207" s="52" t="s">
        <v>621</v>
      </c>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81"/>
      <c r="BU207" s="54"/>
      <c r="BV207" s="54"/>
      <c r="BW207" s="54"/>
      <c r="BX207" s="53">
        <v>1.0</v>
      </c>
      <c r="BY207" s="53" t="s">
        <v>123</v>
      </c>
      <c r="BZ207" s="87">
        <v>1.0</v>
      </c>
      <c r="CA207" s="72"/>
      <c r="CB207" s="82"/>
      <c r="CC207" s="31"/>
      <c r="CD207" s="58">
        <v>1.0</v>
      </c>
      <c r="CE207" s="83" t="s">
        <v>185</v>
      </c>
      <c r="CF207" s="60"/>
      <c r="CG207" s="61">
        <v>0.0</v>
      </c>
      <c r="CH207" s="84"/>
      <c r="CI207" s="63">
        <v>0.0</v>
      </c>
      <c r="CJ207" s="63">
        <v>0.0</v>
      </c>
      <c r="CK207" s="64">
        <v>0.0</v>
      </c>
      <c r="CL207" s="63">
        <v>0.0</v>
      </c>
      <c r="CM207" s="65">
        <v>0.0</v>
      </c>
      <c r="CN207" s="63">
        <v>0.0</v>
      </c>
      <c r="CO207" s="66">
        <v>0.0</v>
      </c>
      <c r="CP207" s="67">
        <v>0.0</v>
      </c>
      <c r="CQ207" s="63">
        <v>0.0</v>
      </c>
      <c r="CR207" s="63">
        <v>0.0</v>
      </c>
      <c r="CS207" s="63">
        <v>0.0</v>
      </c>
      <c r="CT207" s="68"/>
      <c r="CU207" s="69"/>
      <c r="CV207" s="70"/>
      <c r="CW207" s="71">
        <v>1.0</v>
      </c>
      <c r="CX207" s="71">
        <v>1.0</v>
      </c>
      <c r="CY207" s="71">
        <v>0.1</v>
      </c>
      <c r="CZ207" s="45"/>
      <c r="DA207" s="43"/>
      <c r="DB207" s="44">
        <v>0.0</v>
      </c>
      <c r="DC207" s="43"/>
      <c r="DD207" s="78"/>
      <c r="DE207" s="43"/>
      <c r="DF207" s="43"/>
      <c r="DG207" s="48" t="s">
        <v>128</v>
      </c>
      <c r="DH207" s="48" t="s">
        <v>131</v>
      </c>
      <c r="DI207" s="48" t="s">
        <v>574</v>
      </c>
      <c r="DJ207" s="49">
        <v>1.0</v>
      </c>
      <c r="DK207" s="48" t="b">
        <v>0</v>
      </c>
      <c r="DL207" s="111"/>
      <c r="DM207" s="111"/>
      <c r="DN207" s="111"/>
      <c r="DO207" s="51"/>
      <c r="DP207" s="51"/>
      <c r="DQ207" s="48" t="s">
        <v>576</v>
      </c>
      <c r="DR207" s="51"/>
      <c r="DS207" s="48" t="s">
        <v>134</v>
      </c>
    </row>
    <row r="208">
      <c r="A208" s="23" t="s">
        <v>118</v>
      </c>
      <c r="B208" s="24">
        <v>3.0</v>
      </c>
      <c r="C208" s="23" t="s">
        <v>119</v>
      </c>
      <c r="D208" s="24">
        <v>641892.0</v>
      </c>
      <c r="E208" s="23" t="s">
        <v>170</v>
      </c>
      <c r="F208" s="23" t="s">
        <v>622</v>
      </c>
      <c r="G208" s="23" t="s">
        <v>623</v>
      </c>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7"/>
      <c r="BU208" s="26"/>
      <c r="BV208" s="26"/>
      <c r="BW208" s="26"/>
      <c r="BX208" s="24">
        <v>1.0</v>
      </c>
      <c r="BY208" s="24" t="s">
        <v>123</v>
      </c>
      <c r="BZ208" s="87">
        <v>1.0</v>
      </c>
      <c r="CA208" s="72"/>
      <c r="CB208" s="82"/>
      <c r="CC208" s="31"/>
      <c r="CD208" s="28">
        <v>1.0</v>
      </c>
      <c r="CE208" s="88" t="s">
        <v>185</v>
      </c>
      <c r="CF208" s="33"/>
      <c r="CG208" s="34">
        <v>0.0</v>
      </c>
      <c r="CH208" s="89"/>
      <c r="CI208" s="36">
        <v>0.0</v>
      </c>
      <c r="CJ208" s="36">
        <v>0.0</v>
      </c>
      <c r="CK208" s="37">
        <v>0.0</v>
      </c>
      <c r="CL208" s="36">
        <v>0.0</v>
      </c>
      <c r="CM208" s="38">
        <v>0.0</v>
      </c>
      <c r="CN208" s="36">
        <v>0.0</v>
      </c>
      <c r="CO208" s="39">
        <v>0.0</v>
      </c>
      <c r="CP208" s="40">
        <v>0.0</v>
      </c>
      <c r="CQ208" s="36">
        <v>0.0</v>
      </c>
      <c r="CR208" s="36">
        <v>0.0</v>
      </c>
      <c r="CS208" s="36">
        <v>0.0</v>
      </c>
      <c r="CT208" s="41"/>
      <c r="CU208" s="42"/>
      <c r="CV208" s="43"/>
      <c r="CW208" s="44">
        <v>1.0</v>
      </c>
      <c r="CX208" s="44">
        <v>1.0</v>
      </c>
      <c r="CY208" s="44">
        <v>0.1</v>
      </c>
      <c r="CZ208" s="45"/>
      <c r="DA208" s="43"/>
      <c r="DB208" s="44">
        <v>0.0</v>
      </c>
      <c r="DC208" s="43"/>
      <c r="DD208" s="78"/>
      <c r="DE208" s="43"/>
      <c r="DF208" s="43"/>
      <c r="DG208" s="48" t="s">
        <v>128</v>
      </c>
      <c r="DH208" s="48" t="s">
        <v>131</v>
      </c>
      <c r="DI208" s="48" t="s">
        <v>574</v>
      </c>
      <c r="DJ208" s="49">
        <v>1.0</v>
      </c>
      <c r="DK208" s="48" t="b">
        <v>0</v>
      </c>
      <c r="DL208" s="111"/>
      <c r="DM208" s="111"/>
      <c r="DN208" s="111"/>
      <c r="DO208" s="51"/>
      <c r="DP208" s="48" t="s">
        <v>128</v>
      </c>
      <c r="DQ208" s="48" t="s">
        <v>576</v>
      </c>
      <c r="DR208" s="51"/>
      <c r="DS208" s="48" t="s">
        <v>134</v>
      </c>
    </row>
    <row r="209">
      <c r="A209" s="52" t="s">
        <v>118</v>
      </c>
      <c r="B209" s="53">
        <v>3.0</v>
      </c>
      <c r="C209" s="52" t="s">
        <v>119</v>
      </c>
      <c r="D209" s="53">
        <v>648801.0</v>
      </c>
      <c r="E209" s="52" t="s">
        <v>198</v>
      </c>
      <c r="F209" s="52" t="s">
        <v>624</v>
      </c>
      <c r="G209" s="52" t="s">
        <v>625</v>
      </c>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81"/>
      <c r="BU209" s="54"/>
      <c r="BV209" s="54"/>
      <c r="BW209" s="54"/>
      <c r="BX209" s="53">
        <v>1.0</v>
      </c>
      <c r="BY209" s="53" t="s">
        <v>123</v>
      </c>
      <c r="BZ209" s="87">
        <v>1.0</v>
      </c>
      <c r="CA209" s="72"/>
      <c r="CB209" s="82"/>
      <c r="CC209" s="31"/>
      <c r="CD209" s="58">
        <v>1.0</v>
      </c>
      <c r="CE209" s="83" t="s">
        <v>185</v>
      </c>
      <c r="CF209" s="60"/>
      <c r="CG209" s="61">
        <v>0.0</v>
      </c>
      <c r="CH209" s="84"/>
      <c r="CI209" s="63">
        <v>0.0</v>
      </c>
      <c r="CJ209" s="63">
        <v>0.0</v>
      </c>
      <c r="CK209" s="64">
        <v>0.0</v>
      </c>
      <c r="CL209" s="63">
        <v>0.0</v>
      </c>
      <c r="CM209" s="65">
        <v>0.0</v>
      </c>
      <c r="CN209" s="63">
        <v>0.0</v>
      </c>
      <c r="CO209" s="66">
        <v>0.0</v>
      </c>
      <c r="CP209" s="67">
        <v>0.0</v>
      </c>
      <c r="CQ209" s="63">
        <v>0.0</v>
      </c>
      <c r="CR209" s="63">
        <v>0.0</v>
      </c>
      <c r="CS209" s="63">
        <v>0.0</v>
      </c>
      <c r="CT209" s="68"/>
      <c r="CU209" s="69"/>
      <c r="CV209" s="70"/>
      <c r="CW209" s="71">
        <v>1.0</v>
      </c>
      <c r="CX209" s="71">
        <v>1.0</v>
      </c>
      <c r="CY209" s="71">
        <v>0.1</v>
      </c>
      <c r="CZ209" s="45"/>
      <c r="DA209" s="43"/>
      <c r="DB209" s="44">
        <v>0.0</v>
      </c>
      <c r="DC209" s="43"/>
      <c r="DD209" s="78"/>
      <c r="DE209" s="43"/>
      <c r="DF209" s="43"/>
      <c r="DG209" s="48" t="s">
        <v>128</v>
      </c>
      <c r="DH209" s="48" t="s">
        <v>131</v>
      </c>
      <c r="DI209" s="48" t="s">
        <v>574</v>
      </c>
      <c r="DJ209" s="49">
        <v>1.0</v>
      </c>
      <c r="DK209" s="48" t="b">
        <v>0</v>
      </c>
      <c r="DL209" s="50" t="s">
        <v>584</v>
      </c>
      <c r="DM209" s="111"/>
      <c r="DN209" s="111"/>
      <c r="DO209" s="51"/>
      <c r="DP209" s="51"/>
      <c r="DQ209" s="48" t="s">
        <v>576</v>
      </c>
      <c r="DR209" s="51"/>
      <c r="DS209" s="48" t="s">
        <v>134</v>
      </c>
    </row>
    <row r="210">
      <c r="A210" s="23" t="s">
        <v>118</v>
      </c>
      <c r="B210" s="24">
        <v>3.0</v>
      </c>
      <c r="C210" s="23" t="s">
        <v>119</v>
      </c>
      <c r="D210" s="24">
        <v>627274.0</v>
      </c>
      <c r="E210" s="23" t="s">
        <v>173</v>
      </c>
      <c r="F210" s="23" t="s">
        <v>626</v>
      </c>
      <c r="G210" s="23" t="s">
        <v>627</v>
      </c>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7"/>
      <c r="BU210" s="26"/>
      <c r="BV210" s="26"/>
      <c r="BW210" s="26"/>
      <c r="BX210" s="24">
        <v>1.0</v>
      </c>
      <c r="BY210" s="24" t="s">
        <v>123</v>
      </c>
      <c r="BZ210" s="87">
        <v>1.0</v>
      </c>
      <c r="CA210" s="72"/>
      <c r="CB210" s="82"/>
      <c r="CC210" s="31"/>
      <c r="CD210" s="28">
        <v>1.0</v>
      </c>
      <c r="CE210" s="88" t="s">
        <v>185</v>
      </c>
      <c r="CF210" s="33"/>
      <c r="CG210" s="34">
        <v>0.0</v>
      </c>
      <c r="CH210" s="89"/>
      <c r="CI210" s="36">
        <v>0.0</v>
      </c>
      <c r="CJ210" s="36">
        <v>0.0</v>
      </c>
      <c r="CK210" s="37">
        <v>0.0</v>
      </c>
      <c r="CL210" s="36">
        <v>0.0</v>
      </c>
      <c r="CM210" s="38">
        <v>0.0</v>
      </c>
      <c r="CN210" s="36">
        <v>0.0</v>
      </c>
      <c r="CO210" s="39">
        <v>0.0</v>
      </c>
      <c r="CP210" s="40">
        <v>0.0</v>
      </c>
      <c r="CQ210" s="36">
        <v>0.0</v>
      </c>
      <c r="CR210" s="36">
        <v>0.0</v>
      </c>
      <c r="CS210" s="36">
        <v>0.0</v>
      </c>
      <c r="CT210" s="41"/>
      <c r="CU210" s="42"/>
      <c r="CV210" s="43"/>
      <c r="CW210" s="44">
        <v>1.0</v>
      </c>
      <c r="CX210" s="44">
        <v>1.0</v>
      </c>
      <c r="CY210" s="44">
        <v>0.1</v>
      </c>
      <c r="CZ210" s="45"/>
      <c r="DA210" s="43"/>
      <c r="DB210" s="44">
        <v>0.0</v>
      </c>
      <c r="DC210" s="43"/>
      <c r="DD210" s="78"/>
      <c r="DE210" s="43"/>
      <c r="DF210" s="43"/>
      <c r="DG210" s="48" t="s">
        <v>128</v>
      </c>
      <c r="DH210" s="48" t="s">
        <v>131</v>
      </c>
      <c r="DI210" s="48" t="s">
        <v>574</v>
      </c>
      <c r="DJ210" s="49">
        <v>1.0</v>
      </c>
      <c r="DK210" s="48" t="b">
        <v>0</v>
      </c>
      <c r="DL210" s="50" t="s">
        <v>575</v>
      </c>
      <c r="DM210" s="111"/>
      <c r="DN210" s="111"/>
      <c r="DO210" s="51"/>
      <c r="DP210" s="48" t="s">
        <v>128</v>
      </c>
      <c r="DQ210" s="48" t="s">
        <v>576</v>
      </c>
      <c r="DR210" s="51"/>
      <c r="DS210" s="48" t="s">
        <v>134</v>
      </c>
    </row>
    <row r="211">
      <c r="A211" s="52" t="s">
        <v>118</v>
      </c>
      <c r="B211" s="53">
        <v>3.0</v>
      </c>
      <c r="C211" s="52" t="s">
        <v>119</v>
      </c>
      <c r="D211" s="53">
        <v>604008.0</v>
      </c>
      <c r="E211" s="52" t="s">
        <v>176</v>
      </c>
      <c r="F211" s="52" t="s">
        <v>628</v>
      </c>
      <c r="G211" s="52" t="s">
        <v>629</v>
      </c>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81"/>
      <c r="BU211" s="54"/>
      <c r="BV211" s="54"/>
      <c r="BW211" s="54"/>
      <c r="BX211" s="53">
        <v>1.0</v>
      </c>
      <c r="BY211" s="53" t="s">
        <v>123</v>
      </c>
      <c r="BZ211" s="87">
        <v>1.0</v>
      </c>
      <c r="CA211" s="72"/>
      <c r="CB211" s="82"/>
      <c r="CC211" s="31"/>
      <c r="CD211" s="58">
        <v>1.0</v>
      </c>
      <c r="CE211" s="83" t="s">
        <v>185</v>
      </c>
      <c r="CF211" s="60"/>
      <c r="CG211" s="61">
        <v>0.0</v>
      </c>
      <c r="CH211" s="84"/>
      <c r="CI211" s="63">
        <v>0.0</v>
      </c>
      <c r="CJ211" s="63">
        <v>0.0</v>
      </c>
      <c r="CK211" s="64">
        <v>0.0</v>
      </c>
      <c r="CL211" s="63">
        <v>0.0</v>
      </c>
      <c r="CM211" s="65">
        <v>0.0</v>
      </c>
      <c r="CN211" s="63">
        <v>0.0</v>
      </c>
      <c r="CO211" s="66">
        <v>0.0</v>
      </c>
      <c r="CP211" s="67">
        <v>0.0</v>
      </c>
      <c r="CQ211" s="63">
        <v>0.0</v>
      </c>
      <c r="CR211" s="63">
        <v>0.0</v>
      </c>
      <c r="CS211" s="63">
        <v>0.0</v>
      </c>
      <c r="CT211" s="68"/>
      <c r="CU211" s="69"/>
      <c r="CV211" s="70"/>
      <c r="CW211" s="71">
        <v>1.0</v>
      </c>
      <c r="CX211" s="71">
        <v>1.0</v>
      </c>
      <c r="CY211" s="71">
        <v>0.1</v>
      </c>
      <c r="CZ211" s="45"/>
      <c r="DA211" s="43"/>
      <c r="DB211" s="44">
        <v>0.0</v>
      </c>
      <c r="DC211" s="43"/>
      <c r="DD211" s="78"/>
      <c r="DE211" s="43"/>
      <c r="DF211" s="43"/>
      <c r="DG211" s="48" t="s">
        <v>128</v>
      </c>
      <c r="DH211" s="48" t="s">
        <v>131</v>
      </c>
      <c r="DI211" s="48" t="s">
        <v>574</v>
      </c>
      <c r="DJ211" s="49">
        <v>1.0</v>
      </c>
      <c r="DK211" s="48" t="b">
        <v>0</v>
      </c>
      <c r="DL211" s="111"/>
      <c r="DM211" s="111"/>
      <c r="DN211" s="111"/>
      <c r="DO211" s="51"/>
      <c r="DP211" s="51"/>
      <c r="DQ211" s="48" t="s">
        <v>576</v>
      </c>
      <c r="DR211" s="51"/>
      <c r="DS211" s="48" t="s">
        <v>134</v>
      </c>
    </row>
    <row r="212">
      <c r="A212" s="23" t="s">
        <v>118</v>
      </c>
      <c r="B212" s="24">
        <v>3.0</v>
      </c>
      <c r="C212" s="23" t="s">
        <v>119</v>
      </c>
      <c r="D212" s="24">
        <v>627274.0</v>
      </c>
      <c r="E212" s="23" t="s">
        <v>173</v>
      </c>
      <c r="F212" s="23" t="s">
        <v>630</v>
      </c>
      <c r="G212" s="23" t="s">
        <v>631</v>
      </c>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7"/>
      <c r="BU212" s="26"/>
      <c r="BV212" s="26"/>
      <c r="BW212" s="26"/>
      <c r="BX212" s="24">
        <v>1.0</v>
      </c>
      <c r="BY212" s="24" t="s">
        <v>123</v>
      </c>
      <c r="BZ212" s="87">
        <v>1.0</v>
      </c>
      <c r="CA212" s="72"/>
      <c r="CB212" s="82"/>
      <c r="CC212" s="31"/>
      <c r="CD212" s="28">
        <v>1.0</v>
      </c>
      <c r="CE212" s="88" t="s">
        <v>185</v>
      </c>
      <c r="CF212" s="33"/>
      <c r="CG212" s="34">
        <v>0.0</v>
      </c>
      <c r="CH212" s="89"/>
      <c r="CI212" s="36">
        <v>0.0</v>
      </c>
      <c r="CJ212" s="36">
        <v>0.0</v>
      </c>
      <c r="CK212" s="37">
        <v>0.0</v>
      </c>
      <c r="CL212" s="36">
        <v>0.0</v>
      </c>
      <c r="CM212" s="38">
        <v>0.0</v>
      </c>
      <c r="CN212" s="36">
        <v>0.0</v>
      </c>
      <c r="CO212" s="39">
        <v>0.0</v>
      </c>
      <c r="CP212" s="40">
        <v>0.0</v>
      </c>
      <c r="CQ212" s="36">
        <v>0.0</v>
      </c>
      <c r="CR212" s="36">
        <v>0.0</v>
      </c>
      <c r="CS212" s="36">
        <v>0.0</v>
      </c>
      <c r="CT212" s="41"/>
      <c r="CU212" s="42"/>
      <c r="CV212" s="43"/>
      <c r="CW212" s="44">
        <v>1.0</v>
      </c>
      <c r="CX212" s="44">
        <v>1.0</v>
      </c>
      <c r="CY212" s="44">
        <v>0.1</v>
      </c>
      <c r="CZ212" s="45"/>
      <c r="DA212" s="43"/>
      <c r="DB212" s="44">
        <v>0.0</v>
      </c>
      <c r="DC212" s="43"/>
      <c r="DD212" s="78"/>
      <c r="DE212" s="43"/>
      <c r="DF212" s="43"/>
      <c r="DG212" s="48" t="s">
        <v>128</v>
      </c>
      <c r="DH212" s="48" t="s">
        <v>131</v>
      </c>
      <c r="DI212" s="48" t="s">
        <v>574</v>
      </c>
      <c r="DJ212" s="49">
        <v>1.0</v>
      </c>
      <c r="DK212" s="48" t="b">
        <v>0</v>
      </c>
      <c r="DL212" s="111"/>
      <c r="DM212" s="111"/>
      <c r="DN212" s="111"/>
      <c r="DO212" s="51"/>
      <c r="DP212" s="48" t="s">
        <v>128</v>
      </c>
      <c r="DQ212" s="48" t="s">
        <v>576</v>
      </c>
      <c r="DR212" s="51"/>
      <c r="DS212" s="48" t="s">
        <v>134</v>
      </c>
    </row>
    <row r="213">
      <c r="A213" s="52" t="s">
        <v>118</v>
      </c>
      <c r="B213" s="53">
        <v>3.0</v>
      </c>
      <c r="C213" s="52" t="s">
        <v>119</v>
      </c>
      <c r="D213" s="53">
        <v>576393.0</v>
      </c>
      <c r="E213" s="52" t="s">
        <v>164</v>
      </c>
      <c r="F213" s="52" t="s">
        <v>632</v>
      </c>
      <c r="G213" s="52" t="s">
        <v>633</v>
      </c>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81"/>
      <c r="BU213" s="54"/>
      <c r="BV213" s="54"/>
      <c r="BW213" s="54"/>
      <c r="BX213" s="53">
        <v>1.0</v>
      </c>
      <c r="BY213" s="53" t="s">
        <v>123</v>
      </c>
      <c r="BZ213" s="87">
        <v>1.0</v>
      </c>
      <c r="CA213" s="72"/>
      <c r="CB213" s="82"/>
      <c r="CC213" s="31"/>
      <c r="CD213" s="58">
        <v>1.0</v>
      </c>
      <c r="CE213" s="83" t="s">
        <v>185</v>
      </c>
      <c r="CF213" s="60"/>
      <c r="CG213" s="61">
        <v>0.0</v>
      </c>
      <c r="CH213" s="84"/>
      <c r="CI213" s="63">
        <v>0.0</v>
      </c>
      <c r="CJ213" s="63">
        <v>0.0</v>
      </c>
      <c r="CK213" s="64">
        <v>0.0</v>
      </c>
      <c r="CL213" s="63">
        <v>0.0</v>
      </c>
      <c r="CM213" s="65">
        <v>0.0</v>
      </c>
      <c r="CN213" s="63">
        <v>0.0</v>
      </c>
      <c r="CO213" s="66">
        <v>0.0</v>
      </c>
      <c r="CP213" s="67">
        <v>0.0</v>
      </c>
      <c r="CQ213" s="63">
        <v>0.0</v>
      </c>
      <c r="CR213" s="63">
        <v>0.0</v>
      </c>
      <c r="CS213" s="63">
        <v>0.0</v>
      </c>
      <c r="CT213" s="68"/>
      <c r="CU213" s="69"/>
      <c r="CV213" s="70"/>
      <c r="CW213" s="71">
        <v>1.0</v>
      </c>
      <c r="CX213" s="71">
        <v>1.0</v>
      </c>
      <c r="CY213" s="71">
        <v>0.1</v>
      </c>
      <c r="CZ213" s="45"/>
      <c r="DA213" s="43"/>
      <c r="DB213" s="44">
        <v>0.0</v>
      </c>
      <c r="DC213" s="43"/>
      <c r="DD213" s="78"/>
      <c r="DE213" s="43"/>
      <c r="DF213" s="43"/>
      <c r="DG213" s="48" t="s">
        <v>128</v>
      </c>
      <c r="DH213" s="48" t="s">
        <v>131</v>
      </c>
      <c r="DI213" s="48" t="s">
        <v>343</v>
      </c>
      <c r="DJ213" s="49">
        <v>1.0</v>
      </c>
      <c r="DK213" s="48" t="b">
        <v>0</v>
      </c>
      <c r="DL213" s="50" t="s">
        <v>595</v>
      </c>
      <c r="DM213" s="111"/>
      <c r="DN213" s="111"/>
      <c r="DO213" s="51"/>
      <c r="DP213" s="48" t="s">
        <v>128</v>
      </c>
      <c r="DQ213" s="48" t="s">
        <v>343</v>
      </c>
      <c r="DR213" s="51"/>
      <c r="DS213" s="48" t="s">
        <v>134</v>
      </c>
    </row>
    <row r="214">
      <c r="A214" s="23" t="s">
        <v>118</v>
      </c>
      <c r="B214" s="24">
        <v>3.0</v>
      </c>
      <c r="C214" s="23" t="s">
        <v>119</v>
      </c>
      <c r="D214" s="24">
        <v>576393.0</v>
      </c>
      <c r="E214" s="23" t="s">
        <v>164</v>
      </c>
      <c r="F214" s="23" t="s">
        <v>634</v>
      </c>
      <c r="G214" s="23" t="s">
        <v>635</v>
      </c>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7"/>
      <c r="BU214" s="26"/>
      <c r="BV214" s="26"/>
      <c r="BW214" s="26"/>
      <c r="BX214" s="24">
        <v>1.0</v>
      </c>
      <c r="BY214" s="24" t="s">
        <v>123</v>
      </c>
      <c r="BZ214" s="87">
        <v>1.0</v>
      </c>
      <c r="CA214" s="72"/>
      <c r="CB214" s="82"/>
      <c r="CC214" s="31"/>
      <c r="CD214" s="28">
        <v>1.0</v>
      </c>
      <c r="CE214" s="88" t="s">
        <v>185</v>
      </c>
      <c r="CF214" s="33"/>
      <c r="CG214" s="34">
        <v>0.0</v>
      </c>
      <c r="CH214" s="89"/>
      <c r="CI214" s="36">
        <v>0.0</v>
      </c>
      <c r="CJ214" s="36">
        <v>0.0</v>
      </c>
      <c r="CK214" s="37">
        <v>0.0</v>
      </c>
      <c r="CL214" s="36">
        <v>0.0</v>
      </c>
      <c r="CM214" s="38">
        <v>0.0</v>
      </c>
      <c r="CN214" s="36">
        <v>0.0</v>
      </c>
      <c r="CO214" s="39">
        <v>0.0</v>
      </c>
      <c r="CP214" s="40">
        <v>0.0</v>
      </c>
      <c r="CQ214" s="36">
        <v>0.0</v>
      </c>
      <c r="CR214" s="36">
        <v>0.0</v>
      </c>
      <c r="CS214" s="36">
        <v>0.0</v>
      </c>
      <c r="CT214" s="41"/>
      <c r="CU214" s="42"/>
      <c r="CV214" s="43"/>
      <c r="CW214" s="44">
        <v>1.0</v>
      </c>
      <c r="CX214" s="44">
        <v>1.0</v>
      </c>
      <c r="CY214" s="44">
        <v>0.1</v>
      </c>
      <c r="CZ214" s="45"/>
      <c r="DA214" s="43"/>
      <c r="DB214" s="44">
        <v>0.0</v>
      </c>
      <c r="DC214" s="43"/>
      <c r="DD214" s="78"/>
      <c r="DE214" s="43"/>
      <c r="DF214" s="43"/>
      <c r="DG214" s="48" t="s">
        <v>128</v>
      </c>
      <c r="DH214" s="48" t="s">
        <v>131</v>
      </c>
      <c r="DI214" s="48" t="s">
        <v>574</v>
      </c>
      <c r="DJ214" s="49">
        <v>1.0</v>
      </c>
      <c r="DK214" s="48" t="b">
        <v>0</v>
      </c>
      <c r="DL214" s="50" t="s">
        <v>581</v>
      </c>
      <c r="DM214" s="111"/>
      <c r="DN214" s="111"/>
      <c r="DO214" s="51"/>
      <c r="DP214" s="51"/>
      <c r="DQ214" s="48" t="s">
        <v>576</v>
      </c>
      <c r="DR214" s="51"/>
      <c r="DS214" s="48" t="s">
        <v>134</v>
      </c>
    </row>
    <row r="215">
      <c r="A215" s="52" t="s">
        <v>118</v>
      </c>
      <c r="B215" s="53">
        <v>3.0</v>
      </c>
      <c r="C215" s="52" t="s">
        <v>119</v>
      </c>
      <c r="D215" s="53">
        <v>627274.0</v>
      </c>
      <c r="E215" s="52" t="s">
        <v>173</v>
      </c>
      <c r="F215" s="52" t="s">
        <v>636</v>
      </c>
      <c r="G215" s="52" t="s">
        <v>637</v>
      </c>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81"/>
      <c r="BU215" s="54"/>
      <c r="BV215" s="54"/>
      <c r="BW215" s="54"/>
      <c r="BX215" s="53">
        <v>1.0</v>
      </c>
      <c r="BY215" s="53" t="s">
        <v>123</v>
      </c>
      <c r="BZ215" s="87">
        <v>1.0</v>
      </c>
      <c r="CA215" s="72"/>
      <c r="CB215" s="82"/>
      <c r="CC215" s="31"/>
      <c r="CD215" s="58">
        <v>1.0</v>
      </c>
      <c r="CE215" s="83" t="s">
        <v>185</v>
      </c>
      <c r="CF215" s="60"/>
      <c r="CG215" s="61">
        <v>0.0</v>
      </c>
      <c r="CH215" s="84"/>
      <c r="CI215" s="63">
        <v>0.0</v>
      </c>
      <c r="CJ215" s="63">
        <v>0.0</v>
      </c>
      <c r="CK215" s="64">
        <v>0.0</v>
      </c>
      <c r="CL215" s="63">
        <v>0.0</v>
      </c>
      <c r="CM215" s="65">
        <v>0.0</v>
      </c>
      <c r="CN215" s="63">
        <v>0.0</v>
      </c>
      <c r="CO215" s="66">
        <v>0.0</v>
      </c>
      <c r="CP215" s="67">
        <v>0.0</v>
      </c>
      <c r="CQ215" s="63">
        <v>0.0</v>
      </c>
      <c r="CR215" s="63">
        <v>0.0</v>
      </c>
      <c r="CS215" s="63">
        <v>0.0</v>
      </c>
      <c r="CT215" s="68"/>
      <c r="CU215" s="69"/>
      <c r="CV215" s="70"/>
      <c r="CW215" s="71">
        <v>1.0</v>
      </c>
      <c r="CX215" s="71">
        <v>1.0</v>
      </c>
      <c r="CY215" s="71">
        <v>0.1</v>
      </c>
      <c r="CZ215" s="45"/>
      <c r="DA215" s="43"/>
      <c r="DB215" s="44">
        <v>0.0</v>
      </c>
      <c r="DC215" s="43"/>
      <c r="DD215" s="78"/>
      <c r="DE215" s="43"/>
      <c r="DF215" s="43"/>
      <c r="DG215" s="48" t="s">
        <v>128</v>
      </c>
      <c r="DH215" s="48" t="s">
        <v>131</v>
      </c>
      <c r="DI215" s="48" t="s">
        <v>574</v>
      </c>
      <c r="DJ215" s="49">
        <v>1.0</v>
      </c>
      <c r="DK215" s="48" t="b">
        <v>0</v>
      </c>
      <c r="DL215" s="50" t="s">
        <v>584</v>
      </c>
      <c r="DM215" s="111"/>
      <c r="DN215" s="111"/>
      <c r="DO215" s="51"/>
      <c r="DP215" s="48" t="s">
        <v>128</v>
      </c>
      <c r="DQ215" s="48" t="s">
        <v>576</v>
      </c>
      <c r="DR215" s="51"/>
      <c r="DS215" s="48" t="s">
        <v>134</v>
      </c>
    </row>
    <row r="216">
      <c r="A216" s="23" t="s">
        <v>118</v>
      </c>
      <c r="B216" s="24">
        <v>3.0</v>
      </c>
      <c r="C216" s="23" t="s">
        <v>119</v>
      </c>
      <c r="D216" s="24">
        <v>648803.0</v>
      </c>
      <c r="E216" s="23" t="s">
        <v>189</v>
      </c>
      <c r="F216" s="23" t="s">
        <v>638</v>
      </c>
      <c r="G216" s="23" t="s">
        <v>639</v>
      </c>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7"/>
      <c r="BU216" s="26"/>
      <c r="BV216" s="26"/>
      <c r="BW216" s="26"/>
      <c r="BX216" s="24">
        <v>1.0</v>
      </c>
      <c r="BY216" s="24" t="s">
        <v>123</v>
      </c>
      <c r="BZ216" s="87">
        <v>1.0</v>
      </c>
      <c r="CA216" s="72"/>
      <c r="CB216" s="82"/>
      <c r="CC216" s="31"/>
      <c r="CD216" s="28">
        <v>1.0</v>
      </c>
      <c r="CE216" s="88" t="s">
        <v>185</v>
      </c>
      <c r="CF216" s="33"/>
      <c r="CG216" s="34">
        <v>0.0</v>
      </c>
      <c r="CH216" s="89"/>
      <c r="CI216" s="36">
        <v>0.0</v>
      </c>
      <c r="CJ216" s="36">
        <v>0.0</v>
      </c>
      <c r="CK216" s="37">
        <v>0.0</v>
      </c>
      <c r="CL216" s="36">
        <v>0.0</v>
      </c>
      <c r="CM216" s="38">
        <v>0.0</v>
      </c>
      <c r="CN216" s="36">
        <v>0.0</v>
      </c>
      <c r="CO216" s="39">
        <v>0.0</v>
      </c>
      <c r="CP216" s="40">
        <v>0.0</v>
      </c>
      <c r="CQ216" s="36">
        <v>0.0</v>
      </c>
      <c r="CR216" s="36">
        <v>0.0</v>
      </c>
      <c r="CS216" s="36">
        <v>0.0</v>
      </c>
      <c r="CT216" s="41"/>
      <c r="CU216" s="42"/>
      <c r="CV216" s="43"/>
      <c r="CW216" s="44">
        <v>1.0</v>
      </c>
      <c r="CX216" s="44">
        <v>1.0</v>
      </c>
      <c r="CY216" s="44">
        <v>0.1</v>
      </c>
      <c r="CZ216" s="45"/>
      <c r="DA216" s="43"/>
      <c r="DB216" s="44">
        <v>0.0</v>
      </c>
      <c r="DC216" s="43"/>
      <c r="DD216" s="78"/>
      <c r="DE216" s="43"/>
      <c r="DF216" s="43"/>
      <c r="DG216" s="48" t="s">
        <v>128</v>
      </c>
      <c r="DH216" s="48" t="s">
        <v>131</v>
      </c>
      <c r="DI216" s="48" t="s">
        <v>574</v>
      </c>
      <c r="DJ216" s="49">
        <v>1.0</v>
      </c>
      <c r="DK216" s="48" t="b">
        <v>0</v>
      </c>
      <c r="DL216" s="50" t="s">
        <v>595</v>
      </c>
      <c r="DM216" s="111"/>
      <c r="DN216" s="111"/>
      <c r="DO216" s="51"/>
      <c r="DP216" s="51"/>
      <c r="DQ216" s="48" t="s">
        <v>576</v>
      </c>
      <c r="DR216" s="51"/>
      <c r="DS216" s="48" t="s">
        <v>134</v>
      </c>
    </row>
    <row r="217">
      <c r="A217" s="52" t="s">
        <v>118</v>
      </c>
      <c r="B217" s="53">
        <v>3.0</v>
      </c>
      <c r="C217" s="52" t="s">
        <v>119</v>
      </c>
      <c r="D217" s="53">
        <v>626041.0</v>
      </c>
      <c r="E217" s="52" t="s">
        <v>135</v>
      </c>
      <c r="F217" s="52" t="s">
        <v>640</v>
      </c>
      <c r="G217" s="52" t="s">
        <v>641</v>
      </c>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81"/>
      <c r="BU217" s="54"/>
      <c r="BV217" s="54"/>
      <c r="BW217" s="54"/>
      <c r="BX217" s="53">
        <v>1.0</v>
      </c>
      <c r="BY217" s="53" t="s">
        <v>123</v>
      </c>
      <c r="BZ217" s="87">
        <v>1.0</v>
      </c>
      <c r="CA217" s="72"/>
      <c r="CB217" s="82"/>
      <c r="CC217" s="31"/>
      <c r="CD217" s="58">
        <v>1.0</v>
      </c>
      <c r="CE217" s="83" t="s">
        <v>185</v>
      </c>
      <c r="CF217" s="60"/>
      <c r="CG217" s="61">
        <v>0.0</v>
      </c>
      <c r="CH217" s="84"/>
      <c r="CI217" s="63">
        <v>0.0</v>
      </c>
      <c r="CJ217" s="63">
        <v>0.0</v>
      </c>
      <c r="CK217" s="64">
        <v>0.0</v>
      </c>
      <c r="CL217" s="63">
        <v>0.0</v>
      </c>
      <c r="CM217" s="65">
        <v>0.0</v>
      </c>
      <c r="CN217" s="63">
        <v>0.0</v>
      </c>
      <c r="CO217" s="66">
        <v>0.0</v>
      </c>
      <c r="CP217" s="67">
        <v>0.0</v>
      </c>
      <c r="CQ217" s="63">
        <v>0.0</v>
      </c>
      <c r="CR217" s="63">
        <v>0.0</v>
      </c>
      <c r="CS217" s="63">
        <v>0.0</v>
      </c>
      <c r="CT217" s="68"/>
      <c r="CU217" s="69"/>
      <c r="CV217" s="70"/>
      <c r="CW217" s="71">
        <v>1.0</v>
      </c>
      <c r="CX217" s="71">
        <v>1.0</v>
      </c>
      <c r="CY217" s="71">
        <v>0.1</v>
      </c>
      <c r="CZ217" s="45"/>
      <c r="DA217" s="43"/>
      <c r="DB217" s="44">
        <v>0.0</v>
      </c>
      <c r="DC217" s="43"/>
      <c r="DD217" s="78"/>
      <c r="DE217" s="43"/>
      <c r="DF217" s="43"/>
      <c r="DG217" s="48" t="s">
        <v>128</v>
      </c>
      <c r="DH217" s="48" t="s">
        <v>131</v>
      </c>
      <c r="DI217" s="48" t="s">
        <v>574</v>
      </c>
      <c r="DJ217" s="49">
        <v>1.0</v>
      </c>
      <c r="DK217" s="48" t="b">
        <v>0</v>
      </c>
      <c r="DL217" s="50" t="s">
        <v>581</v>
      </c>
      <c r="DM217" s="111"/>
      <c r="DN217" s="111"/>
      <c r="DO217" s="51"/>
      <c r="DP217" s="51"/>
      <c r="DQ217" s="48" t="s">
        <v>576</v>
      </c>
      <c r="DR217" s="51"/>
      <c r="DS217" s="48" t="s">
        <v>134</v>
      </c>
    </row>
    <row r="218">
      <c r="A218" s="23" t="s">
        <v>118</v>
      </c>
      <c r="B218" s="24">
        <v>3.0</v>
      </c>
      <c r="C218" s="23" t="s">
        <v>119</v>
      </c>
      <c r="D218" s="24">
        <v>627274.0</v>
      </c>
      <c r="E218" s="23" t="s">
        <v>173</v>
      </c>
      <c r="F218" s="23" t="s">
        <v>642</v>
      </c>
      <c r="G218" s="23" t="s">
        <v>643</v>
      </c>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7"/>
      <c r="BU218" s="26"/>
      <c r="BV218" s="26"/>
      <c r="BW218" s="26"/>
      <c r="BX218" s="24">
        <v>1.0</v>
      </c>
      <c r="BY218" s="24" t="s">
        <v>123</v>
      </c>
      <c r="BZ218" s="87">
        <v>1.0</v>
      </c>
      <c r="CA218" s="72"/>
      <c r="CB218" s="82"/>
      <c r="CC218" s="31"/>
      <c r="CD218" s="28">
        <v>1.0</v>
      </c>
      <c r="CE218" s="88" t="s">
        <v>185</v>
      </c>
      <c r="CF218" s="33"/>
      <c r="CG218" s="34">
        <v>0.0</v>
      </c>
      <c r="CH218" s="89"/>
      <c r="CI218" s="36">
        <v>0.0</v>
      </c>
      <c r="CJ218" s="36">
        <v>0.0</v>
      </c>
      <c r="CK218" s="37">
        <v>0.0</v>
      </c>
      <c r="CL218" s="36">
        <v>0.0</v>
      </c>
      <c r="CM218" s="38">
        <v>0.0</v>
      </c>
      <c r="CN218" s="36">
        <v>0.0</v>
      </c>
      <c r="CO218" s="39">
        <v>0.0</v>
      </c>
      <c r="CP218" s="40">
        <v>0.0</v>
      </c>
      <c r="CQ218" s="36">
        <v>0.0</v>
      </c>
      <c r="CR218" s="36">
        <v>0.0</v>
      </c>
      <c r="CS218" s="36">
        <v>0.0</v>
      </c>
      <c r="CT218" s="41"/>
      <c r="CU218" s="42"/>
      <c r="CV218" s="43"/>
      <c r="CW218" s="44">
        <v>1.0</v>
      </c>
      <c r="CX218" s="44">
        <v>1.0</v>
      </c>
      <c r="CY218" s="44">
        <v>0.1</v>
      </c>
      <c r="CZ218" s="45"/>
      <c r="DA218" s="43"/>
      <c r="DB218" s="44">
        <v>0.0</v>
      </c>
      <c r="DC218" s="43"/>
      <c r="DD218" s="78"/>
      <c r="DE218" s="43"/>
      <c r="DF218" s="43"/>
      <c r="DG218" s="48" t="s">
        <v>128</v>
      </c>
      <c r="DH218" s="48" t="s">
        <v>131</v>
      </c>
      <c r="DI218" s="48" t="s">
        <v>574</v>
      </c>
      <c r="DJ218" s="49">
        <v>1.0</v>
      </c>
      <c r="DK218" s="48" t="b">
        <v>0</v>
      </c>
      <c r="DL218" s="50" t="s">
        <v>595</v>
      </c>
      <c r="DM218" s="111"/>
      <c r="DN218" s="111"/>
      <c r="DO218" s="51"/>
      <c r="DP218" s="51"/>
      <c r="DQ218" s="48" t="s">
        <v>576</v>
      </c>
      <c r="DR218" s="51"/>
      <c r="DS218" s="48" t="s">
        <v>134</v>
      </c>
    </row>
    <row r="219">
      <c r="A219" s="52" t="s">
        <v>118</v>
      </c>
      <c r="B219" s="53">
        <v>3.0</v>
      </c>
      <c r="C219" s="52" t="s">
        <v>119</v>
      </c>
      <c r="D219" s="53">
        <v>627274.0</v>
      </c>
      <c r="E219" s="52" t="s">
        <v>173</v>
      </c>
      <c r="F219" s="52" t="s">
        <v>644</v>
      </c>
      <c r="G219" s="52" t="s">
        <v>645</v>
      </c>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81"/>
      <c r="BU219" s="54"/>
      <c r="BV219" s="54"/>
      <c r="BW219" s="54"/>
      <c r="BX219" s="53">
        <v>1.0</v>
      </c>
      <c r="BY219" s="53" t="s">
        <v>123</v>
      </c>
      <c r="BZ219" s="87">
        <v>1.0</v>
      </c>
      <c r="CA219" s="72"/>
      <c r="CB219" s="82"/>
      <c r="CC219" s="31"/>
      <c r="CD219" s="58">
        <v>1.0</v>
      </c>
      <c r="CE219" s="83" t="s">
        <v>185</v>
      </c>
      <c r="CF219" s="60"/>
      <c r="CG219" s="61">
        <v>0.0</v>
      </c>
      <c r="CH219" s="84"/>
      <c r="CI219" s="63">
        <v>0.0</v>
      </c>
      <c r="CJ219" s="63">
        <v>0.0</v>
      </c>
      <c r="CK219" s="64">
        <v>0.0</v>
      </c>
      <c r="CL219" s="63">
        <v>0.0</v>
      </c>
      <c r="CM219" s="65">
        <v>0.0</v>
      </c>
      <c r="CN219" s="63">
        <v>0.0</v>
      </c>
      <c r="CO219" s="66">
        <v>0.0</v>
      </c>
      <c r="CP219" s="67">
        <v>0.0</v>
      </c>
      <c r="CQ219" s="63">
        <v>0.0</v>
      </c>
      <c r="CR219" s="63">
        <v>0.0</v>
      </c>
      <c r="CS219" s="63">
        <v>0.0</v>
      </c>
      <c r="CT219" s="68"/>
      <c r="CU219" s="69"/>
      <c r="CV219" s="70"/>
      <c r="CW219" s="71">
        <v>1.0</v>
      </c>
      <c r="CX219" s="71">
        <v>1.0</v>
      </c>
      <c r="CY219" s="71">
        <v>0.1</v>
      </c>
      <c r="CZ219" s="45"/>
      <c r="DA219" s="43"/>
      <c r="DB219" s="44">
        <v>0.0</v>
      </c>
      <c r="DC219" s="43"/>
      <c r="DD219" s="78"/>
      <c r="DE219" s="43"/>
      <c r="DF219" s="43"/>
      <c r="DG219" s="48" t="s">
        <v>128</v>
      </c>
      <c r="DH219" s="48" t="s">
        <v>131</v>
      </c>
      <c r="DI219" s="48" t="s">
        <v>574</v>
      </c>
      <c r="DJ219" s="49">
        <v>1.0</v>
      </c>
      <c r="DK219" s="48" t="b">
        <v>0</v>
      </c>
      <c r="DL219" s="111"/>
      <c r="DM219" s="111"/>
      <c r="DN219" s="111"/>
      <c r="DO219" s="51"/>
      <c r="DP219" s="51"/>
      <c r="DQ219" s="48" t="s">
        <v>576</v>
      </c>
      <c r="DR219" s="51"/>
      <c r="DS219" s="48" t="s">
        <v>134</v>
      </c>
    </row>
    <row r="220">
      <c r="A220" s="23" t="s">
        <v>118</v>
      </c>
      <c r="B220" s="24">
        <v>3.0</v>
      </c>
      <c r="C220" s="23" t="s">
        <v>119</v>
      </c>
      <c r="D220" s="24">
        <v>648803.0</v>
      </c>
      <c r="E220" s="23" t="s">
        <v>189</v>
      </c>
      <c r="F220" s="23" t="s">
        <v>646</v>
      </c>
      <c r="G220" s="23" t="s">
        <v>647</v>
      </c>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7"/>
      <c r="BU220" s="26"/>
      <c r="BV220" s="26"/>
      <c r="BW220" s="26"/>
      <c r="BX220" s="24">
        <v>1.0</v>
      </c>
      <c r="BY220" s="24" t="s">
        <v>123</v>
      </c>
      <c r="BZ220" s="87">
        <v>1.0</v>
      </c>
      <c r="CA220" s="72"/>
      <c r="CB220" s="82"/>
      <c r="CC220" s="31"/>
      <c r="CD220" s="28">
        <v>1.0</v>
      </c>
      <c r="CE220" s="88" t="s">
        <v>185</v>
      </c>
      <c r="CF220" s="33"/>
      <c r="CG220" s="34">
        <v>0.0</v>
      </c>
      <c r="CH220" s="89"/>
      <c r="CI220" s="36">
        <v>0.0</v>
      </c>
      <c r="CJ220" s="36">
        <v>0.0</v>
      </c>
      <c r="CK220" s="37">
        <v>0.0</v>
      </c>
      <c r="CL220" s="36">
        <v>0.0</v>
      </c>
      <c r="CM220" s="38">
        <v>0.0</v>
      </c>
      <c r="CN220" s="36">
        <v>0.0</v>
      </c>
      <c r="CO220" s="39">
        <v>0.0</v>
      </c>
      <c r="CP220" s="40">
        <v>0.0</v>
      </c>
      <c r="CQ220" s="36">
        <v>0.0</v>
      </c>
      <c r="CR220" s="36">
        <v>0.0</v>
      </c>
      <c r="CS220" s="36">
        <v>0.0</v>
      </c>
      <c r="CT220" s="41"/>
      <c r="CU220" s="42"/>
      <c r="CV220" s="43"/>
      <c r="CW220" s="44">
        <v>1.0</v>
      </c>
      <c r="CX220" s="44">
        <v>1.0</v>
      </c>
      <c r="CY220" s="44">
        <v>0.1</v>
      </c>
      <c r="CZ220" s="45"/>
      <c r="DA220" s="43"/>
      <c r="DB220" s="44">
        <v>0.0</v>
      </c>
      <c r="DC220" s="43"/>
      <c r="DD220" s="78"/>
      <c r="DE220" s="43"/>
      <c r="DF220" s="43"/>
      <c r="DG220" s="48" t="s">
        <v>128</v>
      </c>
      <c r="DH220" s="48" t="s">
        <v>131</v>
      </c>
      <c r="DI220" s="48" t="s">
        <v>574</v>
      </c>
      <c r="DJ220" s="49">
        <v>1.0</v>
      </c>
      <c r="DK220" s="48" t="b">
        <v>0</v>
      </c>
      <c r="DL220" s="111"/>
      <c r="DM220" s="111"/>
      <c r="DN220" s="111"/>
      <c r="DO220" s="51"/>
      <c r="DP220" s="51"/>
      <c r="DQ220" s="48" t="s">
        <v>576</v>
      </c>
      <c r="DR220" s="51"/>
      <c r="DS220" s="48" t="s">
        <v>134</v>
      </c>
    </row>
    <row r="221">
      <c r="A221" s="52" t="s">
        <v>118</v>
      </c>
      <c r="B221" s="53">
        <v>3.0</v>
      </c>
      <c r="C221" s="52" t="s">
        <v>119</v>
      </c>
      <c r="D221" s="53">
        <v>648803.0</v>
      </c>
      <c r="E221" s="52" t="s">
        <v>189</v>
      </c>
      <c r="F221" s="52" t="s">
        <v>648</v>
      </c>
      <c r="G221" s="52" t="s">
        <v>649</v>
      </c>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81"/>
      <c r="BU221" s="54"/>
      <c r="BV221" s="54"/>
      <c r="BW221" s="54"/>
      <c r="BX221" s="53">
        <v>1.0</v>
      </c>
      <c r="BY221" s="53" t="s">
        <v>123</v>
      </c>
      <c r="BZ221" s="87">
        <v>1.0</v>
      </c>
      <c r="CA221" s="72"/>
      <c r="CB221" s="82"/>
      <c r="CC221" s="31"/>
      <c r="CD221" s="58">
        <v>1.0</v>
      </c>
      <c r="CE221" s="83" t="s">
        <v>185</v>
      </c>
      <c r="CF221" s="60"/>
      <c r="CG221" s="61">
        <v>0.0</v>
      </c>
      <c r="CH221" s="84"/>
      <c r="CI221" s="63">
        <v>0.0</v>
      </c>
      <c r="CJ221" s="63">
        <v>0.0</v>
      </c>
      <c r="CK221" s="64">
        <v>0.0</v>
      </c>
      <c r="CL221" s="63">
        <v>0.0</v>
      </c>
      <c r="CM221" s="65">
        <v>0.0</v>
      </c>
      <c r="CN221" s="63">
        <v>0.0</v>
      </c>
      <c r="CO221" s="66">
        <v>0.0</v>
      </c>
      <c r="CP221" s="67">
        <v>0.0</v>
      </c>
      <c r="CQ221" s="63">
        <v>0.0</v>
      </c>
      <c r="CR221" s="63">
        <v>0.0</v>
      </c>
      <c r="CS221" s="63">
        <v>0.0</v>
      </c>
      <c r="CT221" s="68"/>
      <c r="CU221" s="69"/>
      <c r="CV221" s="70"/>
      <c r="CW221" s="71">
        <v>1.0</v>
      </c>
      <c r="CX221" s="71">
        <v>1.0</v>
      </c>
      <c r="CY221" s="71">
        <v>0.1</v>
      </c>
      <c r="CZ221" s="45"/>
      <c r="DA221" s="43"/>
      <c r="DB221" s="44">
        <v>0.0</v>
      </c>
      <c r="DC221" s="43"/>
      <c r="DD221" s="78"/>
      <c r="DE221" s="43"/>
      <c r="DF221" s="43"/>
      <c r="DG221" s="48" t="s">
        <v>128</v>
      </c>
      <c r="DH221" s="48" t="s">
        <v>131</v>
      </c>
      <c r="DI221" s="48" t="s">
        <v>574</v>
      </c>
      <c r="DJ221" s="49">
        <v>1.0</v>
      </c>
      <c r="DK221" s="48" t="b">
        <v>0</v>
      </c>
      <c r="DL221" s="50" t="s">
        <v>581</v>
      </c>
      <c r="DM221" s="111"/>
      <c r="DN221" s="111"/>
      <c r="DO221" s="51"/>
      <c r="DP221" s="51"/>
      <c r="DQ221" s="48" t="s">
        <v>576</v>
      </c>
      <c r="DR221" s="51"/>
      <c r="DS221" s="48" t="s">
        <v>134</v>
      </c>
    </row>
    <row r="222">
      <c r="A222" s="23" t="s">
        <v>118</v>
      </c>
      <c r="B222" s="24">
        <v>3.0</v>
      </c>
      <c r="C222" s="23" t="s">
        <v>119</v>
      </c>
      <c r="D222" s="24">
        <v>536832.0</v>
      </c>
      <c r="E222" s="23" t="s">
        <v>158</v>
      </c>
      <c r="F222" s="23" t="s">
        <v>650</v>
      </c>
      <c r="G222" s="23" t="s">
        <v>651</v>
      </c>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7"/>
      <c r="BU222" s="26"/>
      <c r="BV222" s="26"/>
      <c r="BW222" s="26"/>
      <c r="BX222" s="24">
        <v>1.0</v>
      </c>
      <c r="BY222" s="24" t="s">
        <v>123</v>
      </c>
      <c r="BZ222" s="87">
        <v>1.0</v>
      </c>
      <c r="CA222" s="72"/>
      <c r="CB222" s="82"/>
      <c r="CC222" s="31"/>
      <c r="CD222" s="28">
        <v>1.0</v>
      </c>
      <c r="CE222" s="88" t="s">
        <v>185</v>
      </c>
      <c r="CF222" s="33"/>
      <c r="CG222" s="34">
        <v>0.0</v>
      </c>
      <c r="CH222" s="89"/>
      <c r="CI222" s="36">
        <v>0.0</v>
      </c>
      <c r="CJ222" s="36">
        <v>0.0</v>
      </c>
      <c r="CK222" s="37">
        <v>0.0</v>
      </c>
      <c r="CL222" s="36">
        <v>0.0</v>
      </c>
      <c r="CM222" s="38">
        <v>0.0</v>
      </c>
      <c r="CN222" s="36">
        <v>0.0</v>
      </c>
      <c r="CO222" s="39">
        <v>0.0</v>
      </c>
      <c r="CP222" s="40">
        <v>0.0</v>
      </c>
      <c r="CQ222" s="36">
        <v>0.0</v>
      </c>
      <c r="CR222" s="36">
        <v>0.0</v>
      </c>
      <c r="CS222" s="36">
        <v>0.0</v>
      </c>
      <c r="CT222" s="41"/>
      <c r="CU222" s="42"/>
      <c r="CV222" s="43"/>
      <c r="CW222" s="44">
        <v>1.0</v>
      </c>
      <c r="CX222" s="44">
        <v>1.0</v>
      </c>
      <c r="CY222" s="44">
        <v>0.1</v>
      </c>
      <c r="CZ222" s="45"/>
      <c r="DA222" s="43"/>
      <c r="DB222" s="44">
        <v>0.0</v>
      </c>
      <c r="DC222" s="43"/>
      <c r="DD222" s="78"/>
      <c r="DE222" s="43"/>
      <c r="DF222" s="43"/>
      <c r="DG222" s="48" t="s">
        <v>128</v>
      </c>
      <c r="DH222" s="48" t="s">
        <v>131</v>
      </c>
      <c r="DI222" s="48" t="s">
        <v>574</v>
      </c>
      <c r="DJ222" s="49">
        <v>1.0</v>
      </c>
      <c r="DK222" s="48" t="b">
        <v>0</v>
      </c>
      <c r="DL222" s="111"/>
      <c r="DM222" s="111"/>
      <c r="DN222" s="111"/>
      <c r="DO222" s="51"/>
      <c r="DP222" s="51"/>
      <c r="DQ222" s="48" t="s">
        <v>576</v>
      </c>
      <c r="DR222" s="51"/>
      <c r="DS222" s="48" t="s">
        <v>134</v>
      </c>
    </row>
    <row r="223">
      <c r="A223" s="52" t="s">
        <v>118</v>
      </c>
      <c r="B223" s="53">
        <v>3.0</v>
      </c>
      <c r="C223" s="52" t="s">
        <v>119</v>
      </c>
      <c r="D223" s="53">
        <v>610881.0</v>
      </c>
      <c r="E223" s="52" t="s">
        <v>167</v>
      </c>
      <c r="F223" s="52" t="s">
        <v>652</v>
      </c>
      <c r="G223" s="52" t="s">
        <v>653</v>
      </c>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81"/>
      <c r="BU223" s="54"/>
      <c r="BV223" s="54"/>
      <c r="BW223" s="54"/>
      <c r="BX223" s="53">
        <v>1.0</v>
      </c>
      <c r="BY223" s="53" t="s">
        <v>123</v>
      </c>
      <c r="BZ223" s="87">
        <v>1.0</v>
      </c>
      <c r="CA223" s="72"/>
      <c r="CB223" s="82"/>
      <c r="CC223" s="31"/>
      <c r="CD223" s="58">
        <v>1.0</v>
      </c>
      <c r="CE223" s="83" t="s">
        <v>185</v>
      </c>
      <c r="CF223" s="60"/>
      <c r="CG223" s="61">
        <v>0.0</v>
      </c>
      <c r="CH223" s="84"/>
      <c r="CI223" s="63">
        <v>0.0</v>
      </c>
      <c r="CJ223" s="63">
        <v>0.0</v>
      </c>
      <c r="CK223" s="64">
        <v>0.0</v>
      </c>
      <c r="CL223" s="63">
        <v>0.0</v>
      </c>
      <c r="CM223" s="65">
        <v>0.0</v>
      </c>
      <c r="CN223" s="63">
        <v>0.0</v>
      </c>
      <c r="CO223" s="66">
        <v>0.0</v>
      </c>
      <c r="CP223" s="67">
        <v>0.0</v>
      </c>
      <c r="CQ223" s="63">
        <v>0.0</v>
      </c>
      <c r="CR223" s="63">
        <v>0.0</v>
      </c>
      <c r="CS223" s="63">
        <v>0.0</v>
      </c>
      <c r="CT223" s="68"/>
      <c r="CU223" s="69"/>
      <c r="CV223" s="70"/>
      <c r="CW223" s="71">
        <v>1.0</v>
      </c>
      <c r="CX223" s="71">
        <v>1.0</v>
      </c>
      <c r="CY223" s="71">
        <v>0.1</v>
      </c>
      <c r="CZ223" s="45"/>
      <c r="DA223" s="43"/>
      <c r="DB223" s="44">
        <v>0.0</v>
      </c>
      <c r="DC223" s="43"/>
      <c r="DD223" s="78"/>
      <c r="DE223" s="43"/>
      <c r="DF223" s="43"/>
      <c r="DG223" s="48" t="s">
        <v>128</v>
      </c>
      <c r="DH223" s="48" t="s">
        <v>131</v>
      </c>
      <c r="DI223" s="48" t="s">
        <v>574</v>
      </c>
      <c r="DJ223" s="49">
        <v>1.0</v>
      </c>
      <c r="DK223" s="48" t="b">
        <v>0</v>
      </c>
      <c r="DL223" s="111"/>
      <c r="DM223" s="111"/>
      <c r="DN223" s="111"/>
      <c r="DO223" s="51"/>
      <c r="DP223" s="51"/>
      <c r="DQ223" s="48" t="s">
        <v>576</v>
      </c>
      <c r="DR223" s="51"/>
      <c r="DS223" s="48" t="s">
        <v>134</v>
      </c>
    </row>
    <row r="224">
      <c r="A224" s="23" t="s">
        <v>118</v>
      </c>
      <c r="B224" s="24">
        <v>3.0</v>
      </c>
      <c r="C224" s="23" t="s">
        <v>119</v>
      </c>
      <c r="D224" s="24">
        <v>536832.0</v>
      </c>
      <c r="E224" s="23" t="s">
        <v>158</v>
      </c>
      <c r="F224" s="23" t="s">
        <v>654</v>
      </c>
      <c r="G224" s="23" t="s">
        <v>655</v>
      </c>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7"/>
      <c r="BU224" s="26"/>
      <c r="BV224" s="26"/>
      <c r="BW224" s="26"/>
      <c r="BX224" s="24">
        <v>1.0</v>
      </c>
      <c r="BY224" s="24" t="s">
        <v>123</v>
      </c>
      <c r="BZ224" s="87">
        <v>1.0</v>
      </c>
      <c r="CA224" s="72"/>
      <c r="CB224" s="82"/>
      <c r="CC224" s="31"/>
      <c r="CD224" s="28">
        <v>1.0</v>
      </c>
      <c r="CE224" s="88" t="s">
        <v>185</v>
      </c>
      <c r="CF224" s="33"/>
      <c r="CG224" s="34">
        <v>0.0</v>
      </c>
      <c r="CH224" s="89"/>
      <c r="CI224" s="36">
        <v>0.0</v>
      </c>
      <c r="CJ224" s="36">
        <v>0.0</v>
      </c>
      <c r="CK224" s="37">
        <v>0.0</v>
      </c>
      <c r="CL224" s="36">
        <v>0.0</v>
      </c>
      <c r="CM224" s="38">
        <v>0.0</v>
      </c>
      <c r="CN224" s="36">
        <v>0.0</v>
      </c>
      <c r="CO224" s="39">
        <v>0.0</v>
      </c>
      <c r="CP224" s="40">
        <v>0.0</v>
      </c>
      <c r="CQ224" s="36">
        <v>0.0</v>
      </c>
      <c r="CR224" s="36">
        <v>0.0</v>
      </c>
      <c r="CS224" s="36">
        <v>0.0</v>
      </c>
      <c r="CT224" s="41"/>
      <c r="CU224" s="42"/>
      <c r="CV224" s="43"/>
      <c r="CW224" s="44">
        <v>1.0</v>
      </c>
      <c r="CX224" s="44">
        <v>1.0</v>
      </c>
      <c r="CY224" s="44">
        <v>0.1</v>
      </c>
      <c r="CZ224" s="45"/>
      <c r="DA224" s="43"/>
      <c r="DB224" s="44">
        <v>0.0</v>
      </c>
      <c r="DC224" s="43"/>
      <c r="DD224" s="78"/>
      <c r="DE224" s="43"/>
      <c r="DF224" s="43"/>
      <c r="DG224" s="48" t="s">
        <v>128</v>
      </c>
      <c r="DH224" s="48" t="s">
        <v>131</v>
      </c>
      <c r="DI224" s="48" t="s">
        <v>574</v>
      </c>
      <c r="DJ224" s="49">
        <v>1.0</v>
      </c>
      <c r="DK224" s="48" t="b">
        <v>0</v>
      </c>
      <c r="DL224" s="50" t="s">
        <v>581</v>
      </c>
      <c r="DM224" s="111"/>
      <c r="DN224" s="111"/>
      <c r="DO224" s="51"/>
      <c r="DP224" s="51"/>
      <c r="DQ224" s="48" t="s">
        <v>576</v>
      </c>
      <c r="DR224" s="51"/>
      <c r="DS224" s="48" t="s">
        <v>134</v>
      </c>
    </row>
    <row r="225">
      <c r="A225" s="52" t="s">
        <v>118</v>
      </c>
      <c r="B225" s="53">
        <v>3.0</v>
      </c>
      <c r="C225" s="52" t="s">
        <v>119</v>
      </c>
      <c r="D225" s="53">
        <v>588071.0</v>
      </c>
      <c r="E225" s="52" t="s">
        <v>152</v>
      </c>
      <c r="F225" s="52" t="s">
        <v>656</v>
      </c>
      <c r="G225" s="52" t="s">
        <v>657</v>
      </c>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81"/>
      <c r="BU225" s="54"/>
      <c r="BV225" s="54"/>
      <c r="BW225" s="54"/>
      <c r="BX225" s="53">
        <v>1.0</v>
      </c>
      <c r="BY225" s="53" t="s">
        <v>123</v>
      </c>
      <c r="BZ225" s="87">
        <v>1.0</v>
      </c>
      <c r="CA225" s="72"/>
      <c r="CB225" s="82"/>
      <c r="CC225" s="31"/>
      <c r="CD225" s="58">
        <v>1.0</v>
      </c>
      <c r="CE225" s="83" t="s">
        <v>185</v>
      </c>
      <c r="CF225" s="60"/>
      <c r="CG225" s="61">
        <v>0.0</v>
      </c>
      <c r="CH225" s="84"/>
      <c r="CI225" s="63">
        <v>0.0</v>
      </c>
      <c r="CJ225" s="63">
        <v>0.0</v>
      </c>
      <c r="CK225" s="64">
        <v>0.0</v>
      </c>
      <c r="CL225" s="63">
        <v>0.0</v>
      </c>
      <c r="CM225" s="65">
        <v>0.0</v>
      </c>
      <c r="CN225" s="63">
        <v>0.0</v>
      </c>
      <c r="CO225" s="66">
        <v>0.0</v>
      </c>
      <c r="CP225" s="67">
        <v>0.0</v>
      </c>
      <c r="CQ225" s="63">
        <v>0.0</v>
      </c>
      <c r="CR225" s="63">
        <v>0.0</v>
      </c>
      <c r="CS225" s="63">
        <v>0.0</v>
      </c>
      <c r="CT225" s="68"/>
      <c r="CU225" s="69"/>
      <c r="CV225" s="70"/>
      <c r="CW225" s="71">
        <v>1.0</v>
      </c>
      <c r="CX225" s="71">
        <v>1.0</v>
      </c>
      <c r="CY225" s="71">
        <v>0.1</v>
      </c>
      <c r="CZ225" s="45"/>
      <c r="DA225" s="43"/>
      <c r="DB225" s="44">
        <v>0.0</v>
      </c>
      <c r="DC225" s="43"/>
      <c r="DD225" s="78"/>
      <c r="DE225" s="43"/>
      <c r="DF225" s="43"/>
      <c r="DG225" s="48" t="s">
        <v>128</v>
      </c>
      <c r="DH225" s="48" t="s">
        <v>131</v>
      </c>
      <c r="DI225" s="48" t="s">
        <v>574</v>
      </c>
      <c r="DJ225" s="49">
        <v>1.0</v>
      </c>
      <c r="DK225" s="48" t="b">
        <v>0</v>
      </c>
      <c r="DL225" s="50" t="s">
        <v>595</v>
      </c>
      <c r="DM225" s="111"/>
      <c r="DN225" s="111"/>
      <c r="DO225" s="51"/>
      <c r="DP225" s="51"/>
      <c r="DQ225" s="48" t="s">
        <v>576</v>
      </c>
      <c r="DR225" s="51"/>
      <c r="DS225" s="48" t="s">
        <v>134</v>
      </c>
    </row>
    <row r="226">
      <c r="A226" s="23" t="s">
        <v>118</v>
      </c>
      <c r="B226" s="24">
        <v>3.0</v>
      </c>
      <c r="C226" s="23" t="s">
        <v>119</v>
      </c>
      <c r="D226" s="24">
        <v>640888.0</v>
      </c>
      <c r="E226" s="23" t="s">
        <v>161</v>
      </c>
      <c r="F226" s="23" t="s">
        <v>658</v>
      </c>
      <c r="G226" s="23" t="s">
        <v>659</v>
      </c>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7"/>
      <c r="BU226" s="26"/>
      <c r="BV226" s="26"/>
      <c r="BW226" s="26"/>
      <c r="BX226" s="24">
        <v>1.0</v>
      </c>
      <c r="BY226" s="24" t="s">
        <v>123</v>
      </c>
      <c r="BZ226" s="87">
        <v>1.0</v>
      </c>
      <c r="CA226" s="72"/>
      <c r="CB226" s="82"/>
      <c r="CC226" s="31"/>
      <c r="CD226" s="28">
        <v>1.0</v>
      </c>
      <c r="CE226" s="88" t="s">
        <v>185</v>
      </c>
      <c r="CF226" s="33"/>
      <c r="CG226" s="34">
        <v>0.0</v>
      </c>
      <c r="CH226" s="89"/>
      <c r="CI226" s="36">
        <v>0.0</v>
      </c>
      <c r="CJ226" s="36">
        <v>0.0</v>
      </c>
      <c r="CK226" s="37">
        <v>0.0</v>
      </c>
      <c r="CL226" s="36">
        <v>0.0</v>
      </c>
      <c r="CM226" s="38">
        <v>0.0</v>
      </c>
      <c r="CN226" s="36">
        <v>0.0</v>
      </c>
      <c r="CO226" s="39">
        <v>0.0</v>
      </c>
      <c r="CP226" s="40">
        <v>0.0</v>
      </c>
      <c r="CQ226" s="36">
        <v>0.0</v>
      </c>
      <c r="CR226" s="36">
        <v>0.0</v>
      </c>
      <c r="CS226" s="36">
        <v>0.0</v>
      </c>
      <c r="CT226" s="41"/>
      <c r="CU226" s="42"/>
      <c r="CV226" s="43"/>
      <c r="CW226" s="44">
        <v>1.0</v>
      </c>
      <c r="CX226" s="44">
        <v>1.0</v>
      </c>
      <c r="CY226" s="44">
        <v>0.1</v>
      </c>
      <c r="CZ226" s="45"/>
      <c r="DA226" s="43"/>
      <c r="DB226" s="44">
        <v>0.0</v>
      </c>
      <c r="DC226" s="43"/>
      <c r="DD226" s="78"/>
      <c r="DE226" s="43"/>
      <c r="DF226" s="43"/>
      <c r="DG226" s="48" t="s">
        <v>128</v>
      </c>
      <c r="DH226" s="48" t="s">
        <v>131</v>
      </c>
      <c r="DI226" s="48" t="s">
        <v>574</v>
      </c>
      <c r="DJ226" s="49">
        <v>1.0</v>
      </c>
      <c r="DK226" s="48" t="b">
        <v>0</v>
      </c>
      <c r="DL226" s="50" t="s">
        <v>575</v>
      </c>
      <c r="DM226" s="111"/>
      <c r="DN226" s="111"/>
      <c r="DO226" s="51"/>
      <c r="DP226" s="51"/>
      <c r="DQ226" s="48" t="s">
        <v>576</v>
      </c>
      <c r="DR226" s="51"/>
      <c r="DS226" s="48" t="s">
        <v>134</v>
      </c>
    </row>
    <row r="227">
      <c r="A227" s="52" t="s">
        <v>118</v>
      </c>
      <c r="B227" s="53">
        <v>3.0</v>
      </c>
      <c r="C227" s="52" t="s">
        <v>119</v>
      </c>
      <c r="D227" s="53">
        <v>626041.0</v>
      </c>
      <c r="E227" s="52" t="s">
        <v>135</v>
      </c>
      <c r="F227" s="52" t="s">
        <v>660</v>
      </c>
      <c r="G227" s="52" t="s">
        <v>661</v>
      </c>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81"/>
      <c r="BU227" s="54"/>
      <c r="BV227" s="54"/>
      <c r="BW227" s="54"/>
      <c r="BX227" s="53">
        <v>1.0</v>
      </c>
      <c r="BY227" s="53" t="s">
        <v>123</v>
      </c>
      <c r="BZ227" s="87">
        <v>1.0</v>
      </c>
      <c r="CA227" s="72"/>
      <c r="CB227" s="82"/>
      <c r="CC227" s="31"/>
      <c r="CD227" s="58">
        <v>1.0</v>
      </c>
      <c r="CE227" s="83" t="s">
        <v>185</v>
      </c>
      <c r="CF227" s="60"/>
      <c r="CG227" s="61">
        <v>0.0</v>
      </c>
      <c r="CH227" s="84"/>
      <c r="CI227" s="63">
        <v>0.0</v>
      </c>
      <c r="CJ227" s="63">
        <v>0.0</v>
      </c>
      <c r="CK227" s="64">
        <v>0.0</v>
      </c>
      <c r="CL227" s="63">
        <v>0.0</v>
      </c>
      <c r="CM227" s="65">
        <v>0.0</v>
      </c>
      <c r="CN227" s="63">
        <v>0.0</v>
      </c>
      <c r="CO227" s="66">
        <v>0.0</v>
      </c>
      <c r="CP227" s="67">
        <v>0.0</v>
      </c>
      <c r="CQ227" s="63">
        <v>0.0</v>
      </c>
      <c r="CR227" s="63">
        <v>0.0</v>
      </c>
      <c r="CS227" s="63">
        <v>0.0</v>
      </c>
      <c r="CT227" s="68"/>
      <c r="CU227" s="69"/>
      <c r="CV227" s="70"/>
      <c r="CW227" s="71">
        <v>1.0</v>
      </c>
      <c r="CX227" s="71">
        <v>1.0</v>
      </c>
      <c r="CY227" s="71">
        <v>0.1</v>
      </c>
      <c r="CZ227" s="45"/>
      <c r="DA227" s="43"/>
      <c r="DB227" s="44">
        <v>0.0</v>
      </c>
      <c r="DC227" s="43"/>
      <c r="DD227" s="78"/>
      <c r="DE227" s="43"/>
      <c r="DF227" s="43"/>
      <c r="DG227" s="48" t="s">
        <v>128</v>
      </c>
      <c r="DH227" s="48" t="s">
        <v>131</v>
      </c>
      <c r="DI227" s="48" t="s">
        <v>574</v>
      </c>
      <c r="DJ227" s="49">
        <v>1.0</v>
      </c>
      <c r="DK227" s="48" t="b">
        <v>0</v>
      </c>
      <c r="DL227" s="111"/>
      <c r="DM227" s="111"/>
      <c r="DN227" s="111"/>
      <c r="DO227" s="51"/>
      <c r="DP227" s="51"/>
      <c r="DQ227" s="48" t="s">
        <v>576</v>
      </c>
      <c r="DR227" s="51"/>
      <c r="DS227" s="48" t="s">
        <v>134</v>
      </c>
    </row>
    <row r="228">
      <c r="A228" s="23" t="s">
        <v>118</v>
      </c>
      <c r="B228" s="24">
        <v>3.0</v>
      </c>
      <c r="C228" s="23" t="s">
        <v>119</v>
      </c>
      <c r="D228" s="24">
        <v>648803.0</v>
      </c>
      <c r="E228" s="23" t="s">
        <v>189</v>
      </c>
      <c r="F228" s="23" t="s">
        <v>662</v>
      </c>
      <c r="G228" s="23" t="s">
        <v>663</v>
      </c>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7"/>
      <c r="BU228" s="26"/>
      <c r="BV228" s="26"/>
      <c r="BW228" s="26"/>
      <c r="BX228" s="24">
        <v>1.0</v>
      </c>
      <c r="BY228" s="24" t="s">
        <v>123</v>
      </c>
      <c r="BZ228" s="87">
        <v>1.0</v>
      </c>
      <c r="CA228" s="72"/>
      <c r="CB228" s="82"/>
      <c r="CC228" s="31"/>
      <c r="CD228" s="28">
        <v>1.0</v>
      </c>
      <c r="CE228" s="88" t="s">
        <v>185</v>
      </c>
      <c r="CF228" s="33"/>
      <c r="CG228" s="34">
        <v>0.0</v>
      </c>
      <c r="CH228" s="89"/>
      <c r="CI228" s="36">
        <v>0.0</v>
      </c>
      <c r="CJ228" s="36">
        <v>0.0</v>
      </c>
      <c r="CK228" s="37">
        <v>0.0</v>
      </c>
      <c r="CL228" s="36">
        <v>0.0</v>
      </c>
      <c r="CM228" s="38">
        <v>0.0</v>
      </c>
      <c r="CN228" s="36">
        <v>0.0</v>
      </c>
      <c r="CO228" s="39">
        <v>0.0</v>
      </c>
      <c r="CP228" s="40">
        <v>0.0</v>
      </c>
      <c r="CQ228" s="36">
        <v>0.0</v>
      </c>
      <c r="CR228" s="36">
        <v>0.0</v>
      </c>
      <c r="CS228" s="36">
        <v>0.0</v>
      </c>
      <c r="CT228" s="41"/>
      <c r="CU228" s="42"/>
      <c r="CV228" s="43"/>
      <c r="CW228" s="44">
        <v>1.0</v>
      </c>
      <c r="CX228" s="44">
        <v>1.0</v>
      </c>
      <c r="CY228" s="44">
        <v>0.1</v>
      </c>
      <c r="CZ228" s="45"/>
      <c r="DA228" s="43"/>
      <c r="DB228" s="44">
        <v>0.0</v>
      </c>
      <c r="DC228" s="43"/>
      <c r="DD228" s="78"/>
      <c r="DE228" s="43"/>
      <c r="DF228" s="43"/>
      <c r="DG228" s="48" t="s">
        <v>128</v>
      </c>
      <c r="DH228" s="48" t="s">
        <v>131</v>
      </c>
      <c r="DI228" s="48" t="s">
        <v>574</v>
      </c>
      <c r="DJ228" s="49">
        <v>1.0</v>
      </c>
      <c r="DK228" s="48" t="b">
        <v>0</v>
      </c>
      <c r="DL228" s="50" t="s">
        <v>575</v>
      </c>
      <c r="DM228" s="111"/>
      <c r="DN228" s="111"/>
      <c r="DO228" s="51"/>
      <c r="DP228" s="51"/>
      <c r="DQ228" s="48" t="s">
        <v>576</v>
      </c>
      <c r="DR228" s="51"/>
      <c r="DS228" s="48" t="s">
        <v>134</v>
      </c>
    </row>
    <row r="229">
      <c r="A229" s="52" t="s">
        <v>118</v>
      </c>
      <c r="B229" s="53">
        <v>3.0</v>
      </c>
      <c r="C229" s="52" t="s">
        <v>119</v>
      </c>
      <c r="D229" s="53">
        <v>642178.0</v>
      </c>
      <c r="E229" s="52" t="s">
        <v>205</v>
      </c>
      <c r="F229" s="52" t="s">
        <v>664</v>
      </c>
      <c r="G229" s="52" t="s">
        <v>665</v>
      </c>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81"/>
      <c r="BU229" s="54"/>
      <c r="BV229" s="54"/>
      <c r="BW229" s="54"/>
      <c r="BX229" s="53">
        <v>1.0</v>
      </c>
      <c r="BY229" s="53" t="s">
        <v>123</v>
      </c>
      <c r="BZ229" s="87">
        <v>1.0</v>
      </c>
      <c r="CA229" s="72"/>
      <c r="CB229" s="82"/>
      <c r="CC229" s="31"/>
      <c r="CD229" s="58">
        <v>1.0</v>
      </c>
      <c r="CE229" s="83" t="s">
        <v>185</v>
      </c>
      <c r="CF229" s="60"/>
      <c r="CG229" s="61">
        <v>0.0</v>
      </c>
      <c r="CH229" s="84"/>
      <c r="CI229" s="63">
        <v>0.0</v>
      </c>
      <c r="CJ229" s="63">
        <v>0.0</v>
      </c>
      <c r="CK229" s="64">
        <v>0.0</v>
      </c>
      <c r="CL229" s="63">
        <v>0.0</v>
      </c>
      <c r="CM229" s="65">
        <v>0.0</v>
      </c>
      <c r="CN229" s="63">
        <v>0.0</v>
      </c>
      <c r="CO229" s="66">
        <v>0.0</v>
      </c>
      <c r="CP229" s="67">
        <v>0.0</v>
      </c>
      <c r="CQ229" s="63">
        <v>0.0</v>
      </c>
      <c r="CR229" s="63">
        <v>0.0</v>
      </c>
      <c r="CS229" s="63">
        <v>0.0</v>
      </c>
      <c r="CT229" s="68"/>
      <c r="CU229" s="69"/>
      <c r="CV229" s="70"/>
      <c r="CW229" s="71">
        <v>1.0</v>
      </c>
      <c r="CX229" s="71">
        <v>1.0</v>
      </c>
      <c r="CY229" s="71">
        <v>0.1</v>
      </c>
      <c r="CZ229" s="45"/>
      <c r="DA229" s="43"/>
      <c r="DB229" s="44">
        <v>0.0</v>
      </c>
      <c r="DC229" s="43"/>
      <c r="DD229" s="78"/>
      <c r="DE229" s="43"/>
      <c r="DF229" s="43"/>
      <c r="DG229" s="48" t="s">
        <v>128</v>
      </c>
      <c r="DH229" s="48" t="s">
        <v>131</v>
      </c>
      <c r="DI229" s="48" t="s">
        <v>574</v>
      </c>
      <c r="DJ229" s="49">
        <v>1.0</v>
      </c>
      <c r="DK229" s="48" t="b">
        <v>0</v>
      </c>
      <c r="DL229" s="50" t="s">
        <v>575</v>
      </c>
      <c r="DM229" s="111"/>
      <c r="DN229" s="111"/>
      <c r="DO229" s="51"/>
      <c r="DP229" s="51"/>
      <c r="DQ229" s="48" t="s">
        <v>576</v>
      </c>
      <c r="DR229" s="51"/>
      <c r="DS229" s="48" t="s">
        <v>134</v>
      </c>
    </row>
    <row r="230">
      <c r="A230" s="23" t="s">
        <v>118</v>
      </c>
      <c r="B230" s="24">
        <v>3.0</v>
      </c>
      <c r="C230" s="23" t="s">
        <v>119</v>
      </c>
      <c r="D230" s="24">
        <v>640888.0</v>
      </c>
      <c r="E230" s="23" t="s">
        <v>161</v>
      </c>
      <c r="F230" s="23" t="s">
        <v>666</v>
      </c>
      <c r="G230" s="23" t="s">
        <v>667</v>
      </c>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7"/>
      <c r="BU230" s="26"/>
      <c r="BV230" s="26"/>
      <c r="BW230" s="26"/>
      <c r="BX230" s="24">
        <v>1.0</v>
      </c>
      <c r="BY230" s="24" t="s">
        <v>123</v>
      </c>
      <c r="BZ230" s="87">
        <v>1.0</v>
      </c>
      <c r="CA230" s="72"/>
      <c r="CB230" s="82"/>
      <c r="CC230" s="31"/>
      <c r="CD230" s="28">
        <v>1.0</v>
      </c>
      <c r="CE230" s="88" t="s">
        <v>185</v>
      </c>
      <c r="CF230" s="33"/>
      <c r="CG230" s="34">
        <v>0.0</v>
      </c>
      <c r="CH230" s="89"/>
      <c r="CI230" s="36">
        <v>0.0</v>
      </c>
      <c r="CJ230" s="36">
        <v>0.0</v>
      </c>
      <c r="CK230" s="37">
        <v>0.0</v>
      </c>
      <c r="CL230" s="36">
        <v>0.0</v>
      </c>
      <c r="CM230" s="38">
        <v>0.0</v>
      </c>
      <c r="CN230" s="36">
        <v>0.0</v>
      </c>
      <c r="CO230" s="39">
        <v>0.0</v>
      </c>
      <c r="CP230" s="40">
        <v>0.0</v>
      </c>
      <c r="CQ230" s="36">
        <v>0.0</v>
      </c>
      <c r="CR230" s="36">
        <v>0.0</v>
      </c>
      <c r="CS230" s="36">
        <v>0.0</v>
      </c>
      <c r="CT230" s="41"/>
      <c r="CU230" s="42"/>
      <c r="CV230" s="43"/>
      <c r="CW230" s="44">
        <v>1.0</v>
      </c>
      <c r="CX230" s="44">
        <v>1.0</v>
      </c>
      <c r="CY230" s="44">
        <v>0.1</v>
      </c>
      <c r="CZ230" s="45"/>
      <c r="DA230" s="43"/>
      <c r="DB230" s="44">
        <v>0.0</v>
      </c>
      <c r="DC230" s="43"/>
      <c r="DD230" s="78"/>
      <c r="DE230" s="43"/>
      <c r="DF230" s="43"/>
      <c r="DG230" s="48" t="s">
        <v>128</v>
      </c>
      <c r="DH230" s="48" t="s">
        <v>131</v>
      </c>
      <c r="DI230" s="48" t="s">
        <v>574</v>
      </c>
      <c r="DJ230" s="49">
        <v>1.0</v>
      </c>
      <c r="DK230" s="48" t="b">
        <v>0</v>
      </c>
      <c r="DL230" s="50" t="s">
        <v>581</v>
      </c>
      <c r="DM230" s="111"/>
      <c r="DN230" s="111"/>
      <c r="DO230" s="51"/>
      <c r="DP230" s="51"/>
      <c r="DQ230" s="48" t="s">
        <v>576</v>
      </c>
      <c r="DR230" s="51"/>
      <c r="DS230" s="48" t="s">
        <v>134</v>
      </c>
    </row>
    <row r="231">
      <c r="A231" s="52" t="s">
        <v>118</v>
      </c>
      <c r="B231" s="53">
        <v>3.0</v>
      </c>
      <c r="C231" s="52" t="s">
        <v>119</v>
      </c>
      <c r="D231" s="53">
        <v>558730.0</v>
      </c>
      <c r="E231" s="52" t="s">
        <v>148</v>
      </c>
      <c r="F231" s="52" t="s">
        <v>668</v>
      </c>
      <c r="G231" s="52" t="s">
        <v>669</v>
      </c>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81"/>
      <c r="BU231" s="54"/>
      <c r="BV231" s="54"/>
      <c r="BW231" s="54"/>
      <c r="BX231" s="53">
        <v>1.0</v>
      </c>
      <c r="BY231" s="53" t="s">
        <v>123</v>
      </c>
      <c r="BZ231" s="87">
        <v>1.0</v>
      </c>
      <c r="CA231" s="72"/>
      <c r="CB231" s="82"/>
      <c r="CC231" s="31"/>
      <c r="CD231" s="58">
        <v>1.0</v>
      </c>
      <c r="CE231" s="83" t="s">
        <v>185</v>
      </c>
      <c r="CF231" s="60"/>
      <c r="CG231" s="61">
        <v>0.0</v>
      </c>
      <c r="CH231" s="84"/>
      <c r="CI231" s="63">
        <v>0.0</v>
      </c>
      <c r="CJ231" s="63">
        <v>0.0</v>
      </c>
      <c r="CK231" s="64">
        <v>0.0</v>
      </c>
      <c r="CL231" s="63">
        <v>0.0</v>
      </c>
      <c r="CM231" s="65">
        <v>0.0</v>
      </c>
      <c r="CN231" s="63">
        <v>0.0</v>
      </c>
      <c r="CO231" s="66">
        <v>0.0</v>
      </c>
      <c r="CP231" s="67">
        <v>0.0</v>
      </c>
      <c r="CQ231" s="63">
        <v>0.0</v>
      </c>
      <c r="CR231" s="63">
        <v>0.0</v>
      </c>
      <c r="CS231" s="63">
        <v>0.0</v>
      </c>
      <c r="CT231" s="68"/>
      <c r="CU231" s="69"/>
      <c r="CV231" s="70"/>
      <c r="CW231" s="71">
        <v>1.0</v>
      </c>
      <c r="CX231" s="71">
        <v>1.0</v>
      </c>
      <c r="CY231" s="71">
        <v>0.1</v>
      </c>
      <c r="CZ231" s="45"/>
      <c r="DA231" s="43"/>
      <c r="DB231" s="44">
        <v>0.0</v>
      </c>
      <c r="DC231" s="43"/>
      <c r="DD231" s="78"/>
      <c r="DE231" s="43"/>
      <c r="DF231" s="43"/>
      <c r="DG231" s="48" t="s">
        <v>128</v>
      </c>
      <c r="DH231" s="48" t="s">
        <v>131</v>
      </c>
      <c r="DI231" s="48" t="s">
        <v>574</v>
      </c>
      <c r="DJ231" s="49">
        <v>1.0</v>
      </c>
      <c r="DK231" s="48" t="b">
        <v>0</v>
      </c>
      <c r="DL231" s="50" t="s">
        <v>581</v>
      </c>
      <c r="DM231" s="111"/>
      <c r="DN231" s="111"/>
      <c r="DO231" s="51"/>
      <c r="DP231" s="51"/>
      <c r="DQ231" s="48" t="s">
        <v>576</v>
      </c>
      <c r="DR231" s="51"/>
      <c r="DS231" s="48" t="s">
        <v>134</v>
      </c>
    </row>
    <row r="232">
      <c r="A232" s="23" t="s">
        <v>118</v>
      </c>
      <c r="B232" s="24">
        <v>3.0</v>
      </c>
      <c r="C232" s="23" t="s">
        <v>119</v>
      </c>
      <c r="D232" s="24">
        <v>536832.0</v>
      </c>
      <c r="E232" s="23" t="s">
        <v>158</v>
      </c>
      <c r="F232" s="23" t="s">
        <v>670</v>
      </c>
      <c r="G232" s="23" t="s">
        <v>671</v>
      </c>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7"/>
      <c r="BU232" s="26"/>
      <c r="BV232" s="26"/>
      <c r="BW232" s="26"/>
      <c r="BX232" s="24">
        <v>1.0</v>
      </c>
      <c r="BY232" s="24" t="s">
        <v>123</v>
      </c>
      <c r="BZ232" s="87">
        <v>1.0</v>
      </c>
      <c r="CA232" s="72"/>
      <c r="CB232" s="82"/>
      <c r="CC232" s="31"/>
      <c r="CD232" s="28">
        <v>1.0</v>
      </c>
      <c r="CE232" s="88" t="s">
        <v>185</v>
      </c>
      <c r="CF232" s="33"/>
      <c r="CG232" s="34">
        <v>0.0</v>
      </c>
      <c r="CH232" s="89"/>
      <c r="CI232" s="36">
        <v>0.0</v>
      </c>
      <c r="CJ232" s="36">
        <v>0.0</v>
      </c>
      <c r="CK232" s="37">
        <v>0.0</v>
      </c>
      <c r="CL232" s="36">
        <v>0.0</v>
      </c>
      <c r="CM232" s="38">
        <v>0.0</v>
      </c>
      <c r="CN232" s="36">
        <v>0.0</v>
      </c>
      <c r="CO232" s="39">
        <v>0.0</v>
      </c>
      <c r="CP232" s="40">
        <v>0.0</v>
      </c>
      <c r="CQ232" s="36">
        <v>0.0</v>
      </c>
      <c r="CR232" s="36">
        <v>0.0</v>
      </c>
      <c r="CS232" s="36">
        <v>0.0</v>
      </c>
      <c r="CT232" s="41"/>
      <c r="CU232" s="42"/>
      <c r="CV232" s="43"/>
      <c r="CW232" s="44">
        <v>1.0</v>
      </c>
      <c r="CX232" s="44">
        <v>1.0</v>
      </c>
      <c r="CY232" s="44">
        <v>0.1</v>
      </c>
      <c r="CZ232" s="45"/>
      <c r="DA232" s="43"/>
      <c r="DB232" s="44">
        <v>0.0</v>
      </c>
      <c r="DC232" s="43"/>
      <c r="DD232" s="78"/>
      <c r="DE232" s="43"/>
      <c r="DF232" s="43"/>
      <c r="DG232" s="48" t="s">
        <v>128</v>
      </c>
      <c r="DH232" s="48" t="s">
        <v>131</v>
      </c>
      <c r="DI232" s="48" t="s">
        <v>574</v>
      </c>
      <c r="DJ232" s="49">
        <v>1.0</v>
      </c>
      <c r="DK232" s="48" t="b">
        <v>0</v>
      </c>
      <c r="DL232" s="50" t="s">
        <v>575</v>
      </c>
      <c r="DM232" s="111"/>
      <c r="DN232" s="111"/>
      <c r="DO232" s="51"/>
      <c r="DP232" s="51"/>
      <c r="DQ232" s="48" t="s">
        <v>576</v>
      </c>
      <c r="DR232" s="51"/>
      <c r="DS232" s="48" t="s">
        <v>134</v>
      </c>
    </row>
    <row r="233">
      <c r="A233" s="52" t="s">
        <v>118</v>
      </c>
      <c r="B233" s="53">
        <v>3.0</v>
      </c>
      <c r="C233" s="52" t="s">
        <v>119</v>
      </c>
      <c r="D233" s="53">
        <v>558730.0</v>
      </c>
      <c r="E233" s="52" t="s">
        <v>148</v>
      </c>
      <c r="F233" s="52" t="s">
        <v>672</v>
      </c>
      <c r="G233" s="52" t="s">
        <v>673</v>
      </c>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81"/>
      <c r="BU233" s="54"/>
      <c r="BV233" s="54"/>
      <c r="BW233" s="54"/>
      <c r="BX233" s="53">
        <v>1.0</v>
      </c>
      <c r="BY233" s="53" t="s">
        <v>123</v>
      </c>
      <c r="BZ233" s="87">
        <v>1.0</v>
      </c>
      <c r="CA233" s="72"/>
      <c r="CB233" s="82"/>
      <c r="CC233" s="31"/>
      <c r="CD233" s="58">
        <v>1.0</v>
      </c>
      <c r="CE233" s="83" t="s">
        <v>185</v>
      </c>
      <c r="CF233" s="60"/>
      <c r="CG233" s="61">
        <v>0.0</v>
      </c>
      <c r="CH233" s="84"/>
      <c r="CI233" s="63">
        <v>0.0</v>
      </c>
      <c r="CJ233" s="63">
        <v>0.0</v>
      </c>
      <c r="CK233" s="64">
        <v>0.0</v>
      </c>
      <c r="CL233" s="63">
        <v>0.0</v>
      </c>
      <c r="CM233" s="65">
        <v>0.0</v>
      </c>
      <c r="CN233" s="63">
        <v>0.0</v>
      </c>
      <c r="CO233" s="66">
        <v>0.0</v>
      </c>
      <c r="CP233" s="67">
        <v>0.0</v>
      </c>
      <c r="CQ233" s="63">
        <v>0.0</v>
      </c>
      <c r="CR233" s="63">
        <v>0.0</v>
      </c>
      <c r="CS233" s="63">
        <v>0.0</v>
      </c>
      <c r="CT233" s="68"/>
      <c r="CU233" s="69"/>
      <c r="CV233" s="70"/>
      <c r="CW233" s="71">
        <v>1.0</v>
      </c>
      <c r="CX233" s="71">
        <v>1.0</v>
      </c>
      <c r="CY233" s="71">
        <v>0.1</v>
      </c>
      <c r="CZ233" s="45"/>
      <c r="DA233" s="43"/>
      <c r="DB233" s="44">
        <v>0.0</v>
      </c>
      <c r="DC233" s="43"/>
      <c r="DD233" s="78"/>
      <c r="DE233" s="43"/>
      <c r="DF233" s="43"/>
      <c r="DG233" s="48" t="s">
        <v>128</v>
      </c>
      <c r="DH233" s="48" t="s">
        <v>131</v>
      </c>
      <c r="DI233" s="48" t="s">
        <v>574</v>
      </c>
      <c r="DJ233" s="49">
        <v>1.0</v>
      </c>
      <c r="DK233" s="48" t="b">
        <v>0</v>
      </c>
      <c r="DL233" s="111"/>
      <c r="DM233" s="111"/>
      <c r="DN233" s="111"/>
      <c r="DO233" s="51"/>
      <c r="DP233" s="51"/>
      <c r="DQ233" s="48" t="s">
        <v>576</v>
      </c>
      <c r="DR233" s="51"/>
      <c r="DS233" s="48" t="s">
        <v>134</v>
      </c>
    </row>
    <row r="234">
      <c r="A234" s="23" t="s">
        <v>118</v>
      </c>
      <c r="B234" s="24">
        <v>3.0</v>
      </c>
      <c r="C234" s="23" t="s">
        <v>119</v>
      </c>
      <c r="D234" s="24">
        <v>639495.0</v>
      </c>
      <c r="E234" s="23" t="s">
        <v>155</v>
      </c>
      <c r="F234" s="23" t="s">
        <v>674</v>
      </c>
      <c r="G234" s="23" t="s">
        <v>675</v>
      </c>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7"/>
      <c r="BU234" s="26"/>
      <c r="BV234" s="26"/>
      <c r="BW234" s="26"/>
      <c r="BX234" s="24">
        <v>1.0</v>
      </c>
      <c r="BY234" s="24" t="s">
        <v>123</v>
      </c>
      <c r="BZ234" s="87">
        <v>1.0</v>
      </c>
      <c r="CA234" s="72"/>
      <c r="CB234" s="82"/>
      <c r="CC234" s="31"/>
      <c r="CD234" s="28">
        <v>1.0</v>
      </c>
      <c r="CE234" s="88" t="s">
        <v>185</v>
      </c>
      <c r="CF234" s="33"/>
      <c r="CG234" s="34">
        <v>0.0</v>
      </c>
      <c r="CH234" s="89"/>
      <c r="CI234" s="36">
        <v>0.0</v>
      </c>
      <c r="CJ234" s="36">
        <v>0.0</v>
      </c>
      <c r="CK234" s="37">
        <v>0.0</v>
      </c>
      <c r="CL234" s="36">
        <v>0.0</v>
      </c>
      <c r="CM234" s="38">
        <v>0.0</v>
      </c>
      <c r="CN234" s="36">
        <v>0.0</v>
      </c>
      <c r="CO234" s="39">
        <v>0.0</v>
      </c>
      <c r="CP234" s="40">
        <v>0.0</v>
      </c>
      <c r="CQ234" s="36">
        <v>0.0</v>
      </c>
      <c r="CR234" s="36">
        <v>0.0</v>
      </c>
      <c r="CS234" s="36">
        <v>0.0</v>
      </c>
      <c r="CT234" s="41"/>
      <c r="CU234" s="42"/>
      <c r="CV234" s="43"/>
      <c r="CW234" s="44">
        <v>1.0</v>
      </c>
      <c r="CX234" s="44">
        <v>1.0</v>
      </c>
      <c r="CY234" s="44">
        <v>0.1</v>
      </c>
      <c r="CZ234" s="45"/>
      <c r="DA234" s="43"/>
      <c r="DB234" s="44">
        <v>0.0</v>
      </c>
      <c r="DC234" s="43"/>
      <c r="DD234" s="78"/>
      <c r="DE234" s="43"/>
      <c r="DF234" s="43"/>
      <c r="DG234" s="48" t="s">
        <v>128</v>
      </c>
      <c r="DH234" s="48" t="s">
        <v>131</v>
      </c>
      <c r="DI234" s="48" t="s">
        <v>574</v>
      </c>
      <c r="DJ234" s="49">
        <v>1.0</v>
      </c>
      <c r="DK234" s="48" t="b">
        <v>0</v>
      </c>
      <c r="DL234" s="111"/>
      <c r="DM234" s="111"/>
      <c r="DN234" s="111"/>
      <c r="DO234" s="51"/>
      <c r="DP234" s="51"/>
      <c r="DQ234" s="48" t="s">
        <v>576</v>
      </c>
      <c r="DR234" s="51"/>
      <c r="DS234" s="48" t="s">
        <v>134</v>
      </c>
    </row>
    <row r="235">
      <c r="A235" s="52" t="s">
        <v>118</v>
      </c>
      <c r="B235" s="53">
        <v>3.0</v>
      </c>
      <c r="C235" s="52" t="s">
        <v>119</v>
      </c>
      <c r="D235" s="53">
        <v>626041.0</v>
      </c>
      <c r="E235" s="52" t="s">
        <v>135</v>
      </c>
      <c r="F235" s="52" t="s">
        <v>676</v>
      </c>
      <c r="G235" s="52" t="s">
        <v>677</v>
      </c>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81"/>
      <c r="BU235" s="54"/>
      <c r="BV235" s="54"/>
      <c r="BW235" s="54"/>
      <c r="BX235" s="53">
        <v>1.0</v>
      </c>
      <c r="BY235" s="53" t="s">
        <v>123</v>
      </c>
      <c r="BZ235" s="87">
        <v>1.0</v>
      </c>
      <c r="CA235" s="72"/>
      <c r="CB235" s="82"/>
      <c r="CC235" s="31"/>
      <c r="CD235" s="58">
        <v>1.0</v>
      </c>
      <c r="CE235" s="83" t="s">
        <v>185</v>
      </c>
      <c r="CF235" s="60"/>
      <c r="CG235" s="61">
        <v>0.0</v>
      </c>
      <c r="CH235" s="84"/>
      <c r="CI235" s="63">
        <v>0.0</v>
      </c>
      <c r="CJ235" s="63">
        <v>0.0</v>
      </c>
      <c r="CK235" s="64">
        <v>0.0</v>
      </c>
      <c r="CL235" s="63">
        <v>0.0</v>
      </c>
      <c r="CM235" s="65">
        <v>0.0</v>
      </c>
      <c r="CN235" s="63">
        <v>0.0</v>
      </c>
      <c r="CO235" s="66">
        <v>0.0</v>
      </c>
      <c r="CP235" s="67">
        <v>0.0</v>
      </c>
      <c r="CQ235" s="63">
        <v>0.0</v>
      </c>
      <c r="CR235" s="63">
        <v>0.0</v>
      </c>
      <c r="CS235" s="63">
        <v>0.0</v>
      </c>
      <c r="CT235" s="68"/>
      <c r="CU235" s="69"/>
      <c r="CV235" s="70"/>
      <c r="CW235" s="71">
        <v>1.0</v>
      </c>
      <c r="CX235" s="71">
        <v>1.0</v>
      </c>
      <c r="CY235" s="71">
        <v>0.1</v>
      </c>
      <c r="CZ235" s="45"/>
      <c r="DA235" s="43"/>
      <c r="DB235" s="44">
        <v>0.0</v>
      </c>
      <c r="DC235" s="43"/>
      <c r="DD235" s="78"/>
      <c r="DE235" s="43"/>
      <c r="DF235" s="43"/>
      <c r="DG235" s="48" t="s">
        <v>128</v>
      </c>
      <c r="DH235" s="48" t="s">
        <v>131</v>
      </c>
      <c r="DI235" s="48" t="s">
        <v>574</v>
      </c>
      <c r="DJ235" s="49">
        <v>1.0</v>
      </c>
      <c r="DK235" s="48" t="b">
        <v>0</v>
      </c>
      <c r="DL235" s="50" t="s">
        <v>595</v>
      </c>
      <c r="DM235" s="111"/>
      <c r="DN235" s="111"/>
      <c r="DO235" s="51"/>
      <c r="DP235" s="51"/>
      <c r="DQ235" s="48" t="s">
        <v>576</v>
      </c>
      <c r="DR235" s="51"/>
      <c r="DS235" s="48" t="s">
        <v>134</v>
      </c>
    </row>
    <row r="236">
      <c r="A236" s="23" t="s">
        <v>118</v>
      </c>
      <c r="B236" s="24">
        <v>3.0</v>
      </c>
      <c r="C236" s="23" t="s">
        <v>119</v>
      </c>
      <c r="D236" s="24">
        <v>558730.0</v>
      </c>
      <c r="E236" s="23" t="s">
        <v>148</v>
      </c>
      <c r="F236" s="23" t="s">
        <v>678</v>
      </c>
      <c r="G236" s="23" t="s">
        <v>679</v>
      </c>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7"/>
      <c r="BU236" s="26"/>
      <c r="BV236" s="26"/>
      <c r="BW236" s="26"/>
      <c r="BX236" s="24">
        <v>1.0</v>
      </c>
      <c r="BY236" s="24" t="s">
        <v>123</v>
      </c>
      <c r="BZ236" s="87">
        <v>1.0</v>
      </c>
      <c r="CA236" s="72"/>
      <c r="CB236" s="82"/>
      <c r="CC236" s="31"/>
      <c r="CD236" s="28">
        <v>1.0</v>
      </c>
      <c r="CE236" s="88" t="s">
        <v>185</v>
      </c>
      <c r="CF236" s="33"/>
      <c r="CG236" s="34">
        <v>0.0</v>
      </c>
      <c r="CH236" s="89"/>
      <c r="CI236" s="36">
        <v>0.0</v>
      </c>
      <c r="CJ236" s="36">
        <v>0.0</v>
      </c>
      <c r="CK236" s="37">
        <v>0.0</v>
      </c>
      <c r="CL236" s="36">
        <v>0.0</v>
      </c>
      <c r="CM236" s="38">
        <v>0.0</v>
      </c>
      <c r="CN236" s="36">
        <v>0.0</v>
      </c>
      <c r="CO236" s="39">
        <v>0.0</v>
      </c>
      <c r="CP236" s="40">
        <v>0.0</v>
      </c>
      <c r="CQ236" s="36">
        <v>0.0</v>
      </c>
      <c r="CR236" s="36">
        <v>0.0</v>
      </c>
      <c r="CS236" s="36">
        <v>0.0</v>
      </c>
      <c r="CT236" s="41"/>
      <c r="CU236" s="42"/>
      <c r="CV236" s="43"/>
      <c r="CW236" s="44">
        <v>1.0</v>
      </c>
      <c r="CX236" s="44">
        <v>1.0</v>
      </c>
      <c r="CY236" s="44">
        <v>0.1</v>
      </c>
      <c r="CZ236" s="45"/>
      <c r="DA236" s="43"/>
      <c r="DB236" s="44">
        <v>0.0</v>
      </c>
      <c r="DC236" s="43"/>
      <c r="DD236" s="78"/>
      <c r="DE236" s="43"/>
      <c r="DF236" s="43"/>
      <c r="DG236" s="48" t="s">
        <v>128</v>
      </c>
      <c r="DH236" s="48" t="s">
        <v>131</v>
      </c>
      <c r="DI236" s="48" t="s">
        <v>574</v>
      </c>
      <c r="DJ236" s="49">
        <v>1.0</v>
      </c>
      <c r="DK236" s="48" t="b">
        <v>0</v>
      </c>
      <c r="DL236" s="50" t="s">
        <v>575</v>
      </c>
      <c r="DM236" s="111"/>
      <c r="DN236" s="111"/>
      <c r="DO236" s="51"/>
      <c r="DP236" s="51"/>
      <c r="DQ236" s="48" t="s">
        <v>576</v>
      </c>
      <c r="DR236" s="51"/>
      <c r="DS236" s="48" t="s">
        <v>134</v>
      </c>
    </row>
    <row r="237">
      <c r="A237" s="52" t="s">
        <v>118</v>
      </c>
      <c r="B237" s="53">
        <v>3.0</v>
      </c>
      <c r="C237" s="52" t="s">
        <v>119</v>
      </c>
      <c r="D237" s="53">
        <v>627274.0</v>
      </c>
      <c r="E237" s="52" t="s">
        <v>173</v>
      </c>
      <c r="F237" s="52" t="s">
        <v>680</v>
      </c>
      <c r="G237" s="52" t="s">
        <v>681</v>
      </c>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81"/>
      <c r="BU237" s="54"/>
      <c r="BV237" s="54"/>
      <c r="BW237" s="54"/>
      <c r="BX237" s="53">
        <v>1.0</v>
      </c>
      <c r="BY237" s="53" t="s">
        <v>123</v>
      </c>
      <c r="BZ237" s="87">
        <v>1.0</v>
      </c>
      <c r="CA237" s="72"/>
      <c r="CB237" s="82"/>
      <c r="CC237" s="31"/>
      <c r="CD237" s="58">
        <v>1.0</v>
      </c>
      <c r="CE237" s="83" t="s">
        <v>185</v>
      </c>
      <c r="CF237" s="60"/>
      <c r="CG237" s="61">
        <v>0.0</v>
      </c>
      <c r="CH237" s="84"/>
      <c r="CI237" s="63">
        <v>0.0</v>
      </c>
      <c r="CJ237" s="63">
        <v>0.0</v>
      </c>
      <c r="CK237" s="64">
        <v>0.0</v>
      </c>
      <c r="CL237" s="63">
        <v>0.0</v>
      </c>
      <c r="CM237" s="65">
        <v>0.0</v>
      </c>
      <c r="CN237" s="63">
        <v>0.0</v>
      </c>
      <c r="CO237" s="66">
        <v>0.0</v>
      </c>
      <c r="CP237" s="67">
        <v>0.0</v>
      </c>
      <c r="CQ237" s="63">
        <v>0.0</v>
      </c>
      <c r="CR237" s="63">
        <v>0.0</v>
      </c>
      <c r="CS237" s="63">
        <v>0.0</v>
      </c>
      <c r="CT237" s="68"/>
      <c r="CU237" s="69"/>
      <c r="CV237" s="70"/>
      <c r="CW237" s="71">
        <v>1.0</v>
      </c>
      <c r="CX237" s="71">
        <v>1.0</v>
      </c>
      <c r="CY237" s="71">
        <v>0.1</v>
      </c>
      <c r="CZ237" s="45"/>
      <c r="DA237" s="43"/>
      <c r="DB237" s="44">
        <v>0.0</v>
      </c>
      <c r="DC237" s="43"/>
      <c r="DD237" s="78"/>
      <c r="DE237" s="43"/>
      <c r="DF237" s="43"/>
      <c r="DG237" s="48" t="s">
        <v>128</v>
      </c>
      <c r="DH237" s="48" t="s">
        <v>131</v>
      </c>
      <c r="DI237" s="48" t="s">
        <v>574</v>
      </c>
      <c r="DJ237" s="49">
        <v>1.0</v>
      </c>
      <c r="DK237" s="48" t="b">
        <v>0</v>
      </c>
      <c r="DL237" s="50" t="s">
        <v>682</v>
      </c>
      <c r="DM237" s="111"/>
      <c r="DN237" s="111"/>
      <c r="DO237" s="51"/>
      <c r="DP237" s="51"/>
      <c r="DQ237" s="48" t="s">
        <v>576</v>
      </c>
      <c r="DR237" s="51"/>
      <c r="DS237" s="48" t="s">
        <v>134</v>
      </c>
    </row>
    <row r="238">
      <c r="A238" s="23" t="s">
        <v>118</v>
      </c>
      <c r="B238" s="24">
        <v>3.0</v>
      </c>
      <c r="C238" s="23" t="s">
        <v>119</v>
      </c>
      <c r="D238" s="24">
        <v>536832.0</v>
      </c>
      <c r="E238" s="23" t="s">
        <v>158</v>
      </c>
      <c r="F238" s="23" t="s">
        <v>683</v>
      </c>
      <c r="G238" s="23" t="s">
        <v>684</v>
      </c>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7"/>
      <c r="BU238" s="26"/>
      <c r="BV238" s="26"/>
      <c r="BW238" s="26"/>
      <c r="BX238" s="24">
        <v>1.0</v>
      </c>
      <c r="BY238" s="24" t="s">
        <v>123</v>
      </c>
      <c r="BZ238" s="87">
        <v>1.0</v>
      </c>
      <c r="CA238" s="72"/>
      <c r="CB238" s="82"/>
      <c r="CC238" s="31"/>
      <c r="CD238" s="28">
        <v>1.0</v>
      </c>
      <c r="CE238" s="88" t="s">
        <v>185</v>
      </c>
      <c r="CF238" s="33"/>
      <c r="CG238" s="34">
        <v>0.0</v>
      </c>
      <c r="CH238" s="89"/>
      <c r="CI238" s="36">
        <v>0.0</v>
      </c>
      <c r="CJ238" s="36">
        <v>0.0</v>
      </c>
      <c r="CK238" s="37">
        <v>0.0</v>
      </c>
      <c r="CL238" s="36">
        <v>0.0</v>
      </c>
      <c r="CM238" s="38">
        <v>0.0</v>
      </c>
      <c r="CN238" s="36">
        <v>0.0</v>
      </c>
      <c r="CO238" s="39">
        <v>0.0</v>
      </c>
      <c r="CP238" s="40">
        <v>0.0</v>
      </c>
      <c r="CQ238" s="36">
        <v>0.0</v>
      </c>
      <c r="CR238" s="36">
        <v>0.0</v>
      </c>
      <c r="CS238" s="36">
        <v>0.0</v>
      </c>
      <c r="CT238" s="41"/>
      <c r="CU238" s="42"/>
      <c r="CV238" s="43"/>
      <c r="CW238" s="44">
        <v>1.0</v>
      </c>
      <c r="CX238" s="44">
        <v>1.0</v>
      </c>
      <c r="CY238" s="44">
        <v>0.1</v>
      </c>
      <c r="CZ238" s="45"/>
      <c r="DA238" s="43"/>
      <c r="DB238" s="44">
        <v>0.0</v>
      </c>
      <c r="DC238" s="43"/>
      <c r="DD238" s="78"/>
      <c r="DE238" s="43"/>
      <c r="DF238" s="43"/>
      <c r="DG238" s="48" t="s">
        <v>128</v>
      </c>
      <c r="DH238" s="48" t="s">
        <v>131</v>
      </c>
      <c r="DI238" s="48" t="s">
        <v>574</v>
      </c>
      <c r="DJ238" s="49">
        <v>1.0</v>
      </c>
      <c r="DK238" s="48" t="b">
        <v>0</v>
      </c>
      <c r="DL238" s="50" t="s">
        <v>581</v>
      </c>
      <c r="DM238" s="111"/>
      <c r="DN238" s="111"/>
      <c r="DO238" s="51"/>
      <c r="DP238" s="51"/>
      <c r="DQ238" s="48" t="s">
        <v>576</v>
      </c>
      <c r="DR238" s="51"/>
      <c r="DS238" s="48" t="s">
        <v>134</v>
      </c>
    </row>
    <row r="239">
      <c r="A239" s="52" t="s">
        <v>118</v>
      </c>
      <c r="B239" s="53">
        <v>3.0</v>
      </c>
      <c r="C239" s="52" t="s">
        <v>119</v>
      </c>
      <c r="D239" s="53">
        <v>639495.0</v>
      </c>
      <c r="E239" s="52" t="s">
        <v>155</v>
      </c>
      <c r="F239" s="52" t="s">
        <v>685</v>
      </c>
      <c r="G239" s="52" t="s">
        <v>686</v>
      </c>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81"/>
      <c r="BU239" s="54"/>
      <c r="BV239" s="54"/>
      <c r="BW239" s="54"/>
      <c r="BX239" s="53">
        <v>1.0</v>
      </c>
      <c r="BY239" s="53" t="s">
        <v>123</v>
      </c>
      <c r="BZ239" s="87">
        <v>1.0</v>
      </c>
      <c r="CA239" s="72"/>
      <c r="CB239" s="82"/>
      <c r="CC239" s="31"/>
      <c r="CD239" s="58">
        <v>1.0</v>
      </c>
      <c r="CE239" s="83" t="s">
        <v>185</v>
      </c>
      <c r="CF239" s="60"/>
      <c r="CG239" s="61">
        <v>0.0</v>
      </c>
      <c r="CH239" s="84"/>
      <c r="CI239" s="63">
        <v>0.0</v>
      </c>
      <c r="CJ239" s="63">
        <v>0.0</v>
      </c>
      <c r="CK239" s="64">
        <v>0.0</v>
      </c>
      <c r="CL239" s="63">
        <v>0.0</v>
      </c>
      <c r="CM239" s="65">
        <v>0.0</v>
      </c>
      <c r="CN239" s="63">
        <v>0.0</v>
      </c>
      <c r="CO239" s="66">
        <v>0.0</v>
      </c>
      <c r="CP239" s="67">
        <v>0.0</v>
      </c>
      <c r="CQ239" s="63">
        <v>0.0</v>
      </c>
      <c r="CR239" s="63">
        <v>0.0</v>
      </c>
      <c r="CS239" s="63">
        <v>0.0</v>
      </c>
      <c r="CT239" s="68"/>
      <c r="CU239" s="69"/>
      <c r="CV239" s="70"/>
      <c r="CW239" s="71">
        <v>1.0</v>
      </c>
      <c r="CX239" s="71">
        <v>1.0</v>
      </c>
      <c r="CY239" s="71">
        <v>0.1</v>
      </c>
      <c r="CZ239" s="45"/>
      <c r="DA239" s="43"/>
      <c r="DB239" s="44">
        <v>0.0</v>
      </c>
      <c r="DC239" s="43"/>
      <c r="DD239" s="78"/>
      <c r="DE239" s="43"/>
      <c r="DF239" s="43"/>
      <c r="DG239" s="48" t="s">
        <v>128</v>
      </c>
      <c r="DH239" s="48" t="s">
        <v>131</v>
      </c>
      <c r="DI239" s="48" t="s">
        <v>574</v>
      </c>
      <c r="DJ239" s="49">
        <v>1.0</v>
      </c>
      <c r="DK239" s="48" t="b">
        <v>0</v>
      </c>
      <c r="DL239" s="50" t="s">
        <v>575</v>
      </c>
      <c r="DM239" s="111"/>
      <c r="DN239" s="111"/>
      <c r="DO239" s="51"/>
      <c r="DP239" s="51"/>
      <c r="DQ239" s="48" t="s">
        <v>576</v>
      </c>
      <c r="DR239" s="51"/>
      <c r="DS239" s="48" t="s">
        <v>134</v>
      </c>
    </row>
    <row r="240">
      <c r="A240" s="23" t="s">
        <v>118</v>
      </c>
      <c r="B240" s="24">
        <v>3.0</v>
      </c>
      <c r="C240" s="23" t="s">
        <v>119</v>
      </c>
      <c r="D240" s="24">
        <v>641645.0</v>
      </c>
      <c r="E240" s="23" t="s">
        <v>145</v>
      </c>
      <c r="F240" s="23" t="s">
        <v>687</v>
      </c>
      <c r="G240" s="23" t="s">
        <v>688</v>
      </c>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7"/>
      <c r="BU240" s="26"/>
      <c r="BV240" s="26"/>
      <c r="BW240" s="26"/>
      <c r="BX240" s="24">
        <v>1.0</v>
      </c>
      <c r="BY240" s="24" t="s">
        <v>123</v>
      </c>
      <c r="BZ240" s="87">
        <v>1.0</v>
      </c>
      <c r="CA240" s="72"/>
      <c r="CB240" s="82"/>
      <c r="CC240" s="31"/>
      <c r="CD240" s="28">
        <v>1.0</v>
      </c>
      <c r="CE240" s="88" t="s">
        <v>185</v>
      </c>
      <c r="CF240" s="33"/>
      <c r="CG240" s="34">
        <v>0.0</v>
      </c>
      <c r="CH240" s="89"/>
      <c r="CI240" s="36">
        <v>0.0</v>
      </c>
      <c r="CJ240" s="36">
        <v>0.0</v>
      </c>
      <c r="CK240" s="37">
        <v>0.0</v>
      </c>
      <c r="CL240" s="36">
        <v>0.0</v>
      </c>
      <c r="CM240" s="38">
        <v>0.0</v>
      </c>
      <c r="CN240" s="36">
        <v>0.0</v>
      </c>
      <c r="CO240" s="39">
        <v>0.0</v>
      </c>
      <c r="CP240" s="40">
        <v>0.0</v>
      </c>
      <c r="CQ240" s="36">
        <v>0.0</v>
      </c>
      <c r="CR240" s="36">
        <v>0.0</v>
      </c>
      <c r="CS240" s="36">
        <v>0.0</v>
      </c>
      <c r="CT240" s="41"/>
      <c r="CU240" s="42"/>
      <c r="CV240" s="43"/>
      <c r="CW240" s="44">
        <v>1.0</v>
      </c>
      <c r="CX240" s="44">
        <v>1.0</v>
      </c>
      <c r="CY240" s="44">
        <v>0.1</v>
      </c>
      <c r="CZ240" s="45"/>
      <c r="DA240" s="43"/>
      <c r="DB240" s="44">
        <v>0.0</v>
      </c>
      <c r="DC240" s="43"/>
      <c r="DD240" s="78"/>
      <c r="DE240" s="43"/>
      <c r="DF240" s="43"/>
      <c r="DG240" s="48" t="s">
        <v>128</v>
      </c>
      <c r="DH240" s="48" t="s">
        <v>131</v>
      </c>
      <c r="DI240" s="48" t="s">
        <v>574</v>
      </c>
      <c r="DJ240" s="49">
        <v>1.0</v>
      </c>
      <c r="DK240" s="48" t="b">
        <v>0</v>
      </c>
      <c r="DL240" s="50" t="s">
        <v>575</v>
      </c>
      <c r="DM240" s="111"/>
      <c r="DN240" s="111"/>
      <c r="DO240" s="51"/>
      <c r="DP240" s="48" t="s">
        <v>128</v>
      </c>
      <c r="DQ240" s="48" t="s">
        <v>576</v>
      </c>
      <c r="DR240" s="51"/>
      <c r="DS240" s="48" t="s">
        <v>134</v>
      </c>
    </row>
    <row r="241">
      <c r="A241" s="52" t="s">
        <v>118</v>
      </c>
      <c r="B241" s="53">
        <v>3.0</v>
      </c>
      <c r="C241" s="52" t="s">
        <v>119</v>
      </c>
      <c r="D241" s="53">
        <v>604008.0</v>
      </c>
      <c r="E241" s="52" t="s">
        <v>176</v>
      </c>
      <c r="F241" s="52" t="s">
        <v>689</v>
      </c>
      <c r="G241" s="52" t="s">
        <v>690</v>
      </c>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81"/>
      <c r="BU241" s="54"/>
      <c r="BV241" s="54"/>
      <c r="BW241" s="54"/>
      <c r="BX241" s="53">
        <v>1.0</v>
      </c>
      <c r="BY241" s="53" t="s">
        <v>123</v>
      </c>
      <c r="BZ241" s="87">
        <v>1.0</v>
      </c>
      <c r="CA241" s="72"/>
      <c r="CB241" s="82"/>
      <c r="CC241" s="31"/>
      <c r="CD241" s="58">
        <v>1.0</v>
      </c>
      <c r="CE241" s="83" t="s">
        <v>185</v>
      </c>
      <c r="CF241" s="60"/>
      <c r="CG241" s="61">
        <v>0.0</v>
      </c>
      <c r="CH241" s="84"/>
      <c r="CI241" s="63">
        <v>0.0</v>
      </c>
      <c r="CJ241" s="63">
        <v>0.0</v>
      </c>
      <c r="CK241" s="64">
        <v>0.0</v>
      </c>
      <c r="CL241" s="63">
        <v>0.0</v>
      </c>
      <c r="CM241" s="65">
        <v>0.0</v>
      </c>
      <c r="CN241" s="63">
        <v>0.0</v>
      </c>
      <c r="CO241" s="66">
        <v>0.0</v>
      </c>
      <c r="CP241" s="67">
        <v>0.0</v>
      </c>
      <c r="CQ241" s="63">
        <v>0.0</v>
      </c>
      <c r="CR241" s="63">
        <v>0.0</v>
      </c>
      <c r="CS241" s="63">
        <v>0.0</v>
      </c>
      <c r="CT241" s="68"/>
      <c r="CU241" s="69"/>
      <c r="CV241" s="70"/>
      <c r="CW241" s="71">
        <v>1.0</v>
      </c>
      <c r="CX241" s="71">
        <v>1.0</v>
      </c>
      <c r="CY241" s="71">
        <v>0.1</v>
      </c>
      <c r="CZ241" s="45"/>
      <c r="DA241" s="43"/>
      <c r="DB241" s="44">
        <v>0.0</v>
      </c>
      <c r="DC241" s="43"/>
      <c r="DD241" s="78"/>
      <c r="DE241" s="43"/>
      <c r="DF241" s="43"/>
      <c r="DG241" s="48" t="s">
        <v>128</v>
      </c>
      <c r="DH241" s="48" t="s">
        <v>131</v>
      </c>
      <c r="DI241" s="48" t="s">
        <v>574</v>
      </c>
      <c r="DJ241" s="49">
        <v>1.0</v>
      </c>
      <c r="DK241" s="48" t="b">
        <v>0</v>
      </c>
      <c r="DL241" s="50" t="s">
        <v>575</v>
      </c>
      <c r="DM241" s="111"/>
      <c r="DN241" s="111"/>
      <c r="DO241" s="51"/>
      <c r="DP241" s="51"/>
      <c r="DQ241" s="48" t="s">
        <v>576</v>
      </c>
      <c r="DR241" s="51"/>
      <c r="DS241" s="48" t="s">
        <v>134</v>
      </c>
    </row>
    <row r="242">
      <c r="A242" s="23" t="s">
        <v>118</v>
      </c>
      <c r="B242" s="24">
        <v>3.0</v>
      </c>
      <c r="C242" s="23" t="s">
        <v>119</v>
      </c>
      <c r="D242" s="24">
        <v>639495.0</v>
      </c>
      <c r="E242" s="23" t="s">
        <v>155</v>
      </c>
      <c r="F242" s="23" t="s">
        <v>691</v>
      </c>
      <c r="G242" s="23" t="s">
        <v>692</v>
      </c>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7"/>
      <c r="BU242" s="26"/>
      <c r="BV242" s="26"/>
      <c r="BW242" s="26"/>
      <c r="BX242" s="24">
        <v>1.0</v>
      </c>
      <c r="BY242" s="24" t="s">
        <v>123</v>
      </c>
      <c r="BZ242" s="87">
        <v>1.0</v>
      </c>
      <c r="CA242" s="72"/>
      <c r="CB242" s="82"/>
      <c r="CC242" s="31"/>
      <c r="CD242" s="28">
        <v>1.0</v>
      </c>
      <c r="CE242" s="88" t="s">
        <v>185</v>
      </c>
      <c r="CF242" s="33"/>
      <c r="CG242" s="34">
        <v>0.0</v>
      </c>
      <c r="CH242" s="89"/>
      <c r="CI242" s="36">
        <v>0.0</v>
      </c>
      <c r="CJ242" s="36">
        <v>0.0</v>
      </c>
      <c r="CK242" s="37">
        <v>0.0</v>
      </c>
      <c r="CL242" s="36">
        <v>0.0</v>
      </c>
      <c r="CM242" s="38">
        <v>0.0</v>
      </c>
      <c r="CN242" s="36">
        <v>0.0</v>
      </c>
      <c r="CO242" s="39">
        <v>0.0</v>
      </c>
      <c r="CP242" s="40">
        <v>0.0</v>
      </c>
      <c r="CQ242" s="36">
        <v>0.0</v>
      </c>
      <c r="CR242" s="36">
        <v>0.0</v>
      </c>
      <c r="CS242" s="36">
        <v>0.0</v>
      </c>
      <c r="CT242" s="41"/>
      <c r="CU242" s="42"/>
      <c r="CV242" s="43"/>
      <c r="CW242" s="44">
        <v>1.0</v>
      </c>
      <c r="CX242" s="44">
        <v>1.0</v>
      </c>
      <c r="CY242" s="44">
        <v>0.1</v>
      </c>
      <c r="CZ242" s="45"/>
      <c r="DA242" s="43"/>
      <c r="DB242" s="44">
        <v>0.0</v>
      </c>
      <c r="DC242" s="43"/>
      <c r="DD242" s="78"/>
      <c r="DE242" s="43"/>
      <c r="DF242" s="43"/>
      <c r="DG242" s="48" t="s">
        <v>128</v>
      </c>
      <c r="DH242" s="48" t="s">
        <v>131</v>
      </c>
      <c r="DI242" s="48" t="s">
        <v>574</v>
      </c>
      <c r="DJ242" s="49">
        <v>1.0</v>
      </c>
      <c r="DK242" s="48" t="b">
        <v>0</v>
      </c>
      <c r="DL242" s="50" t="s">
        <v>595</v>
      </c>
      <c r="DM242" s="111"/>
      <c r="DN242" s="111"/>
      <c r="DO242" s="51"/>
      <c r="DP242" s="51"/>
      <c r="DQ242" s="48" t="s">
        <v>576</v>
      </c>
      <c r="DR242" s="51"/>
      <c r="DS242" s="48" t="s">
        <v>134</v>
      </c>
    </row>
    <row r="243">
      <c r="A243" s="52" t="s">
        <v>118</v>
      </c>
      <c r="B243" s="53">
        <v>3.0</v>
      </c>
      <c r="C243" s="52" t="s">
        <v>119</v>
      </c>
      <c r="D243" s="53">
        <v>604008.0</v>
      </c>
      <c r="E243" s="52" t="s">
        <v>176</v>
      </c>
      <c r="F243" s="52" t="s">
        <v>693</v>
      </c>
      <c r="G243" s="52" t="s">
        <v>694</v>
      </c>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81"/>
      <c r="BU243" s="54"/>
      <c r="BV243" s="54"/>
      <c r="BW243" s="54"/>
      <c r="BX243" s="53">
        <v>1.0</v>
      </c>
      <c r="BY243" s="53" t="s">
        <v>123</v>
      </c>
      <c r="BZ243" s="87">
        <v>1.0</v>
      </c>
      <c r="CA243" s="72"/>
      <c r="CB243" s="82"/>
      <c r="CC243" s="31"/>
      <c r="CD243" s="58">
        <v>1.0</v>
      </c>
      <c r="CE243" s="83" t="s">
        <v>185</v>
      </c>
      <c r="CF243" s="60"/>
      <c r="CG243" s="61">
        <v>0.0</v>
      </c>
      <c r="CH243" s="84"/>
      <c r="CI243" s="63">
        <v>0.0</v>
      </c>
      <c r="CJ243" s="63">
        <v>0.0</v>
      </c>
      <c r="CK243" s="64">
        <v>0.0</v>
      </c>
      <c r="CL243" s="63">
        <v>0.0</v>
      </c>
      <c r="CM243" s="65">
        <v>0.0</v>
      </c>
      <c r="CN243" s="63">
        <v>0.0</v>
      </c>
      <c r="CO243" s="66">
        <v>0.0</v>
      </c>
      <c r="CP243" s="67">
        <v>0.0</v>
      </c>
      <c r="CQ243" s="63">
        <v>0.0</v>
      </c>
      <c r="CR243" s="63">
        <v>0.0</v>
      </c>
      <c r="CS243" s="63">
        <v>0.0</v>
      </c>
      <c r="CT243" s="68"/>
      <c r="CU243" s="69"/>
      <c r="CV243" s="70"/>
      <c r="CW243" s="71">
        <v>1.0</v>
      </c>
      <c r="CX243" s="71">
        <v>1.0</v>
      </c>
      <c r="CY243" s="71">
        <v>0.1</v>
      </c>
      <c r="CZ243" s="45"/>
      <c r="DA243" s="43"/>
      <c r="DB243" s="44">
        <v>0.0</v>
      </c>
      <c r="DC243" s="43"/>
      <c r="DD243" s="78"/>
      <c r="DE243" s="43"/>
      <c r="DF243" s="43"/>
      <c r="DG243" s="48" t="s">
        <v>128</v>
      </c>
      <c r="DH243" s="48" t="s">
        <v>131</v>
      </c>
      <c r="DI243" s="48" t="s">
        <v>574</v>
      </c>
      <c r="DJ243" s="49">
        <v>1.0</v>
      </c>
      <c r="DK243" s="48" t="b">
        <v>0</v>
      </c>
      <c r="DL243" s="111"/>
      <c r="DM243" s="111"/>
      <c r="DN243" s="111"/>
      <c r="DO243" s="51"/>
      <c r="DP243" s="51"/>
      <c r="DQ243" s="48" t="s">
        <v>576</v>
      </c>
      <c r="DR243" s="51"/>
      <c r="DS243" s="48" t="s">
        <v>134</v>
      </c>
    </row>
    <row r="244">
      <c r="A244" s="23" t="s">
        <v>118</v>
      </c>
      <c r="B244" s="24">
        <v>3.0</v>
      </c>
      <c r="C244" s="23" t="s">
        <v>119</v>
      </c>
      <c r="D244" s="24">
        <v>536832.0</v>
      </c>
      <c r="E244" s="23" t="s">
        <v>158</v>
      </c>
      <c r="F244" s="23" t="s">
        <v>695</v>
      </c>
      <c r="G244" s="23" t="s">
        <v>696</v>
      </c>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7"/>
      <c r="BU244" s="26"/>
      <c r="BV244" s="26"/>
      <c r="BW244" s="26"/>
      <c r="BX244" s="24">
        <v>1.0</v>
      </c>
      <c r="BY244" s="24" t="s">
        <v>123</v>
      </c>
      <c r="BZ244" s="87">
        <v>1.0</v>
      </c>
      <c r="CA244" s="72"/>
      <c r="CB244" s="82"/>
      <c r="CC244" s="31"/>
      <c r="CD244" s="28">
        <v>1.0</v>
      </c>
      <c r="CE244" s="88" t="s">
        <v>185</v>
      </c>
      <c r="CF244" s="33"/>
      <c r="CG244" s="34">
        <v>0.0</v>
      </c>
      <c r="CH244" s="89"/>
      <c r="CI244" s="36">
        <v>0.0</v>
      </c>
      <c r="CJ244" s="36">
        <v>0.0</v>
      </c>
      <c r="CK244" s="37">
        <v>0.0</v>
      </c>
      <c r="CL244" s="36">
        <v>0.0</v>
      </c>
      <c r="CM244" s="38">
        <v>0.0</v>
      </c>
      <c r="CN244" s="36">
        <v>0.0</v>
      </c>
      <c r="CO244" s="39">
        <v>0.0</v>
      </c>
      <c r="CP244" s="40">
        <v>0.0</v>
      </c>
      <c r="CQ244" s="36">
        <v>0.0</v>
      </c>
      <c r="CR244" s="36">
        <v>0.0</v>
      </c>
      <c r="CS244" s="36">
        <v>0.0</v>
      </c>
      <c r="CT244" s="41"/>
      <c r="CU244" s="42"/>
      <c r="CV244" s="43"/>
      <c r="CW244" s="44">
        <v>1.0</v>
      </c>
      <c r="CX244" s="44">
        <v>1.0</v>
      </c>
      <c r="CY244" s="44">
        <v>0.1</v>
      </c>
      <c r="CZ244" s="45"/>
      <c r="DA244" s="43"/>
      <c r="DB244" s="44">
        <v>0.0</v>
      </c>
      <c r="DC244" s="43"/>
      <c r="DD244" s="78"/>
      <c r="DE244" s="43"/>
      <c r="DF244" s="43"/>
      <c r="DG244" s="48" t="s">
        <v>128</v>
      </c>
      <c r="DH244" s="48" t="s">
        <v>131</v>
      </c>
      <c r="DI244" s="48" t="s">
        <v>574</v>
      </c>
      <c r="DJ244" s="49">
        <v>1.0</v>
      </c>
      <c r="DK244" s="48" t="b">
        <v>0</v>
      </c>
      <c r="DL244" s="111"/>
      <c r="DM244" s="111"/>
      <c r="DN244" s="111"/>
      <c r="DO244" s="51"/>
      <c r="DP244" s="48" t="s">
        <v>128</v>
      </c>
      <c r="DQ244" s="48" t="s">
        <v>576</v>
      </c>
      <c r="DR244" s="51"/>
      <c r="DS244" s="48" t="s">
        <v>134</v>
      </c>
    </row>
    <row r="245">
      <c r="A245" s="52" t="s">
        <v>118</v>
      </c>
      <c r="B245" s="53">
        <v>3.0</v>
      </c>
      <c r="C245" s="52" t="s">
        <v>119</v>
      </c>
      <c r="D245" s="53">
        <v>610881.0</v>
      </c>
      <c r="E245" s="52" t="s">
        <v>167</v>
      </c>
      <c r="F245" s="52" t="s">
        <v>697</v>
      </c>
      <c r="G245" s="52" t="s">
        <v>698</v>
      </c>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81"/>
      <c r="BU245" s="54"/>
      <c r="BV245" s="54"/>
      <c r="BW245" s="54"/>
      <c r="BX245" s="53">
        <v>1.0</v>
      </c>
      <c r="BY245" s="53" t="s">
        <v>123</v>
      </c>
      <c r="BZ245" s="87">
        <v>1.0</v>
      </c>
      <c r="CA245" s="72"/>
      <c r="CB245" s="82"/>
      <c r="CC245" s="31"/>
      <c r="CD245" s="58">
        <v>1.0</v>
      </c>
      <c r="CE245" s="83" t="s">
        <v>185</v>
      </c>
      <c r="CF245" s="60"/>
      <c r="CG245" s="61">
        <v>0.0</v>
      </c>
      <c r="CH245" s="84"/>
      <c r="CI245" s="63">
        <v>0.0</v>
      </c>
      <c r="CJ245" s="63">
        <v>0.0</v>
      </c>
      <c r="CK245" s="64">
        <v>0.0</v>
      </c>
      <c r="CL245" s="63">
        <v>0.0</v>
      </c>
      <c r="CM245" s="65">
        <v>0.0</v>
      </c>
      <c r="CN245" s="63">
        <v>0.0</v>
      </c>
      <c r="CO245" s="66">
        <v>0.0</v>
      </c>
      <c r="CP245" s="67">
        <v>0.0</v>
      </c>
      <c r="CQ245" s="63">
        <v>0.0</v>
      </c>
      <c r="CR245" s="63">
        <v>0.0</v>
      </c>
      <c r="CS245" s="63">
        <v>0.0</v>
      </c>
      <c r="CT245" s="68"/>
      <c r="CU245" s="69"/>
      <c r="CV245" s="70"/>
      <c r="CW245" s="71">
        <v>1.0</v>
      </c>
      <c r="CX245" s="71">
        <v>1.0</v>
      </c>
      <c r="CY245" s="71">
        <v>0.1</v>
      </c>
      <c r="CZ245" s="45"/>
      <c r="DA245" s="43"/>
      <c r="DB245" s="44">
        <v>0.0</v>
      </c>
      <c r="DC245" s="43"/>
      <c r="DD245" s="78"/>
      <c r="DE245" s="43"/>
      <c r="DF245" s="43"/>
      <c r="DG245" s="48" t="s">
        <v>128</v>
      </c>
      <c r="DH245" s="48" t="s">
        <v>131</v>
      </c>
      <c r="DI245" s="48" t="s">
        <v>574</v>
      </c>
      <c r="DJ245" s="49">
        <v>1.0</v>
      </c>
      <c r="DK245" s="48" t="b">
        <v>0</v>
      </c>
      <c r="DL245" s="50" t="s">
        <v>595</v>
      </c>
      <c r="DM245" s="111"/>
      <c r="DN245" s="111"/>
      <c r="DO245" s="51"/>
      <c r="DP245" s="51"/>
      <c r="DQ245" s="48" t="s">
        <v>576</v>
      </c>
      <c r="DR245" s="51"/>
      <c r="DS245" s="48" t="s">
        <v>134</v>
      </c>
    </row>
    <row r="246">
      <c r="A246" s="23" t="s">
        <v>118</v>
      </c>
      <c r="B246" s="24">
        <v>3.0</v>
      </c>
      <c r="C246" s="23" t="s">
        <v>119</v>
      </c>
      <c r="D246" s="24">
        <v>640888.0</v>
      </c>
      <c r="E246" s="23" t="s">
        <v>161</v>
      </c>
      <c r="F246" s="23" t="s">
        <v>699</v>
      </c>
      <c r="G246" s="23" t="s">
        <v>700</v>
      </c>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7"/>
      <c r="BU246" s="26"/>
      <c r="BV246" s="26"/>
      <c r="BW246" s="26"/>
      <c r="BX246" s="24">
        <v>1.0</v>
      </c>
      <c r="BY246" s="24" t="s">
        <v>123</v>
      </c>
      <c r="BZ246" s="87">
        <v>1.0</v>
      </c>
      <c r="CA246" s="72"/>
      <c r="CB246" s="82"/>
      <c r="CC246" s="31"/>
      <c r="CD246" s="28">
        <v>1.0</v>
      </c>
      <c r="CE246" s="88" t="s">
        <v>185</v>
      </c>
      <c r="CF246" s="33"/>
      <c r="CG246" s="34">
        <v>0.0</v>
      </c>
      <c r="CH246" s="89"/>
      <c r="CI246" s="36">
        <v>0.0</v>
      </c>
      <c r="CJ246" s="36">
        <v>0.0</v>
      </c>
      <c r="CK246" s="37">
        <v>0.0</v>
      </c>
      <c r="CL246" s="36">
        <v>0.0</v>
      </c>
      <c r="CM246" s="38">
        <v>0.0</v>
      </c>
      <c r="CN246" s="36">
        <v>0.0</v>
      </c>
      <c r="CO246" s="39">
        <v>0.0</v>
      </c>
      <c r="CP246" s="40">
        <v>0.0</v>
      </c>
      <c r="CQ246" s="36">
        <v>0.0</v>
      </c>
      <c r="CR246" s="36">
        <v>0.0</v>
      </c>
      <c r="CS246" s="36">
        <v>0.0</v>
      </c>
      <c r="CT246" s="41"/>
      <c r="CU246" s="42"/>
      <c r="CV246" s="43"/>
      <c r="CW246" s="44">
        <v>1.0</v>
      </c>
      <c r="CX246" s="44">
        <v>1.0</v>
      </c>
      <c r="CY246" s="44">
        <v>0.1</v>
      </c>
      <c r="CZ246" s="45"/>
      <c r="DA246" s="43"/>
      <c r="DB246" s="44">
        <v>0.0</v>
      </c>
      <c r="DC246" s="43"/>
      <c r="DD246" s="78"/>
      <c r="DE246" s="43"/>
      <c r="DF246" s="43"/>
      <c r="DG246" s="48" t="s">
        <v>128</v>
      </c>
      <c r="DH246" s="48" t="s">
        <v>131</v>
      </c>
      <c r="DI246" s="48" t="s">
        <v>574</v>
      </c>
      <c r="DJ246" s="49">
        <v>1.0</v>
      </c>
      <c r="DK246" s="48" t="b">
        <v>0</v>
      </c>
      <c r="DL246" s="50" t="s">
        <v>584</v>
      </c>
      <c r="DM246" s="111"/>
      <c r="DN246" s="111"/>
      <c r="DO246" s="51"/>
      <c r="DP246" s="51"/>
      <c r="DQ246" s="48" t="s">
        <v>576</v>
      </c>
      <c r="DR246" s="51"/>
      <c r="DS246" s="48" t="s">
        <v>134</v>
      </c>
    </row>
    <row r="247">
      <c r="A247" s="52" t="s">
        <v>118</v>
      </c>
      <c r="B247" s="53">
        <v>3.0</v>
      </c>
      <c r="C247" s="52" t="s">
        <v>119</v>
      </c>
      <c r="D247" s="53">
        <v>610881.0</v>
      </c>
      <c r="E247" s="52" t="s">
        <v>167</v>
      </c>
      <c r="F247" s="52" t="s">
        <v>701</v>
      </c>
      <c r="G247" s="52" t="s">
        <v>702</v>
      </c>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81"/>
      <c r="BU247" s="54"/>
      <c r="BV247" s="54"/>
      <c r="BW247" s="54"/>
      <c r="BX247" s="53">
        <v>1.0</v>
      </c>
      <c r="BY247" s="53" t="s">
        <v>123</v>
      </c>
      <c r="BZ247" s="87">
        <v>1.0</v>
      </c>
      <c r="CA247" s="72"/>
      <c r="CB247" s="82"/>
      <c r="CC247" s="31"/>
      <c r="CD247" s="58">
        <v>1.0</v>
      </c>
      <c r="CE247" s="83" t="s">
        <v>185</v>
      </c>
      <c r="CF247" s="60"/>
      <c r="CG247" s="61">
        <v>0.0</v>
      </c>
      <c r="CH247" s="84"/>
      <c r="CI247" s="63">
        <v>0.0</v>
      </c>
      <c r="CJ247" s="63">
        <v>0.0</v>
      </c>
      <c r="CK247" s="64">
        <v>0.0</v>
      </c>
      <c r="CL247" s="63">
        <v>0.0</v>
      </c>
      <c r="CM247" s="65">
        <v>0.0</v>
      </c>
      <c r="CN247" s="63">
        <v>0.0</v>
      </c>
      <c r="CO247" s="66">
        <v>0.0</v>
      </c>
      <c r="CP247" s="67">
        <v>0.0</v>
      </c>
      <c r="CQ247" s="63">
        <v>0.0</v>
      </c>
      <c r="CR247" s="63">
        <v>0.0</v>
      </c>
      <c r="CS247" s="63">
        <v>0.0</v>
      </c>
      <c r="CT247" s="68"/>
      <c r="CU247" s="69"/>
      <c r="CV247" s="70"/>
      <c r="CW247" s="71">
        <v>1.0</v>
      </c>
      <c r="CX247" s="71">
        <v>1.0</v>
      </c>
      <c r="CY247" s="71">
        <v>0.1</v>
      </c>
      <c r="CZ247" s="45"/>
      <c r="DA247" s="43"/>
      <c r="DB247" s="44">
        <v>0.0</v>
      </c>
      <c r="DC247" s="43"/>
      <c r="DD247" s="78"/>
      <c r="DE247" s="43"/>
      <c r="DF247" s="43"/>
      <c r="DG247" s="48" t="s">
        <v>128</v>
      </c>
      <c r="DH247" s="48" t="s">
        <v>131</v>
      </c>
      <c r="DI247" s="48" t="s">
        <v>574</v>
      </c>
      <c r="DJ247" s="49">
        <v>1.0</v>
      </c>
      <c r="DK247" s="48" t="b">
        <v>0</v>
      </c>
      <c r="DL247" s="50" t="s">
        <v>584</v>
      </c>
      <c r="DM247" s="111"/>
      <c r="DN247" s="111"/>
      <c r="DO247" s="51"/>
      <c r="DP247" s="51"/>
      <c r="DQ247" s="48" t="s">
        <v>576</v>
      </c>
      <c r="DR247" s="51"/>
      <c r="DS247" s="48" t="s">
        <v>134</v>
      </c>
    </row>
    <row r="248">
      <c r="A248" s="23" t="s">
        <v>118</v>
      </c>
      <c r="B248" s="24">
        <v>3.0</v>
      </c>
      <c r="C248" s="23" t="s">
        <v>119</v>
      </c>
      <c r="D248" s="24">
        <v>641892.0</v>
      </c>
      <c r="E248" s="23" t="s">
        <v>170</v>
      </c>
      <c r="F248" s="23" t="s">
        <v>703</v>
      </c>
      <c r="G248" s="23" t="s">
        <v>704</v>
      </c>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7"/>
      <c r="BU248" s="26"/>
      <c r="BV248" s="26"/>
      <c r="BW248" s="26"/>
      <c r="BX248" s="24">
        <v>1.0</v>
      </c>
      <c r="BY248" s="24" t="s">
        <v>123</v>
      </c>
      <c r="BZ248" s="87">
        <v>1.0</v>
      </c>
      <c r="CA248" s="72"/>
      <c r="CB248" s="82"/>
      <c r="CC248" s="31"/>
      <c r="CD248" s="28">
        <v>1.0</v>
      </c>
      <c r="CE248" s="88" t="s">
        <v>185</v>
      </c>
      <c r="CF248" s="33"/>
      <c r="CG248" s="34">
        <v>0.0</v>
      </c>
      <c r="CH248" s="89"/>
      <c r="CI248" s="36">
        <v>0.0</v>
      </c>
      <c r="CJ248" s="36">
        <v>0.0</v>
      </c>
      <c r="CK248" s="37">
        <v>0.0</v>
      </c>
      <c r="CL248" s="36">
        <v>0.0</v>
      </c>
      <c r="CM248" s="38">
        <v>0.0</v>
      </c>
      <c r="CN248" s="36">
        <v>0.0</v>
      </c>
      <c r="CO248" s="39">
        <v>0.0</v>
      </c>
      <c r="CP248" s="40">
        <v>0.0</v>
      </c>
      <c r="CQ248" s="36">
        <v>0.0</v>
      </c>
      <c r="CR248" s="36">
        <v>0.0</v>
      </c>
      <c r="CS248" s="36">
        <v>0.0</v>
      </c>
      <c r="CT248" s="41"/>
      <c r="CU248" s="42"/>
      <c r="CV248" s="43"/>
      <c r="CW248" s="44">
        <v>1.0</v>
      </c>
      <c r="CX248" s="44">
        <v>1.0</v>
      </c>
      <c r="CY248" s="44">
        <v>0.1</v>
      </c>
      <c r="CZ248" s="45"/>
      <c r="DA248" s="43"/>
      <c r="DB248" s="44">
        <v>0.0</v>
      </c>
      <c r="DC248" s="43"/>
      <c r="DD248" s="78"/>
      <c r="DE248" s="43"/>
      <c r="DF248" s="43"/>
      <c r="DG248" s="48" t="s">
        <v>128</v>
      </c>
      <c r="DH248" s="48" t="s">
        <v>131</v>
      </c>
      <c r="DI248" s="48" t="s">
        <v>574</v>
      </c>
      <c r="DJ248" s="49">
        <v>1.0</v>
      </c>
      <c r="DK248" s="48" t="b">
        <v>0</v>
      </c>
      <c r="DL248" s="50" t="s">
        <v>575</v>
      </c>
      <c r="DM248" s="111"/>
      <c r="DN248" s="111"/>
      <c r="DO248" s="51"/>
      <c r="DP248" s="51"/>
      <c r="DQ248" s="48" t="s">
        <v>576</v>
      </c>
      <c r="DR248" s="51"/>
      <c r="DS248" s="48" t="s">
        <v>134</v>
      </c>
    </row>
    <row r="249">
      <c r="A249" s="52" t="s">
        <v>118</v>
      </c>
      <c r="B249" s="53">
        <v>3.0</v>
      </c>
      <c r="C249" s="52" t="s">
        <v>119</v>
      </c>
      <c r="D249" s="53">
        <v>640888.0</v>
      </c>
      <c r="E249" s="52" t="s">
        <v>161</v>
      </c>
      <c r="F249" s="52" t="s">
        <v>705</v>
      </c>
      <c r="G249" s="52" t="s">
        <v>706</v>
      </c>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81"/>
      <c r="BU249" s="54"/>
      <c r="BV249" s="54"/>
      <c r="BW249" s="54"/>
      <c r="BX249" s="53">
        <v>1.0</v>
      </c>
      <c r="BY249" s="53" t="s">
        <v>123</v>
      </c>
      <c r="BZ249" s="87">
        <v>1.0</v>
      </c>
      <c r="CA249" s="72"/>
      <c r="CB249" s="82"/>
      <c r="CC249" s="31"/>
      <c r="CD249" s="58">
        <v>1.0</v>
      </c>
      <c r="CE249" s="83" t="s">
        <v>185</v>
      </c>
      <c r="CF249" s="60"/>
      <c r="CG249" s="61">
        <v>0.0</v>
      </c>
      <c r="CH249" s="84"/>
      <c r="CI249" s="63">
        <v>0.0</v>
      </c>
      <c r="CJ249" s="63">
        <v>0.0</v>
      </c>
      <c r="CK249" s="64">
        <v>0.0</v>
      </c>
      <c r="CL249" s="63">
        <v>0.0</v>
      </c>
      <c r="CM249" s="65">
        <v>0.0</v>
      </c>
      <c r="CN249" s="63">
        <v>0.0</v>
      </c>
      <c r="CO249" s="66">
        <v>0.0</v>
      </c>
      <c r="CP249" s="67">
        <v>0.0</v>
      </c>
      <c r="CQ249" s="63">
        <v>0.0</v>
      </c>
      <c r="CR249" s="63">
        <v>0.0</v>
      </c>
      <c r="CS249" s="63">
        <v>0.0</v>
      </c>
      <c r="CT249" s="68"/>
      <c r="CU249" s="69"/>
      <c r="CV249" s="70"/>
      <c r="CW249" s="71">
        <v>1.0</v>
      </c>
      <c r="CX249" s="71">
        <v>1.0</v>
      </c>
      <c r="CY249" s="71">
        <v>0.1</v>
      </c>
      <c r="CZ249" s="45"/>
      <c r="DA249" s="43"/>
      <c r="DB249" s="44">
        <v>0.0</v>
      </c>
      <c r="DC249" s="43"/>
      <c r="DD249" s="78"/>
      <c r="DE249" s="43"/>
      <c r="DF249" s="43"/>
      <c r="DG249" s="48" t="s">
        <v>128</v>
      </c>
      <c r="DH249" s="48" t="s">
        <v>131</v>
      </c>
      <c r="DI249" s="48" t="s">
        <v>574</v>
      </c>
      <c r="DJ249" s="49">
        <v>1.0</v>
      </c>
      <c r="DK249" s="48" t="b">
        <v>0</v>
      </c>
      <c r="DL249" s="50" t="s">
        <v>595</v>
      </c>
      <c r="DM249" s="111"/>
      <c r="DN249" s="111"/>
      <c r="DO249" s="51"/>
      <c r="DP249" s="51"/>
      <c r="DQ249" s="48" t="s">
        <v>576</v>
      </c>
      <c r="DR249" s="51"/>
      <c r="DS249" s="48" t="s">
        <v>134</v>
      </c>
    </row>
    <row r="250">
      <c r="A250" s="23" t="s">
        <v>118</v>
      </c>
      <c r="B250" s="24">
        <v>3.0</v>
      </c>
      <c r="C250" s="23" t="s">
        <v>119</v>
      </c>
      <c r="D250" s="24">
        <v>610881.0</v>
      </c>
      <c r="E250" s="23" t="s">
        <v>167</v>
      </c>
      <c r="F250" s="23" t="s">
        <v>707</v>
      </c>
      <c r="G250" s="23" t="s">
        <v>708</v>
      </c>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7"/>
      <c r="BU250" s="26"/>
      <c r="BV250" s="26"/>
      <c r="BW250" s="26"/>
      <c r="BX250" s="24">
        <v>1.0</v>
      </c>
      <c r="BY250" s="24" t="s">
        <v>123</v>
      </c>
      <c r="BZ250" s="87">
        <v>1.0</v>
      </c>
      <c r="CA250" s="72"/>
      <c r="CB250" s="82"/>
      <c r="CC250" s="31"/>
      <c r="CD250" s="28">
        <v>1.0</v>
      </c>
      <c r="CE250" s="88" t="s">
        <v>185</v>
      </c>
      <c r="CF250" s="33"/>
      <c r="CG250" s="34">
        <v>0.0</v>
      </c>
      <c r="CH250" s="89"/>
      <c r="CI250" s="36">
        <v>0.0</v>
      </c>
      <c r="CJ250" s="36">
        <v>0.0</v>
      </c>
      <c r="CK250" s="37">
        <v>0.0</v>
      </c>
      <c r="CL250" s="36">
        <v>0.0</v>
      </c>
      <c r="CM250" s="38">
        <v>0.0</v>
      </c>
      <c r="CN250" s="36">
        <v>0.0</v>
      </c>
      <c r="CO250" s="39">
        <v>0.0</v>
      </c>
      <c r="CP250" s="40">
        <v>0.0</v>
      </c>
      <c r="CQ250" s="36">
        <v>0.0</v>
      </c>
      <c r="CR250" s="36">
        <v>0.0</v>
      </c>
      <c r="CS250" s="36">
        <v>0.0</v>
      </c>
      <c r="CT250" s="41"/>
      <c r="CU250" s="42"/>
      <c r="CV250" s="43"/>
      <c r="CW250" s="44">
        <v>1.0</v>
      </c>
      <c r="CX250" s="44">
        <v>1.0</v>
      </c>
      <c r="CY250" s="44">
        <v>0.1</v>
      </c>
      <c r="CZ250" s="45"/>
      <c r="DA250" s="43"/>
      <c r="DB250" s="44">
        <v>0.0</v>
      </c>
      <c r="DC250" s="43"/>
      <c r="DD250" s="78"/>
      <c r="DE250" s="43"/>
      <c r="DF250" s="43"/>
      <c r="DG250" s="48" t="s">
        <v>128</v>
      </c>
      <c r="DH250" s="48" t="s">
        <v>131</v>
      </c>
      <c r="DI250" s="48" t="s">
        <v>574</v>
      </c>
      <c r="DJ250" s="49">
        <v>1.0</v>
      </c>
      <c r="DK250" s="48" t="b">
        <v>0</v>
      </c>
      <c r="DL250" s="50" t="s">
        <v>575</v>
      </c>
      <c r="DM250" s="111"/>
      <c r="DN250" s="111"/>
      <c r="DO250" s="51"/>
      <c r="DP250" s="51"/>
      <c r="DQ250" s="48" t="s">
        <v>576</v>
      </c>
      <c r="DR250" s="51"/>
      <c r="DS250" s="48" t="s">
        <v>134</v>
      </c>
    </row>
    <row r="251">
      <c r="A251" s="52" t="s">
        <v>118</v>
      </c>
      <c r="B251" s="53">
        <v>3.0</v>
      </c>
      <c r="C251" s="52" t="s">
        <v>119</v>
      </c>
      <c r="D251" s="53">
        <v>604008.0</v>
      </c>
      <c r="E251" s="52" t="s">
        <v>176</v>
      </c>
      <c r="F251" s="52" t="s">
        <v>709</v>
      </c>
      <c r="G251" s="52" t="s">
        <v>710</v>
      </c>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81"/>
      <c r="BU251" s="54"/>
      <c r="BV251" s="54"/>
      <c r="BW251" s="54"/>
      <c r="BX251" s="53">
        <v>1.0</v>
      </c>
      <c r="BY251" s="53" t="s">
        <v>123</v>
      </c>
      <c r="BZ251" s="87">
        <v>1.0</v>
      </c>
      <c r="CA251" s="72"/>
      <c r="CB251" s="82"/>
      <c r="CC251" s="31"/>
      <c r="CD251" s="58">
        <v>1.0</v>
      </c>
      <c r="CE251" s="83" t="s">
        <v>185</v>
      </c>
      <c r="CF251" s="60"/>
      <c r="CG251" s="61">
        <v>0.0</v>
      </c>
      <c r="CH251" s="84"/>
      <c r="CI251" s="63">
        <v>0.0</v>
      </c>
      <c r="CJ251" s="63">
        <v>0.0</v>
      </c>
      <c r="CK251" s="64">
        <v>0.0</v>
      </c>
      <c r="CL251" s="63">
        <v>0.0</v>
      </c>
      <c r="CM251" s="65">
        <v>0.0</v>
      </c>
      <c r="CN251" s="63">
        <v>0.0</v>
      </c>
      <c r="CO251" s="66">
        <v>0.0</v>
      </c>
      <c r="CP251" s="67">
        <v>0.0</v>
      </c>
      <c r="CQ251" s="63">
        <v>0.0</v>
      </c>
      <c r="CR251" s="63">
        <v>0.0</v>
      </c>
      <c r="CS251" s="63">
        <v>0.0</v>
      </c>
      <c r="CT251" s="68"/>
      <c r="CU251" s="69"/>
      <c r="CV251" s="70"/>
      <c r="CW251" s="71">
        <v>1.0</v>
      </c>
      <c r="CX251" s="71">
        <v>1.0</v>
      </c>
      <c r="CY251" s="71">
        <v>0.1</v>
      </c>
      <c r="CZ251" s="45"/>
      <c r="DA251" s="43"/>
      <c r="DB251" s="44">
        <v>0.0</v>
      </c>
      <c r="DC251" s="43"/>
      <c r="DD251" s="78"/>
      <c r="DE251" s="43"/>
      <c r="DF251" s="43"/>
      <c r="DG251" s="48" t="s">
        <v>128</v>
      </c>
      <c r="DH251" s="48" t="s">
        <v>131</v>
      </c>
      <c r="DI251" s="48" t="s">
        <v>574</v>
      </c>
      <c r="DJ251" s="49">
        <v>1.0</v>
      </c>
      <c r="DK251" s="48" t="b">
        <v>0</v>
      </c>
      <c r="DL251" s="50" t="s">
        <v>595</v>
      </c>
      <c r="DM251" s="111"/>
      <c r="DN251" s="111"/>
      <c r="DO251" s="51"/>
      <c r="DP251" s="51"/>
      <c r="DQ251" s="48" t="s">
        <v>576</v>
      </c>
      <c r="DR251" s="51"/>
      <c r="DS251" s="48" t="s">
        <v>134</v>
      </c>
    </row>
    <row r="252">
      <c r="A252" s="23" t="s">
        <v>118</v>
      </c>
      <c r="B252" s="24">
        <v>3.0</v>
      </c>
      <c r="C252" s="23" t="s">
        <v>119</v>
      </c>
      <c r="D252" s="24">
        <v>536832.0</v>
      </c>
      <c r="E252" s="23" t="s">
        <v>158</v>
      </c>
      <c r="F252" s="23" t="s">
        <v>711</v>
      </c>
      <c r="G252" s="23" t="s">
        <v>712</v>
      </c>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7"/>
      <c r="BU252" s="26"/>
      <c r="BV252" s="26"/>
      <c r="BW252" s="26"/>
      <c r="BX252" s="24">
        <v>1.0</v>
      </c>
      <c r="BY252" s="24" t="s">
        <v>123</v>
      </c>
      <c r="BZ252" s="87">
        <v>1.0</v>
      </c>
      <c r="CA252" s="72"/>
      <c r="CB252" s="82"/>
      <c r="CC252" s="31"/>
      <c r="CD252" s="28">
        <v>1.0</v>
      </c>
      <c r="CE252" s="88" t="s">
        <v>185</v>
      </c>
      <c r="CF252" s="33"/>
      <c r="CG252" s="34">
        <v>0.0</v>
      </c>
      <c r="CH252" s="89"/>
      <c r="CI252" s="36">
        <v>0.0</v>
      </c>
      <c r="CJ252" s="36">
        <v>0.0</v>
      </c>
      <c r="CK252" s="37">
        <v>0.0</v>
      </c>
      <c r="CL252" s="36">
        <v>0.0</v>
      </c>
      <c r="CM252" s="38">
        <v>0.0</v>
      </c>
      <c r="CN252" s="36">
        <v>0.0</v>
      </c>
      <c r="CO252" s="39">
        <v>0.0</v>
      </c>
      <c r="CP252" s="40">
        <v>0.0</v>
      </c>
      <c r="CQ252" s="36">
        <v>0.0</v>
      </c>
      <c r="CR252" s="36">
        <v>0.0</v>
      </c>
      <c r="CS252" s="36">
        <v>0.0</v>
      </c>
      <c r="CT252" s="41"/>
      <c r="CU252" s="42"/>
      <c r="CV252" s="43"/>
      <c r="CW252" s="44">
        <v>1.0</v>
      </c>
      <c r="CX252" s="44">
        <v>1.0</v>
      </c>
      <c r="CY252" s="44">
        <v>0.1</v>
      </c>
      <c r="CZ252" s="45"/>
      <c r="DA252" s="43"/>
      <c r="DB252" s="44">
        <v>0.0</v>
      </c>
      <c r="DC252" s="43"/>
      <c r="DD252" s="78"/>
      <c r="DE252" s="43"/>
      <c r="DF252" s="43"/>
      <c r="DG252" s="48" t="s">
        <v>128</v>
      </c>
      <c r="DH252" s="48" t="s">
        <v>131</v>
      </c>
      <c r="DI252" s="48" t="s">
        <v>574</v>
      </c>
      <c r="DJ252" s="49">
        <v>1.0</v>
      </c>
      <c r="DK252" s="48" t="b">
        <v>0</v>
      </c>
      <c r="DL252" s="50" t="s">
        <v>682</v>
      </c>
      <c r="DM252" s="111"/>
      <c r="DN252" s="111"/>
      <c r="DO252" s="51"/>
      <c r="DP252" s="51"/>
      <c r="DQ252" s="48" t="s">
        <v>576</v>
      </c>
      <c r="DR252" s="51"/>
      <c r="DS252" s="48" t="s">
        <v>134</v>
      </c>
    </row>
    <row r="253">
      <c r="A253" s="52" t="s">
        <v>118</v>
      </c>
      <c r="B253" s="53">
        <v>3.0</v>
      </c>
      <c r="C253" s="52" t="s">
        <v>119</v>
      </c>
      <c r="D253" s="53">
        <v>558730.0</v>
      </c>
      <c r="E253" s="52" t="s">
        <v>148</v>
      </c>
      <c r="F253" s="52" t="s">
        <v>713</v>
      </c>
      <c r="G253" s="52" t="s">
        <v>714</v>
      </c>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81"/>
      <c r="BU253" s="54"/>
      <c r="BV253" s="54"/>
      <c r="BW253" s="54"/>
      <c r="BX253" s="53">
        <v>1.0</v>
      </c>
      <c r="BY253" s="53" t="s">
        <v>123</v>
      </c>
      <c r="BZ253" s="87">
        <v>1.0</v>
      </c>
      <c r="CA253" s="72"/>
      <c r="CB253" s="82"/>
      <c r="CC253" s="31"/>
      <c r="CD253" s="58">
        <v>1.0</v>
      </c>
      <c r="CE253" s="83" t="s">
        <v>185</v>
      </c>
      <c r="CF253" s="60"/>
      <c r="CG253" s="61">
        <v>0.0</v>
      </c>
      <c r="CH253" s="84"/>
      <c r="CI253" s="63">
        <v>0.0</v>
      </c>
      <c r="CJ253" s="63">
        <v>0.0</v>
      </c>
      <c r="CK253" s="64">
        <v>0.0</v>
      </c>
      <c r="CL253" s="63">
        <v>0.0</v>
      </c>
      <c r="CM253" s="65">
        <v>0.0</v>
      </c>
      <c r="CN253" s="63">
        <v>0.0</v>
      </c>
      <c r="CO253" s="66">
        <v>0.0</v>
      </c>
      <c r="CP253" s="67">
        <v>0.0</v>
      </c>
      <c r="CQ253" s="63">
        <v>0.0</v>
      </c>
      <c r="CR253" s="63">
        <v>0.0</v>
      </c>
      <c r="CS253" s="63">
        <v>0.0</v>
      </c>
      <c r="CT253" s="68"/>
      <c r="CU253" s="69"/>
      <c r="CV253" s="70"/>
      <c r="CW253" s="71">
        <v>1.0</v>
      </c>
      <c r="CX253" s="71">
        <v>1.0</v>
      </c>
      <c r="CY253" s="71">
        <v>0.1</v>
      </c>
      <c r="CZ253" s="45"/>
      <c r="DA253" s="43"/>
      <c r="DB253" s="44">
        <v>0.0</v>
      </c>
      <c r="DC253" s="43"/>
      <c r="DD253" s="78"/>
      <c r="DE253" s="43"/>
      <c r="DF253" s="43"/>
      <c r="DG253" s="48" t="s">
        <v>128</v>
      </c>
      <c r="DH253" s="48" t="s">
        <v>131</v>
      </c>
      <c r="DI253" s="48" t="s">
        <v>574</v>
      </c>
      <c r="DJ253" s="49">
        <v>1.0</v>
      </c>
      <c r="DK253" s="48" t="b">
        <v>0</v>
      </c>
      <c r="DL253" s="50" t="s">
        <v>584</v>
      </c>
      <c r="DM253" s="111"/>
      <c r="DN253" s="111"/>
      <c r="DO253" s="51"/>
      <c r="DP253" s="51"/>
      <c r="DQ253" s="48" t="s">
        <v>576</v>
      </c>
      <c r="DR253" s="51"/>
      <c r="DS253" s="48" t="s">
        <v>134</v>
      </c>
    </row>
    <row r="254">
      <c r="A254" s="23" t="s">
        <v>118</v>
      </c>
      <c r="B254" s="24">
        <v>3.0</v>
      </c>
      <c r="C254" s="23" t="s">
        <v>119</v>
      </c>
      <c r="D254" s="24">
        <v>626041.0</v>
      </c>
      <c r="E254" s="23" t="s">
        <v>135</v>
      </c>
      <c r="F254" s="23" t="s">
        <v>715</v>
      </c>
      <c r="G254" s="23" t="s">
        <v>716</v>
      </c>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7"/>
      <c r="BU254" s="26"/>
      <c r="BV254" s="26"/>
      <c r="BW254" s="26"/>
      <c r="BX254" s="24">
        <v>1.0</v>
      </c>
      <c r="BY254" s="24" t="s">
        <v>123</v>
      </c>
      <c r="BZ254" s="87">
        <v>1.0</v>
      </c>
      <c r="CA254" s="72"/>
      <c r="CB254" s="82"/>
      <c r="CC254" s="31"/>
      <c r="CD254" s="28">
        <v>1.0</v>
      </c>
      <c r="CE254" s="88" t="s">
        <v>185</v>
      </c>
      <c r="CF254" s="33"/>
      <c r="CG254" s="34">
        <v>0.0</v>
      </c>
      <c r="CH254" s="89"/>
      <c r="CI254" s="36">
        <v>0.0</v>
      </c>
      <c r="CJ254" s="36">
        <v>0.0</v>
      </c>
      <c r="CK254" s="37">
        <v>0.0</v>
      </c>
      <c r="CL254" s="36">
        <v>0.0</v>
      </c>
      <c r="CM254" s="38">
        <v>0.0</v>
      </c>
      <c r="CN254" s="36">
        <v>0.0</v>
      </c>
      <c r="CO254" s="39">
        <v>0.0</v>
      </c>
      <c r="CP254" s="40">
        <v>0.0</v>
      </c>
      <c r="CQ254" s="36">
        <v>0.0</v>
      </c>
      <c r="CR254" s="36">
        <v>0.0</v>
      </c>
      <c r="CS254" s="36">
        <v>0.0</v>
      </c>
      <c r="CT254" s="41"/>
      <c r="CU254" s="42"/>
      <c r="CV254" s="43"/>
      <c r="CW254" s="44">
        <v>1.0</v>
      </c>
      <c r="CX254" s="44">
        <v>1.0</v>
      </c>
      <c r="CY254" s="44">
        <v>0.1</v>
      </c>
      <c r="CZ254" s="45"/>
      <c r="DA254" s="43"/>
      <c r="DB254" s="44">
        <v>0.0</v>
      </c>
      <c r="DC254" s="43"/>
      <c r="DD254" s="78"/>
      <c r="DE254" s="43"/>
      <c r="DF254" s="43"/>
      <c r="DG254" s="48" t="s">
        <v>128</v>
      </c>
      <c r="DH254" s="48" t="s">
        <v>131</v>
      </c>
      <c r="DI254" s="48" t="s">
        <v>574</v>
      </c>
      <c r="DJ254" s="49">
        <v>1.0</v>
      </c>
      <c r="DK254" s="48" t="b">
        <v>0</v>
      </c>
      <c r="DL254" s="50" t="s">
        <v>584</v>
      </c>
      <c r="DM254" s="111"/>
      <c r="DN254" s="111"/>
      <c r="DO254" s="51"/>
      <c r="DP254" s="51"/>
      <c r="DQ254" s="48" t="s">
        <v>576</v>
      </c>
      <c r="DR254" s="51"/>
      <c r="DS254" s="48" t="s">
        <v>134</v>
      </c>
    </row>
    <row r="255">
      <c r="A255" s="52" t="s">
        <v>118</v>
      </c>
      <c r="B255" s="53">
        <v>3.0</v>
      </c>
      <c r="C255" s="52" t="s">
        <v>119</v>
      </c>
      <c r="D255" s="53">
        <v>640888.0</v>
      </c>
      <c r="E255" s="52" t="s">
        <v>161</v>
      </c>
      <c r="F255" s="52" t="s">
        <v>717</v>
      </c>
      <c r="G255" s="52" t="s">
        <v>718</v>
      </c>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81"/>
      <c r="BU255" s="54"/>
      <c r="BV255" s="54"/>
      <c r="BW255" s="54"/>
      <c r="BX255" s="53">
        <v>1.0</v>
      </c>
      <c r="BY255" s="53" t="s">
        <v>123</v>
      </c>
      <c r="BZ255" s="87">
        <v>1.0</v>
      </c>
      <c r="CA255" s="72"/>
      <c r="CB255" s="82"/>
      <c r="CC255" s="31"/>
      <c r="CD255" s="58">
        <v>1.0</v>
      </c>
      <c r="CE255" s="83" t="s">
        <v>185</v>
      </c>
      <c r="CF255" s="60"/>
      <c r="CG255" s="61">
        <v>0.0</v>
      </c>
      <c r="CH255" s="84"/>
      <c r="CI255" s="63">
        <v>0.0</v>
      </c>
      <c r="CJ255" s="63">
        <v>0.0</v>
      </c>
      <c r="CK255" s="64">
        <v>0.0</v>
      </c>
      <c r="CL255" s="63">
        <v>0.0</v>
      </c>
      <c r="CM255" s="65">
        <v>0.0</v>
      </c>
      <c r="CN255" s="63">
        <v>0.0</v>
      </c>
      <c r="CO255" s="66">
        <v>0.0</v>
      </c>
      <c r="CP255" s="67">
        <v>0.0</v>
      </c>
      <c r="CQ255" s="63">
        <v>0.0</v>
      </c>
      <c r="CR255" s="63">
        <v>0.0</v>
      </c>
      <c r="CS255" s="63">
        <v>0.0</v>
      </c>
      <c r="CT255" s="68"/>
      <c r="CU255" s="69"/>
      <c r="CV255" s="70"/>
      <c r="CW255" s="71">
        <v>1.0</v>
      </c>
      <c r="CX255" s="71">
        <v>1.0</v>
      </c>
      <c r="CY255" s="71">
        <v>0.1</v>
      </c>
      <c r="CZ255" s="45"/>
      <c r="DA255" s="43"/>
      <c r="DB255" s="44">
        <v>0.0</v>
      </c>
      <c r="DC255" s="43"/>
      <c r="DD255" s="78"/>
      <c r="DE255" s="43"/>
      <c r="DF255" s="43"/>
      <c r="DG255" s="48" t="s">
        <v>128</v>
      </c>
      <c r="DH255" s="48" t="s">
        <v>131</v>
      </c>
      <c r="DI255" s="48" t="s">
        <v>574</v>
      </c>
      <c r="DJ255" s="49">
        <v>1.0</v>
      </c>
      <c r="DK255" s="48" t="b">
        <v>0</v>
      </c>
      <c r="DL255" s="111"/>
      <c r="DM255" s="111"/>
      <c r="DN255" s="111"/>
      <c r="DO255" s="51"/>
      <c r="DP255" s="51"/>
      <c r="DQ255" s="48" t="s">
        <v>576</v>
      </c>
      <c r="DR255" s="51"/>
      <c r="DS255" s="48" t="s">
        <v>134</v>
      </c>
    </row>
    <row r="256">
      <c r="A256" s="23" t="s">
        <v>118</v>
      </c>
      <c r="B256" s="24">
        <v>3.0</v>
      </c>
      <c r="C256" s="23" t="s">
        <v>119</v>
      </c>
      <c r="D256" s="24">
        <v>627274.0</v>
      </c>
      <c r="E256" s="23" t="s">
        <v>173</v>
      </c>
      <c r="F256" s="23" t="s">
        <v>719</v>
      </c>
      <c r="G256" s="23" t="s">
        <v>720</v>
      </c>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7"/>
      <c r="BU256" s="26"/>
      <c r="BV256" s="26"/>
      <c r="BW256" s="26"/>
      <c r="BX256" s="24">
        <v>1.0</v>
      </c>
      <c r="BY256" s="24" t="s">
        <v>123</v>
      </c>
      <c r="BZ256" s="87">
        <v>1.0</v>
      </c>
      <c r="CA256" s="72"/>
      <c r="CB256" s="82"/>
      <c r="CC256" s="31"/>
      <c r="CD256" s="28">
        <v>1.0</v>
      </c>
      <c r="CE256" s="88" t="s">
        <v>185</v>
      </c>
      <c r="CF256" s="33"/>
      <c r="CG256" s="34">
        <v>0.0</v>
      </c>
      <c r="CH256" s="89"/>
      <c r="CI256" s="36">
        <v>0.0</v>
      </c>
      <c r="CJ256" s="36">
        <v>0.0</v>
      </c>
      <c r="CK256" s="37">
        <v>0.0</v>
      </c>
      <c r="CL256" s="36">
        <v>0.0</v>
      </c>
      <c r="CM256" s="38">
        <v>0.0</v>
      </c>
      <c r="CN256" s="36">
        <v>0.0</v>
      </c>
      <c r="CO256" s="39">
        <v>0.0</v>
      </c>
      <c r="CP256" s="40">
        <v>0.0</v>
      </c>
      <c r="CQ256" s="36">
        <v>0.0</v>
      </c>
      <c r="CR256" s="36">
        <v>0.0</v>
      </c>
      <c r="CS256" s="36">
        <v>0.0</v>
      </c>
      <c r="CT256" s="41"/>
      <c r="CU256" s="42"/>
      <c r="CV256" s="43"/>
      <c r="CW256" s="44">
        <v>1.0</v>
      </c>
      <c r="CX256" s="44">
        <v>1.0</v>
      </c>
      <c r="CY256" s="44">
        <v>0.1</v>
      </c>
      <c r="CZ256" s="45"/>
      <c r="DA256" s="43"/>
      <c r="DB256" s="44">
        <v>0.0</v>
      </c>
      <c r="DC256" s="43"/>
      <c r="DD256" s="78"/>
      <c r="DE256" s="43"/>
      <c r="DF256" s="43"/>
      <c r="DG256" s="48" t="s">
        <v>128</v>
      </c>
      <c r="DH256" s="48" t="s">
        <v>131</v>
      </c>
      <c r="DI256" s="48" t="s">
        <v>574</v>
      </c>
      <c r="DJ256" s="49">
        <v>1.0</v>
      </c>
      <c r="DK256" s="48" t="b">
        <v>0</v>
      </c>
      <c r="DL256" s="111"/>
      <c r="DM256" s="111"/>
      <c r="DN256" s="111"/>
      <c r="DO256" s="51"/>
      <c r="DP256" s="48" t="s">
        <v>128</v>
      </c>
      <c r="DQ256" s="48" t="s">
        <v>576</v>
      </c>
      <c r="DR256" s="51"/>
      <c r="DS256" s="48" t="s">
        <v>134</v>
      </c>
    </row>
    <row r="257">
      <c r="A257" s="52" t="s">
        <v>118</v>
      </c>
      <c r="B257" s="53">
        <v>3.0</v>
      </c>
      <c r="C257" s="52" t="s">
        <v>119</v>
      </c>
      <c r="D257" s="53">
        <v>643373.0</v>
      </c>
      <c r="E257" s="52" t="s">
        <v>120</v>
      </c>
      <c r="F257" s="52" t="s">
        <v>721</v>
      </c>
      <c r="G257" s="52" t="s">
        <v>722</v>
      </c>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81"/>
      <c r="BU257" s="54"/>
      <c r="BV257" s="54"/>
      <c r="BW257" s="54"/>
      <c r="BX257" s="53">
        <v>1.0</v>
      </c>
      <c r="BY257" s="53" t="s">
        <v>123</v>
      </c>
      <c r="BZ257" s="87">
        <v>1.0</v>
      </c>
      <c r="CA257" s="72"/>
      <c r="CB257" s="82"/>
      <c r="CC257" s="31"/>
      <c r="CD257" s="58">
        <v>1.0</v>
      </c>
      <c r="CE257" s="83" t="s">
        <v>185</v>
      </c>
      <c r="CF257" s="60"/>
      <c r="CG257" s="61">
        <v>0.0</v>
      </c>
      <c r="CH257" s="84"/>
      <c r="CI257" s="63">
        <v>0.0</v>
      </c>
      <c r="CJ257" s="63">
        <v>0.0</v>
      </c>
      <c r="CK257" s="64">
        <v>0.0</v>
      </c>
      <c r="CL257" s="63">
        <v>0.0</v>
      </c>
      <c r="CM257" s="65">
        <v>0.0</v>
      </c>
      <c r="CN257" s="63">
        <v>0.0</v>
      </c>
      <c r="CO257" s="66">
        <v>0.0</v>
      </c>
      <c r="CP257" s="67">
        <v>0.0</v>
      </c>
      <c r="CQ257" s="63">
        <v>0.0</v>
      </c>
      <c r="CR257" s="63">
        <v>0.0</v>
      </c>
      <c r="CS257" s="63">
        <v>0.0</v>
      </c>
      <c r="CT257" s="68"/>
      <c r="CU257" s="69"/>
      <c r="CV257" s="70"/>
      <c r="CW257" s="71">
        <v>1.0</v>
      </c>
      <c r="CX257" s="71">
        <v>1.0</v>
      </c>
      <c r="CY257" s="71">
        <v>0.1</v>
      </c>
      <c r="CZ257" s="45"/>
      <c r="DA257" s="43"/>
      <c r="DB257" s="44">
        <v>0.0</v>
      </c>
      <c r="DC257" s="43"/>
      <c r="DD257" s="78"/>
      <c r="DE257" s="43"/>
      <c r="DF257" s="43"/>
      <c r="DG257" s="48" t="s">
        <v>128</v>
      </c>
      <c r="DH257" s="48" t="s">
        <v>131</v>
      </c>
      <c r="DI257" s="48" t="s">
        <v>574</v>
      </c>
      <c r="DJ257" s="49">
        <v>1.0</v>
      </c>
      <c r="DK257" s="48" t="b">
        <v>0</v>
      </c>
      <c r="DL257" s="50" t="s">
        <v>575</v>
      </c>
      <c r="DM257" s="111"/>
      <c r="DN257" s="111"/>
      <c r="DO257" s="51"/>
      <c r="DP257" s="51"/>
      <c r="DQ257" s="48" t="s">
        <v>576</v>
      </c>
      <c r="DR257" s="51"/>
      <c r="DS257" s="48" t="s">
        <v>134</v>
      </c>
    </row>
    <row r="258">
      <c r="A258" s="23" t="s">
        <v>118</v>
      </c>
      <c r="B258" s="24">
        <v>3.0</v>
      </c>
      <c r="C258" s="23" t="s">
        <v>119</v>
      </c>
      <c r="D258" s="24">
        <v>639495.0</v>
      </c>
      <c r="E258" s="23" t="s">
        <v>155</v>
      </c>
      <c r="F258" s="23" t="s">
        <v>723</v>
      </c>
      <c r="G258" s="23" t="s">
        <v>724</v>
      </c>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7"/>
      <c r="BU258" s="26"/>
      <c r="BV258" s="26"/>
      <c r="BW258" s="26"/>
      <c r="BX258" s="24">
        <v>1.0</v>
      </c>
      <c r="BY258" s="24" t="s">
        <v>123</v>
      </c>
      <c r="BZ258" s="87">
        <v>1.0</v>
      </c>
      <c r="CA258" s="72"/>
      <c r="CB258" s="82"/>
      <c r="CC258" s="31"/>
      <c r="CD258" s="28">
        <v>1.0</v>
      </c>
      <c r="CE258" s="88" t="s">
        <v>185</v>
      </c>
      <c r="CF258" s="33"/>
      <c r="CG258" s="34">
        <v>0.0</v>
      </c>
      <c r="CH258" s="89"/>
      <c r="CI258" s="36">
        <v>0.0</v>
      </c>
      <c r="CJ258" s="36">
        <v>0.0</v>
      </c>
      <c r="CK258" s="37">
        <v>0.0</v>
      </c>
      <c r="CL258" s="36">
        <v>0.0</v>
      </c>
      <c r="CM258" s="38">
        <v>0.0</v>
      </c>
      <c r="CN258" s="36">
        <v>0.0</v>
      </c>
      <c r="CO258" s="39">
        <v>0.0</v>
      </c>
      <c r="CP258" s="40">
        <v>0.0</v>
      </c>
      <c r="CQ258" s="36">
        <v>0.0</v>
      </c>
      <c r="CR258" s="36">
        <v>0.0</v>
      </c>
      <c r="CS258" s="36">
        <v>0.0</v>
      </c>
      <c r="CT258" s="41"/>
      <c r="CU258" s="42"/>
      <c r="CV258" s="43"/>
      <c r="CW258" s="44">
        <v>1.0</v>
      </c>
      <c r="CX258" s="44">
        <v>1.0</v>
      </c>
      <c r="CY258" s="44">
        <v>0.1</v>
      </c>
      <c r="CZ258" s="45"/>
      <c r="DA258" s="43"/>
      <c r="DB258" s="44">
        <v>0.0</v>
      </c>
      <c r="DC258" s="43"/>
      <c r="DD258" s="78"/>
      <c r="DE258" s="43"/>
      <c r="DF258" s="43"/>
      <c r="DG258" s="48" t="s">
        <v>128</v>
      </c>
      <c r="DH258" s="48" t="s">
        <v>131</v>
      </c>
      <c r="DI258" s="48" t="s">
        <v>574</v>
      </c>
      <c r="DJ258" s="49">
        <v>1.0</v>
      </c>
      <c r="DK258" s="48" t="b">
        <v>0</v>
      </c>
      <c r="DL258" s="111"/>
      <c r="DM258" s="111"/>
      <c r="DN258" s="111"/>
      <c r="DO258" s="51"/>
      <c r="DP258" s="51"/>
      <c r="DQ258" s="48" t="s">
        <v>576</v>
      </c>
      <c r="DR258" s="51"/>
      <c r="DS258" s="48" t="s">
        <v>134</v>
      </c>
    </row>
    <row r="259">
      <c r="A259" s="52" t="s">
        <v>118</v>
      </c>
      <c r="B259" s="53">
        <v>3.0</v>
      </c>
      <c r="C259" s="52" t="s">
        <v>119</v>
      </c>
      <c r="D259" s="53">
        <v>576393.0</v>
      </c>
      <c r="E259" s="52" t="s">
        <v>164</v>
      </c>
      <c r="F259" s="52" t="s">
        <v>725</v>
      </c>
      <c r="G259" s="52" t="s">
        <v>726</v>
      </c>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c r="BS259" s="54"/>
      <c r="BT259" s="81"/>
      <c r="BU259" s="54"/>
      <c r="BV259" s="54"/>
      <c r="BW259" s="54"/>
      <c r="BX259" s="53">
        <v>1.0</v>
      </c>
      <c r="BY259" s="53" t="s">
        <v>123</v>
      </c>
      <c r="BZ259" s="87">
        <v>1.0</v>
      </c>
      <c r="CA259" s="72"/>
      <c r="CB259" s="82"/>
      <c r="CC259" s="31"/>
      <c r="CD259" s="58">
        <v>1.0</v>
      </c>
      <c r="CE259" s="83" t="s">
        <v>185</v>
      </c>
      <c r="CF259" s="60"/>
      <c r="CG259" s="61">
        <v>0.0</v>
      </c>
      <c r="CH259" s="84"/>
      <c r="CI259" s="63">
        <v>0.0</v>
      </c>
      <c r="CJ259" s="63">
        <v>0.0</v>
      </c>
      <c r="CK259" s="64">
        <v>0.0</v>
      </c>
      <c r="CL259" s="63">
        <v>0.0</v>
      </c>
      <c r="CM259" s="65">
        <v>0.0</v>
      </c>
      <c r="CN259" s="63">
        <v>0.0</v>
      </c>
      <c r="CO259" s="66">
        <v>0.0</v>
      </c>
      <c r="CP259" s="67">
        <v>0.0</v>
      </c>
      <c r="CQ259" s="63">
        <v>0.0</v>
      </c>
      <c r="CR259" s="63">
        <v>0.0</v>
      </c>
      <c r="CS259" s="63">
        <v>0.0</v>
      </c>
      <c r="CT259" s="68"/>
      <c r="CU259" s="69"/>
      <c r="CV259" s="70"/>
      <c r="CW259" s="71">
        <v>1.0</v>
      </c>
      <c r="CX259" s="71">
        <v>1.0</v>
      </c>
      <c r="CY259" s="71">
        <v>0.1</v>
      </c>
      <c r="CZ259" s="45"/>
      <c r="DA259" s="43"/>
      <c r="DB259" s="44">
        <v>0.0</v>
      </c>
      <c r="DC259" s="43"/>
      <c r="DD259" s="78"/>
      <c r="DE259" s="43"/>
      <c r="DF259" s="43"/>
      <c r="DG259" s="48" t="s">
        <v>128</v>
      </c>
      <c r="DH259" s="48" t="s">
        <v>131</v>
      </c>
      <c r="DI259" s="48" t="s">
        <v>574</v>
      </c>
      <c r="DJ259" s="49">
        <v>1.0</v>
      </c>
      <c r="DK259" s="48" t="b">
        <v>0</v>
      </c>
      <c r="DL259" s="50" t="s">
        <v>575</v>
      </c>
      <c r="DM259" s="111"/>
      <c r="DN259" s="111"/>
      <c r="DO259" s="51"/>
      <c r="DP259" s="51"/>
      <c r="DQ259" s="48" t="s">
        <v>576</v>
      </c>
      <c r="DR259" s="51"/>
      <c r="DS259" s="48" t="s">
        <v>134</v>
      </c>
    </row>
    <row r="260">
      <c r="A260" s="23" t="s">
        <v>118</v>
      </c>
      <c r="B260" s="24">
        <v>3.0</v>
      </c>
      <c r="C260" s="23" t="s">
        <v>119</v>
      </c>
      <c r="D260" s="24">
        <v>610881.0</v>
      </c>
      <c r="E260" s="23" t="s">
        <v>167</v>
      </c>
      <c r="F260" s="23" t="s">
        <v>727</v>
      </c>
      <c r="G260" s="23" t="s">
        <v>728</v>
      </c>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7"/>
      <c r="BU260" s="26"/>
      <c r="BV260" s="26"/>
      <c r="BW260" s="26"/>
      <c r="BX260" s="24">
        <v>1.0</v>
      </c>
      <c r="BY260" s="24" t="s">
        <v>123</v>
      </c>
      <c r="BZ260" s="87">
        <v>1.0</v>
      </c>
      <c r="CA260" s="72"/>
      <c r="CB260" s="82"/>
      <c r="CC260" s="31"/>
      <c r="CD260" s="28">
        <v>1.0</v>
      </c>
      <c r="CE260" s="88" t="s">
        <v>185</v>
      </c>
      <c r="CF260" s="33"/>
      <c r="CG260" s="34">
        <v>0.0</v>
      </c>
      <c r="CH260" s="89"/>
      <c r="CI260" s="36">
        <v>0.0</v>
      </c>
      <c r="CJ260" s="36">
        <v>0.0</v>
      </c>
      <c r="CK260" s="37">
        <v>0.0</v>
      </c>
      <c r="CL260" s="36">
        <v>0.0</v>
      </c>
      <c r="CM260" s="38">
        <v>0.0</v>
      </c>
      <c r="CN260" s="36">
        <v>0.0</v>
      </c>
      <c r="CO260" s="39">
        <v>0.0</v>
      </c>
      <c r="CP260" s="40">
        <v>0.0</v>
      </c>
      <c r="CQ260" s="36">
        <v>0.0</v>
      </c>
      <c r="CR260" s="36">
        <v>0.0</v>
      </c>
      <c r="CS260" s="36">
        <v>0.0</v>
      </c>
      <c r="CT260" s="41"/>
      <c r="CU260" s="42"/>
      <c r="CV260" s="43"/>
      <c r="CW260" s="44">
        <v>1.0</v>
      </c>
      <c r="CX260" s="44">
        <v>1.0</v>
      </c>
      <c r="CY260" s="44">
        <v>0.1</v>
      </c>
      <c r="CZ260" s="45"/>
      <c r="DA260" s="43"/>
      <c r="DB260" s="44">
        <v>0.0</v>
      </c>
      <c r="DC260" s="43"/>
      <c r="DD260" s="78"/>
      <c r="DE260" s="43"/>
      <c r="DF260" s="43"/>
      <c r="DG260" s="48" t="s">
        <v>128</v>
      </c>
      <c r="DH260" s="48" t="s">
        <v>131</v>
      </c>
      <c r="DI260" s="48" t="s">
        <v>574</v>
      </c>
      <c r="DJ260" s="49">
        <v>1.0</v>
      </c>
      <c r="DK260" s="48" t="b">
        <v>0</v>
      </c>
      <c r="DL260" s="50" t="s">
        <v>682</v>
      </c>
      <c r="DM260" s="111"/>
      <c r="DN260" s="111"/>
      <c r="DO260" s="51"/>
      <c r="DP260" s="51"/>
      <c r="DQ260" s="48" t="s">
        <v>576</v>
      </c>
      <c r="DR260" s="51"/>
      <c r="DS260" s="48" t="s">
        <v>134</v>
      </c>
    </row>
    <row r="261">
      <c r="A261" s="52" t="s">
        <v>118</v>
      </c>
      <c r="B261" s="53">
        <v>3.0</v>
      </c>
      <c r="C261" s="52" t="s">
        <v>119</v>
      </c>
      <c r="D261" s="53">
        <v>640888.0</v>
      </c>
      <c r="E261" s="52" t="s">
        <v>161</v>
      </c>
      <c r="F261" s="52" t="s">
        <v>729</v>
      </c>
      <c r="G261" s="52" t="s">
        <v>730</v>
      </c>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81"/>
      <c r="BU261" s="54"/>
      <c r="BV261" s="54"/>
      <c r="BW261" s="54"/>
      <c r="BX261" s="53">
        <v>1.0</v>
      </c>
      <c r="BY261" s="53" t="s">
        <v>123</v>
      </c>
      <c r="BZ261" s="87">
        <v>1.0</v>
      </c>
      <c r="CA261" s="72"/>
      <c r="CB261" s="82"/>
      <c r="CC261" s="31"/>
      <c r="CD261" s="58">
        <v>1.0</v>
      </c>
      <c r="CE261" s="83" t="s">
        <v>185</v>
      </c>
      <c r="CF261" s="60"/>
      <c r="CG261" s="61">
        <v>0.0</v>
      </c>
      <c r="CH261" s="84"/>
      <c r="CI261" s="63">
        <v>0.0</v>
      </c>
      <c r="CJ261" s="63">
        <v>0.0</v>
      </c>
      <c r="CK261" s="64">
        <v>0.0</v>
      </c>
      <c r="CL261" s="63">
        <v>0.0</v>
      </c>
      <c r="CM261" s="65">
        <v>0.0</v>
      </c>
      <c r="CN261" s="63">
        <v>0.0</v>
      </c>
      <c r="CO261" s="66">
        <v>0.0</v>
      </c>
      <c r="CP261" s="67">
        <v>0.0</v>
      </c>
      <c r="CQ261" s="63">
        <v>0.0</v>
      </c>
      <c r="CR261" s="63">
        <v>0.0</v>
      </c>
      <c r="CS261" s="63">
        <v>0.0</v>
      </c>
      <c r="CT261" s="68"/>
      <c r="CU261" s="69"/>
      <c r="CV261" s="70"/>
      <c r="CW261" s="71">
        <v>1.0</v>
      </c>
      <c r="CX261" s="71">
        <v>1.0</v>
      </c>
      <c r="CY261" s="71">
        <v>0.1</v>
      </c>
      <c r="CZ261" s="45"/>
      <c r="DA261" s="43"/>
      <c r="DB261" s="44">
        <v>0.0</v>
      </c>
      <c r="DC261" s="43"/>
      <c r="DD261" s="78"/>
      <c r="DE261" s="43"/>
      <c r="DF261" s="43"/>
      <c r="DG261" s="48" t="s">
        <v>128</v>
      </c>
      <c r="DH261" s="48" t="s">
        <v>131</v>
      </c>
      <c r="DI261" s="48" t="s">
        <v>574</v>
      </c>
      <c r="DJ261" s="49">
        <v>1.0</v>
      </c>
      <c r="DK261" s="48" t="b">
        <v>0</v>
      </c>
      <c r="DL261" s="111"/>
      <c r="DM261" s="111"/>
      <c r="DN261" s="111"/>
      <c r="DO261" s="51"/>
      <c r="DP261" s="51"/>
      <c r="DQ261" s="48" t="s">
        <v>576</v>
      </c>
      <c r="DR261" s="51"/>
      <c r="DS261" s="48" t="s">
        <v>134</v>
      </c>
    </row>
    <row r="262">
      <c r="A262" s="23" t="s">
        <v>118</v>
      </c>
      <c r="B262" s="24">
        <v>3.0</v>
      </c>
      <c r="C262" s="23" t="s">
        <v>119</v>
      </c>
      <c r="D262" s="24">
        <v>648803.0</v>
      </c>
      <c r="E262" s="23" t="s">
        <v>189</v>
      </c>
      <c r="F262" s="23" t="s">
        <v>731</v>
      </c>
      <c r="G262" s="23" t="s">
        <v>732</v>
      </c>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7"/>
      <c r="BU262" s="26"/>
      <c r="BV262" s="26"/>
      <c r="BW262" s="26"/>
      <c r="BX262" s="24">
        <v>1.0</v>
      </c>
      <c r="BY262" s="24" t="s">
        <v>123</v>
      </c>
      <c r="BZ262" s="87">
        <v>1.0</v>
      </c>
      <c r="CA262" s="72"/>
      <c r="CB262" s="82"/>
      <c r="CC262" s="31"/>
      <c r="CD262" s="28">
        <v>1.0</v>
      </c>
      <c r="CE262" s="88" t="s">
        <v>185</v>
      </c>
      <c r="CF262" s="33"/>
      <c r="CG262" s="34">
        <v>0.0</v>
      </c>
      <c r="CH262" s="89"/>
      <c r="CI262" s="36">
        <v>0.0</v>
      </c>
      <c r="CJ262" s="36">
        <v>0.0</v>
      </c>
      <c r="CK262" s="37">
        <v>0.0</v>
      </c>
      <c r="CL262" s="36">
        <v>0.0</v>
      </c>
      <c r="CM262" s="38">
        <v>0.0</v>
      </c>
      <c r="CN262" s="36">
        <v>0.0</v>
      </c>
      <c r="CO262" s="39">
        <v>0.0</v>
      </c>
      <c r="CP262" s="40">
        <v>0.0</v>
      </c>
      <c r="CQ262" s="36">
        <v>0.0</v>
      </c>
      <c r="CR262" s="36">
        <v>0.0</v>
      </c>
      <c r="CS262" s="36">
        <v>0.0</v>
      </c>
      <c r="CT262" s="41"/>
      <c r="CU262" s="42"/>
      <c r="CV262" s="43"/>
      <c r="CW262" s="44">
        <v>1.0</v>
      </c>
      <c r="CX262" s="44">
        <v>1.0</v>
      </c>
      <c r="CY262" s="44">
        <v>0.1</v>
      </c>
      <c r="CZ262" s="45"/>
      <c r="DA262" s="43"/>
      <c r="DB262" s="44">
        <v>0.0</v>
      </c>
      <c r="DC262" s="43"/>
      <c r="DD262" s="78"/>
      <c r="DE262" s="43"/>
      <c r="DF262" s="43"/>
      <c r="DG262" s="48" t="s">
        <v>128</v>
      </c>
      <c r="DH262" s="48" t="s">
        <v>131</v>
      </c>
      <c r="DI262" s="48" t="s">
        <v>574</v>
      </c>
      <c r="DJ262" s="49">
        <v>1.0</v>
      </c>
      <c r="DK262" s="48" t="b">
        <v>0</v>
      </c>
      <c r="DL262" s="50" t="s">
        <v>584</v>
      </c>
      <c r="DM262" s="111"/>
      <c r="DN262" s="111"/>
      <c r="DO262" s="51"/>
      <c r="DP262" s="51"/>
      <c r="DQ262" s="48" t="s">
        <v>576</v>
      </c>
      <c r="DR262" s="51"/>
      <c r="DS262" s="48" t="s">
        <v>134</v>
      </c>
    </row>
    <row r="263">
      <c r="A263" s="52" t="s">
        <v>118</v>
      </c>
      <c r="B263" s="53">
        <v>3.0</v>
      </c>
      <c r="C263" s="52" t="s">
        <v>119</v>
      </c>
      <c r="D263" s="53">
        <v>536832.0</v>
      </c>
      <c r="E263" s="52" t="s">
        <v>158</v>
      </c>
      <c r="F263" s="52" t="s">
        <v>733</v>
      </c>
      <c r="G263" s="52" t="s">
        <v>734</v>
      </c>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81"/>
      <c r="BU263" s="54"/>
      <c r="BV263" s="54"/>
      <c r="BW263" s="54"/>
      <c r="BX263" s="53">
        <v>1.0</v>
      </c>
      <c r="BY263" s="53" t="s">
        <v>123</v>
      </c>
      <c r="BZ263" s="87">
        <v>1.0</v>
      </c>
      <c r="CA263" s="72"/>
      <c r="CB263" s="82"/>
      <c r="CC263" s="31"/>
      <c r="CD263" s="58">
        <v>1.0</v>
      </c>
      <c r="CE263" s="83" t="s">
        <v>185</v>
      </c>
      <c r="CF263" s="60"/>
      <c r="CG263" s="61">
        <v>0.0</v>
      </c>
      <c r="CH263" s="84"/>
      <c r="CI263" s="63">
        <v>0.0</v>
      </c>
      <c r="CJ263" s="63">
        <v>0.0</v>
      </c>
      <c r="CK263" s="64">
        <v>0.0</v>
      </c>
      <c r="CL263" s="63">
        <v>0.0</v>
      </c>
      <c r="CM263" s="65">
        <v>0.0</v>
      </c>
      <c r="CN263" s="63">
        <v>0.0</v>
      </c>
      <c r="CO263" s="66">
        <v>0.0</v>
      </c>
      <c r="CP263" s="67">
        <v>0.0</v>
      </c>
      <c r="CQ263" s="63">
        <v>0.0</v>
      </c>
      <c r="CR263" s="63">
        <v>0.0</v>
      </c>
      <c r="CS263" s="63">
        <v>0.0</v>
      </c>
      <c r="CT263" s="68"/>
      <c r="CU263" s="69"/>
      <c r="CV263" s="70"/>
      <c r="CW263" s="71">
        <v>1.0</v>
      </c>
      <c r="CX263" s="71">
        <v>1.0</v>
      </c>
      <c r="CY263" s="71">
        <v>0.1</v>
      </c>
      <c r="CZ263" s="45"/>
      <c r="DA263" s="43"/>
      <c r="DB263" s="44">
        <v>0.0</v>
      </c>
      <c r="DC263" s="43"/>
      <c r="DD263" s="78"/>
      <c r="DE263" s="43"/>
      <c r="DF263" s="43"/>
      <c r="DG263" s="48" t="s">
        <v>128</v>
      </c>
      <c r="DH263" s="48" t="s">
        <v>131</v>
      </c>
      <c r="DI263" s="48" t="s">
        <v>574</v>
      </c>
      <c r="DJ263" s="49">
        <v>1.0</v>
      </c>
      <c r="DK263" s="48" t="b">
        <v>0</v>
      </c>
      <c r="DL263" s="50" t="s">
        <v>575</v>
      </c>
      <c r="DM263" s="111"/>
      <c r="DN263" s="111"/>
      <c r="DO263" s="51"/>
      <c r="DP263" s="51"/>
      <c r="DQ263" s="48" t="s">
        <v>576</v>
      </c>
      <c r="DR263" s="51"/>
      <c r="DS263" s="48" t="s">
        <v>134</v>
      </c>
    </row>
    <row r="264">
      <c r="A264" s="23" t="s">
        <v>118</v>
      </c>
      <c r="B264" s="24">
        <v>3.0</v>
      </c>
      <c r="C264" s="23" t="s">
        <v>119</v>
      </c>
      <c r="D264" s="24">
        <v>639495.0</v>
      </c>
      <c r="E264" s="23" t="s">
        <v>155</v>
      </c>
      <c r="F264" s="23" t="s">
        <v>735</v>
      </c>
      <c r="G264" s="23" t="s">
        <v>736</v>
      </c>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7"/>
      <c r="BU264" s="26"/>
      <c r="BV264" s="26"/>
      <c r="BW264" s="26"/>
      <c r="BX264" s="24">
        <v>1.0</v>
      </c>
      <c r="BY264" s="24" t="s">
        <v>123</v>
      </c>
      <c r="BZ264" s="87">
        <v>1.0</v>
      </c>
      <c r="CA264" s="72"/>
      <c r="CB264" s="82"/>
      <c r="CC264" s="31"/>
      <c r="CD264" s="28">
        <v>1.0</v>
      </c>
      <c r="CE264" s="88" t="s">
        <v>185</v>
      </c>
      <c r="CF264" s="33"/>
      <c r="CG264" s="34">
        <v>0.0</v>
      </c>
      <c r="CH264" s="89"/>
      <c r="CI264" s="36">
        <v>0.0</v>
      </c>
      <c r="CJ264" s="36">
        <v>0.0</v>
      </c>
      <c r="CK264" s="37">
        <v>0.0</v>
      </c>
      <c r="CL264" s="36">
        <v>0.0</v>
      </c>
      <c r="CM264" s="38">
        <v>0.0</v>
      </c>
      <c r="CN264" s="36">
        <v>0.0</v>
      </c>
      <c r="CO264" s="39">
        <v>0.0</v>
      </c>
      <c r="CP264" s="40">
        <v>0.0</v>
      </c>
      <c r="CQ264" s="36">
        <v>0.0</v>
      </c>
      <c r="CR264" s="36">
        <v>0.0</v>
      </c>
      <c r="CS264" s="36">
        <v>0.0</v>
      </c>
      <c r="CT264" s="41"/>
      <c r="CU264" s="42"/>
      <c r="CV264" s="43"/>
      <c r="CW264" s="44">
        <v>1.0</v>
      </c>
      <c r="CX264" s="44">
        <v>1.0</v>
      </c>
      <c r="CY264" s="44">
        <v>0.1</v>
      </c>
      <c r="CZ264" s="45"/>
      <c r="DA264" s="43"/>
      <c r="DB264" s="44">
        <v>0.0</v>
      </c>
      <c r="DC264" s="43"/>
      <c r="DD264" s="78"/>
      <c r="DE264" s="43"/>
      <c r="DF264" s="43"/>
      <c r="DG264" s="48" t="s">
        <v>128</v>
      </c>
      <c r="DH264" s="48" t="s">
        <v>131</v>
      </c>
      <c r="DI264" s="48" t="s">
        <v>574</v>
      </c>
      <c r="DJ264" s="49">
        <v>1.0</v>
      </c>
      <c r="DK264" s="48" t="b">
        <v>0</v>
      </c>
      <c r="DL264" s="50" t="s">
        <v>584</v>
      </c>
      <c r="DM264" s="111"/>
      <c r="DN264" s="111"/>
      <c r="DO264" s="51"/>
      <c r="DP264" s="51"/>
      <c r="DQ264" s="48" t="s">
        <v>576</v>
      </c>
      <c r="DR264" s="51"/>
      <c r="DS264" s="48" t="s">
        <v>134</v>
      </c>
    </row>
    <row r="265">
      <c r="A265" s="52" t="s">
        <v>118</v>
      </c>
      <c r="B265" s="53">
        <v>3.0</v>
      </c>
      <c r="C265" s="52" t="s">
        <v>119</v>
      </c>
      <c r="D265" s="53">
        <v>648806.0</v>
      </c>
      <c r="E265" s="52" t="s">
        <v>179</v>
      </c>
      <c r="F265" s="52" t="s">
        <v>737</v>
      </c>
      <c r="G265" s="52" t="s">
        <v>738</v>
      </c>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81"/>
      <c r="BU265" s="54"/>
      <c r="BV265" s="54"/>
      <c r="BW265" s="54"/>
      <c r="BX265" s="53">
        <v>1.0</v>
      </c>
      <c r="BY265" s="53" t="s">
        <v>123</v>
      </c>
      <c r="BZ265" s="87">
        <v>1.0</v>
      </c>
      <c r="CA265" s="72"/>
      <c r="CB265" s="82"/>
      <c r="CC265" s="31"/>
      <c r="CD265" s="58">
        <v>1.0</v>
      </c>
      <c r="CE265" s="83" t="s">
        <v>185</v>
      </c>
      <c r="CF265" s="60"/>
      <c r="CG265" s="61">
        <v>0.0</v>
      </c>
      <c r="CH265" s="84"/>
      <c r="CI265" s="63">
        <v>0.0</v>
      </c>
      <c r="CJ265" s="63">
        <v>0.0</v>
      </c>
      <c r="CK265" s="64">
        <v>0.0</v>
      </c>
      <c r="CL265" s="63">
        <v>0.0</v>
      </c>
      <c r="CM265" s="65">
        <v>0.0</v>
      </c>
      <c r="CN265" s="63">
        <v>0.0</v>
      </c>
      <c r="CO265" s="66">
        <v>0.0</v>
      </c>
      <c r="CP265" s="67">
        <v>0.0</v>
      </c>
      <c r="CQ265" s="63">
        <v>0.0</v>
      </c>
      <c r="CR265" s="63">
        <v>0.0</v>
      </c>
      <c r="CS265" s="63">
        <v>0.0</v>
      </c>
      <c r="CT265" s="68"/>
      <c r="CU265" s="69"/>
      <c r="CV265" s="70"/>
      <c r="CW265" s="71">
        <v>1.0</v>
      </c>
      <c r="CX265" s="71">
        <v>1.0</v>
      </c>
      <c r="CY265" s="71">
        <v>0.1</v>
      </c>
      <c r="CZ265" s="45"/>
      <c r="DA265" s="43"/>
      <c r="DB265" s="44">
        <v>0.0</v>
      </c>
      <c r="DC265" s="43"/>
      <c r="DD265" s="78"/>
      <c r="DE265" s="43"/>
      <c r="DF265" s="43"/>
      <c r="DG265" s="48" t="s">
        <v>128</v>
      </c>
      <c r="DH265" s="48" t="s">
        <v>131</v>
      </c>
      <c r="DI265" s="48" t="s">
        <v>574</v>
      </c>
      <c r="DJ265" s="49">
        <v>1.0</v>
      </c>
      <c r="DK265" s="48" t="b">
        <v>0</v>
      </c>
      <c r="DL265" s="50" t="s">
        <v>575</v>
      </c>
      <c r="DM265" s="111"/>
      <c r="DN265" s="111"/>
      <c r="DO265" s="51"/>
      <c r="DP265" s="51"/>
      <c r="DQ265" s="48" t="s">
        <v>576</v>
      </c>
      <c r="DR265" s="51"/>
      <c r="DS265" s="48" t="s">
        <v>134</v>
      </c>
    </row>
    <row r="266">
      <c r="A266" s="23" t="s">
        <v>118</v>
      </c>
      <c r="B266" s="24">
        <v>3.0</v>
      </c>
      <c r="C266" s="23" t="s">
        <v>119</v>
      </c>
      <c r="D266" s="24">
        <v>626041.0</v>
      </c>
      <c r="E266" s="23" t="s">
        <v>135</v>
      </c>
      <c r="F266" s="23" t="s">
        <v>739</v>
      </c>
      <c r="G266" s="23" t="s">
        <v>740</v>
      </c>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7"/>
      <c r="BU266" s="26"/>
      <c r="BV266" s="26"/>
      <c r="BW266" s="26"/>
      <c r="BX266" s="24">
        <v>1.0</v>
      </c>
      <c r="BY266" s="24" t="s">
        <v>123</v>
      </c>
      <c r="BZ266" s="87">
        <v>1.0</v>
      </c>
      <c r="CA266" s="72"/>
      <c r="CB266" s="82"/>
      <c r="CC266" s="31"/>
      <c r="CD266" s="28">
        <v>1.0</v>
      </c>
      <c r="CE266" s="88" t="s">
        <v>185</v>
      </c>
      <c r="CF266" s="33"/>
      <c r="CG266" s="34">
        <v>0.0</v>
      </c>
      <c r="CH266" s="89"/>
      <c r="CI266" s="36">
        <v>0.0</v>
      </c>
      <c r="CJ266" s="36">
        <v>0.0</v>
      </c>
      <c r="CK266" s="37">
        <v>0.0</v>
      </c>
      <c r="CL266" s="36">
        <v>0.0</v>
      </c>
      <c r="CM266" s="38">
        <v>0.0</v>
      </c>
      <c r="CN266" s="36">
        <v>0.0</v>
      </c>
      <c r="CO266" s="39">
        <v>0.0</v>
      </c>
      <c r="CP266" s="40">
        <v>0.0</v>
      </c>
      <c r="CQ266" s="36">
        <v>0.0</v>
      </c>
      <c r="CR266" s="36">
        <v>0.0</v>
      </c>
      <c r="CS266" s="36">
        <v>0.0</v>
      </c>
      <c r="CT266" s="41"/>
      <c r="CU266" s="42"/>
      <c r="CV266" s="43"/>
      <c r="CW266" s="44">
        <v>1.0</v>
      </c>
      <c r="CX266" s="44">
        <v>1.0</v>
      </c>
      <c r="CY266" s="44">
        <v>0.1</v>
      </c>
      <c r="CZ266" s="45"/>
      <c r="DA266" s="43"/>
      <c r="DB266" s="44">
        <v>0.0</v>
      </c>
      <c r="DC266" s="43"/>
      <c r="DD266" s="78"/>
      <c r="DE266" s="43"/>
      <c r="DF266" s="43"/>
      <c r="DG266" s="48" t="s">
        <v>128</v>
      </c>
      <c r="DH266" s="48" t="s">
        <v>131</v>
      </c>
      <c r="DI266" s="48" t="s">
        <v>574</v>
      </c>
      <c r="DJ266" s="49">
        <v>1.0</v>
      </c>
      <c r="DK266" s="48" t="b">
        <v>0</v>
      </c>
      <c r="DL266" s="111"/>
      <c r="DM266" s="111"/>
      <c r="DN266" s="111"/>
      <c r="DO266" s="51"/>
      <c r="DP266" s="51"/>
      <c r="DQ266" s="48" t="s">
        <v>576</v>
      </c>
      <c r="DR266" s="51"/>
      <c r="DS266" s="48" t="s">
        <v>134</v>
      </c>
    </row>
    <row r="267">
      <c r="A267" s="52" t="s">
        <v>118</v>
      </c>
      <c r="B267" s="53">
        <v>3.0</v>
      </c>
      <c r="C267" s="52" t="s">
        <v>119</v>
      </c>
      <c r="D267" s="53">
        <v>610881.0</v>
      </c>
      <c r="E267" s="52" t="s">
        <v>167</v>
      </c>
      <c r="F267" s="52" t="s">
        <v>741</v>
      </c>
      <c r="G267" s="52" t="s">
        <v>742</v>
      </c>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81"/>
      <c r="BU267" s="54"/>
      <c r="BV267" s="54"/>
      <c r="BW267" s="54"/>
      <c r="BX267" s="53">
        <v>1.0</v>
      </c>
      <c r="BY267" s="53" t="s">
        <v>123</v>
      </c>
      <c r="BZ267" s="87">
        <v>1.0</v>
      </c>
      <c r="CA267" s="72"/>
      <c r="CB267" s="82"/>
      <c r="CC267" s="31"/>
      <c r="CD267" s="58">
        <v>1.0</v>
      </c>
      <c r="CE267" s="83" t="s">
        <v>185</v>
      </c>
      <c r="CF267" s="60"/>
      <c r="CG267" s="61">
        <v>0.0</v>
      </c>
      <c r="CH267" s="84"/>
      <c r="CI267" s="63">
        <v>0.0</v>
      </c>
      <c r="CJ267" s="63">
        <v>0.0</v>
      </c>
      <c r="CK267" s="64">
        <v>0.0</v>
      </c>
      <c r="CL267" s="63">
        <v>0.0</v>
      </c>
      <c r="CM267" s="65">
        <v>0.0</v>
      </c>
      <c r="CN267" s="63">
        <v>0.0</v>
      </c>
      <c r="CO267" s="66">
        <v>0.0</v>
      </c>
      <c r="CP267" s="67">
        <v>0.0</v>
      </c>
      <c r="CQ267" s="63">
        <v>0.0</v>
      </c>
      <c r="CR267" s="63">
        <v>0.0</v>
      </c>
      <c r="CS267" s="63">
        <v>0.0</v>
      </c>
      <c r="CT267" s="68"/>
      <c r="CU267" s="69"/>
      <c r="CV267" s="70"/>
      <c r="CW267" s="71">
        <v>1.0</v>
      </c>
      <c r="CX267" s="71">
        <v>1.0</v>
      </c>
      <c r="CY267" s="71">
        <v>0.1</v>
      </c>
      <c r="CZ267" s="45"/>
      <c r="DA267" s="43"/>
      <c r="DB267" s="44">
        <v>0.0</v>
      </c>
      <c r="DC267" s="43"/>
      <c r="DD267" s="78"/>
      <c r="DE267" s="43"/>
      <c r="DF267" s="43"/>
      <c r="DG267" s="48" t="s">
        <v>128</v>
      </c>
      <c r="DH267" s="48" t="s">
        <v>131</v>
      </c>
      <c r="DI267" s="48" t="s">
        <v>574</v>
      </c>
      <c r="DJ267" s="49">
        <v>1.0</v>
      </c>
      <c r="DK267" s="48" t="b">
        <v>0</v>
      </c>
      <c r="DL267" s="50" t="s">
        <v>581</v>
      </c>
      <c r="DM267" s="111"/>
      <c r="DN267" s="111"/>
      <c r="DO267" s="51"/>
      <c r="DP267" s="51"/>
      <c r="DQ267" s="48" t="s">
        <v>576</v>
      </c>
      <c r="DR267" s="51"/>
      <c r="DS267" s="48" t="s">
        <v>134</v>
      </c>
    </row>
    <row r="268">
      <c r="A268" s="23" t="s">
        <v>118</v>
      </c>
      <c r="B268" s="24">
        <v>3.0</v>
      </c>
      <c r="C268" s="23" t="s">
        <v>119</v>
      </c>
      <c r="D268" s="24">
        <v>648806.0</v>
      </c>
      <c r="E268" s="23" t="s">
        <v>179</v>
      </c>
      <c r="F268" s="23" t="s">
        <v>743</v>
      </c>
      <c r="G268" s="23" t="s">
        <v>744</v>
      </c>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7"/>
      <c r="BU268" s="26"/>
      <c r="BV268" s="26"/>
      <c r="BW268" s="26"/>
      <c r="BX268" s="24">
        <v>1.0</v>
      </c>
      <c r="BY268" s="24" t="s">
        <v>123</v>
      </c>
      <c r="BZ268" s="87">
        <v>1.0</v>
      </c>
      <c r="CA268" s="72"/>
      <c r="CB268" s="82"/>
      <c r="CC268" s="31"/>
      <c r="CD268" s="28">
        <v>1.0</v>
      </c>
      <c r="CE268" s="88" t="s">
        <v>185</v>
      </c>
      <c r="CF268" s="33"/>
      <c r="CG268" s="34">
        <v>0.0</v>
      </c>
      <c r="CH268" s="89"/>
      <c r="CI268" s="36">
        <v>0.0</v>
      </c>
      <c r="CJ268" s="36">
        <v>0.0</v>
      </c>
      <c r="CK268" s="37">
        <v>0.0</v>
      </c>
      <c r="CL268" s="36">
        <v>0.0</v>
      </c>
      <c r="CM268" s="38">
        <v>0.0</v>
      </c>
      <c r="CN268" s="36">
        <v>0.0</v>
      </c>
      <c r="CO268" s="39">
        <v>0.0</v>
      </c>
      <c r="CP268" s="40">
        <v>0.0</v>
      </c>
      <c r="CQ268" s="36">
        <v>0.0</v>
      </c>
      <c r="CR268" s="36">
        <v>0.0</v>
      </c>
      <c r="CS268" s="36">
        <v>0.0</v>
      </c>
      <c r="CT268" s="41"/>
      <c r="CU268" s="42"/>
      <c r="CV268" s="43"/>
      <c r="CW268" s="44">
        <v>1.0</v>
      </c>
      <c r="CX268" s="44">
        <v>1.0</v>
      </c>
      <c r="CY268" s="44">
        <v>0.1</v>
      </c>
      <c r="CZ268" s="45"/>
      <c r="DA268" s="43"/>
      <c r="DB268" s="44">
        <v>0.0</v>
      </c>
      <c r="DC268" s="43"/>
      <c r="DD268" s="78"/>
      <c r="DE268" s="43"/>
      <c r="DF268" s="43"/>
      <c r="DG268" s="48" t="s">
        <v>128</v>
      </c>
      <c r="DH268" s="48" t="s">
        <v>131</v>
      </c>
      <c r="DI268" s="48" t="s">
        <v>574</v>
      </c>
      <c r="DJ268" s="49">
        <v>1.0</v>
      </c>
      <c r="DK268" s="48" t="b">
        <v>0</v>
      </c>
      <c r="DL268" s="50" t="s">
        <v>584</v>
      </c>
      <c r="DM268" s="111"/>
      <c r="DN268" s="111"/>
      <c r="DO268" s="51"/>
      <c r="DP268" s="51"/>
      <c r="DQ268" s="48" t="s">
        <v>576</v>
      </c>
      <c r="DR268" s="51"/>
      <c r="DS268" s="48" t="s">
        <v>134</v>
      </c>
    </row>
    <row r="269">
      <c r="A269" s="52" t="s">
        <v>118</v>
      </c>
      <c r="B269" s="53">
        <v>3.0</v>
      </c>
      <c r="C269" s="52" t="s">
        <v>119</v>
      </c>
      <c r="D269" s="53">
        <v>626041.0</v>
      </c>
      <c r="E269" s="52" t="s">
        <v>135</v>
      </c>
      <c r="F269" s="52" t="s">
        <v>745</v>
      </c>
      <c r="G269" s="52" t="s">
        <v>746</v>
      </c>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81"/>
      <c r="BU269" s="54"/>
      <c r="BV269" s="54"/>
      <c r="BW269" s="54"/>
      <c r="BX269" s="53">
        <v>1.0</v>
      </c>
      <c r="BY269" s="53" t="s">
        <v>123</v>
      </c>
      <c r="BZ269" s="87">
        <v>1.0</v>
      </c>
      <c r="CA269" s="72"/>
      <c r="CB269" s="82"/>
      <c r="CC269" s="31"/>
      <c r="CD269" s="58">
        <v>1.0</v>
      </c>
      <c r="CE269" s="83" t="s">
        <v>185</v>
      </c>
      <c r="CF269" s="60"/>
      <c r="CG269" s="61">
        <v>0.0</v>
      </c>
      <c r="CH269" s="84"/>
      <c r="CI269" s="63">
        <v>0.0</v>
      </c>
      <c r="CJ269" s="63">
        <v>0.0</v>
      </c>
      <c r="CK269" s="64">
        <v>0.0</v>
      </c>
      <c r="CL269" s="63">
        <v>0.0</v>
      </c>
      <c r="CM269" s="65">
        <v>0.0</v>
      </c>
      <c r="CN269" s="63">
        <v>0.0</v>
      </c>
      <c r="CO269" s="66">
        <v>0.0</v>
      </c>
      <c r="CP269" s="67">
        <v>0.0</v>
      </c>
      <c r="CQ269" s="63">
        <v>0.0</v>
      </c>
      <c r="CR269" s="63">
        <v>0.0</v>
      </c>
      <c r="CS269" s="63">
        <v>0.0</v>
      </c>
      <c r="CT269" s="68"/>
      <c r="CU269" s="69"/>
      <c r="CV269" s="70"/>
      <c r="CW269" s="71">
        <v>1.0</v>
      </c>
      <c r="CX269" s="71">
        <v>1.0</v>
      </c>
      <c r="CY269" s="71">
        <v>0.1</v>
      </c>
      <c r="CZ269" s="45"/>
      <c r="DA269" s="43"/>
      <c r="DB269" s="44">
        <v>0.0</v>
      </c>
      <c r="DC269" s="43"/>
      <c r="DD269" s="78"/>
      <c r="DE269" s="43"/>
      <c r="DF269" s="43"/>
      <c r="DG269" s="48" t="s">
        <v>128</v>
      </c>
      <c r="DH269" s="48" t="s">
        <v>131</v>
      </c>
      <c r="DI269" s="48" t="s">
        <v>574</v>
      </c>
      <c r="DJ269" s="49">
        <v>1.0</v>
      </c>
      <c r="DK269" s="48" t="b">
        <v>0</v>
      </c>
      <c r="DL269" s="50" t="s">
        <v>682</v>
      </c>
      <c r="DM269" s="111"/>
      <c r="DN269" s="111"/>
      <c r="DO269" s="51"/>
      <c r="DP269" s="51"/>
      <c r="DQ269" s="48" t="s">
        <v>576</v>
      </c>
      <c r="DR269" s="51"/>
      <c r="DS269" s="48" t="s">
        <v>134</v>
      </c>
    </row>
    <row r="270">
      <c r="A270" s="23" t="s">
        <v>118</v>
      </c>
      <c r="B270" s="24">
        <v>6.0</v>
      </c>
      <c r="C270" s="23" t="s">
        <v>747</v>
      </c>
      <c r="D270" s="24">
        <v>648806.0</v>
      </c>
      <c r="E270" s="23" t="s">
        <v>179</v>
      </c>
      <c r="F270" s="23" t="s">
        <v>748</v>
      </c>
      <c r="G270" s="23" t="s">
        <v>749</v>
      </c>
      <c r="H270" s="24">
        <v>1134.0</v>
      </c>
      <c r="I270" s="24">
        <v>2.0</v>
      </c>
      <c r="J270" s="24">
        <v>0.0</v>
      </c>
      <c r="K270" s="24">
        <v>0.0</v>
      </c>
      <c r="L270" s="24">
        <v>0.0</v>
      </c>
      <c r="M270" s="24">
        <v>0.0</v>
      </c>
      <c r="N270" s="24">
        <v>0.0</v>
      </c>
      <c r="O270" s="24">
        <v>0.0</v>
      </c>
      <c r="P270" s="24">
        <v>0.0</v>
      </c>
      <c r="Q270" s="24">
        <v>0.0</v>
      </c>
      <c r="R270" s="24">
        <v>0.0</v>
      </c>
      <c r="S270" s="24">
        <v>0.0</v>
      </c>
      <c r="T270" s="24">
        <v>0.0</v>
      </c>
      <c r="U270" s="24">
        <v>0.0</v>
      </c>
      <c r="V270" s="24">
        <v>0.0</v>
      </c>
      <c r="W270" s="24">
        <v>0.0</v>
      </c>
      <c r="X270" s="24">
        <v>0.0</v>
      </c>
      <c r="Y270" s="24">
        <v>0.0</v>
      </c>
      <c r="Z270" s="24">
        <v>0.0</v>
      </c>
      <c r="AA270" s="24">
        <v>0.0</v>
      </c>
      <c r="AB270" s="24">
        <v>1.0</v>
      </c>
      <c r="AC270" s="24">
        <v>0.0</v>
      </c>
      <c r="AD270" s="24">
        <v>0.0</v>
      </c>
      <c r="AE270" s="24">
        <v>0.0</v>
      </c>
      <c r="AF270" s="24">
        <v>0.0</v>
      </c>
      <c r="AG270" s="24">
        <v>0.0</v>
      </c>
      <c r="AH270" s="24">
        <v>1.0</v>
      </c>
      <c r="AI270" s="24">
        <v>0.0</v>
      </c>
      <c r="AJ270" s="24">
        <v>0.0</v>
      </c>
      <c r="AK270" s="24">
        <v>0.0</v>
      </c>
      <c r="AL270" s="24">
        <v>0.0</v>
      </c>
      <c r="AM270" s="24">
        <v>0.0</v>
      </c>
      <c r="AN270" s="24">
        <v>0.0</v>
      </c>
      <c r="AO270" s="25">
        <v>23.4</v>
      </c>
      <c r="AP270" s="26"/>
      <c r="AQ270" s="26"/>
      <c r="AR270" s="26"/>
      <c r="AS270" s="26"/>
      <c r="AT270" s="26"/>
      <c r="AU270" s="26"/>
      <c r="AV270" s="26"/>
      <c r="AW270" s="26"/>
      <c r="AX270" s="26"/>
      <c r="AY270" s="26"/>
      <c r="AZ270" s="26"/>
      <c r="BA270" s="26"/>
      <c r="BB270" s="26"/>
      <c r="BC270" s="26"/>
      <c r="BD270" s="26"/>
      <c r="BE270" s="26"/>
      <c r="BF270" s="26"/>
      <c r="BG270" s="26"/>
      <c r="BH270" s="24">
        <v>28.35</v>
      </c>
      <c r="BI270" s="26"/>
      <c r="BJ270" s="26"/>
      <c r="BK270" s="26"/>
      <c r="BL270" s="26"/>
      <c r="BM270" s="26"/>
      <c r="BN270" s="24">
        <v>18.48</v>
      </c>
      <c r="BO270" s="26"/>
      <c r="BP270" s="24">
        <v>0.93</v>
      </c>
      <c r="BQ270" s="24">
        <v>5.91</v>
      </c>
      <c r="BR270" s="24">
        <v>6.63</v>
      </c>
      <c r="BS270" s="25">
        <v>10.96</v>
      </c>
      <c r="BT270" s="27"/>
      <c r="BU270" s="26"/>
      <c r="BV270" s="26"/>
      <c r="BW270" s="26"/>
      <c r="BX270" s="24">
        <v>1.0</v>
      </c>
      <c r="BY270" s="24" t="s">
        <v>123</v>
      </c>
      <c r="BZ270" s="108">
        <v>1.0</v>
      </c>
      <c r="CA270" s="72"/>
      <c r="CB270" s="30">
        <v>1.0</v>
      </c>
      <c r="CC270" s="31"/>
      <c r="CD270" s="28">
        <v>1.0</v>
      </c>
      <c r="CE270" s="32" t="e">
        <v>#REF!</v>
      </c>
      <c r="CF270" s="33"/>
      <c r="CG270" s="34">
        <v>0.0</v>
      </c>
      <c r="CH270" s="35">
        <v>0.0</v>
      </c>
      <c r="CI270" s="36">
        <v>2.0</v>
      </c>
      <c r="CJ270" s="36">
        <v>8288.0</v>
      </c>
      <c r="CK270" s="37">
        <v>0.0</v>
      </c>
      <c r="CL270" s="36">
        <v>8288.0</v>
      </c>
      <c r="CM270" s="38">
        <v>47.0</v>
      </c>
      <c r="CN270" s="36">
        <v>0.0</v>
      </c>
      <c r="CO270" s="39">
        <v>23.4</v>
      </c>
      <c r="CP270" s="40">
        <v>0.0</v>
      </c>
      <c r="CQ270" s="36">
        <v>2.0</v>
      </c>
      <c r="CR270" s="36">
        <v>2.0</v>
      </c>
      <c r="CS270" s="36">
        <v>22.0</v>
      </c>
      <c r="CT270" s="41"/>
      <c r="CU270" s="42"/>
      <c r="CV270" s="43"/>
      <c r="CW270" s="44">
        <v>1.0</v>
      </c>
      <c r="CX270" s="44">
        <v>1.0</v>
      </c>
      <c r="CY270" s="44">
        <v>0.1</v>
      </c>
      <c r="CZ270" s="45"/>
      <c r="DA270" s="44">
        <v>1.0</v>
      </c>
      <c r="DB270" s="44">
        <v>0.0</v>
      </c>
      <c r="DC270" s="46" t="s">
        <v>127</v>
      </c>
      <c r="DD270" s="47">
        <v>46197.0</v>
      </c>
      <c r="DE270" s="43"/>
      <c r="DF270" s="43"/>
      <c r="DG270" s="48" t="s">
        <v>128</v>
      </c>
      <c r="DH270" s="48" t="s">
        <v>128</v>
      </c>
      <c r="DI270" s="48" t="s">
        <v>129</v>
      </c>
      <c r="DJ270" s="49">
        <v>1.0</v>
      </c>
      <c r="DK270" s="48" t="b">
        <v>0</v>
      </c>
      <c r="DL270" s="50" t="s">
        <v>750</v>
      </c>
      <c r="DM270" s="50" t="s">
        <v>128</v>
      </c>
      <c r="DN270" s="50" t="s">
        <v>751</v>
      </c>
      <c r="DO270" s="49">
        <v>0.98</v>
      </c>
      <c r="DP270" s="48" t="s">
        <v>128</v>
      </c>
      <c r="DQ270" s="48" t="s">
        <v>417</v>
      </c>
      <c r="DR270" s="48" t="s">
        <v>526</v>
      </c>
      <c r="DS270" s="48" t="s">
        <v>134</v>
      </c>
    </row>
    <row r="271">
      <c r="A271" s="52" t="s">
        <v>118</v>
      </c>
      <c r="B271" s="53">
        <v>6.0</v>
      </c>
      <c r="C271" s="52" t="s">
        <v>747</v>
      </c>
      <c r="D271" s="53">
        <v>641892.0</v>
      </c>
      <c r="E271" s="52" t="s">
        <v>170</v>
      </c>
      <c r="F271" s="52" t="s">
        <v>752</v>
      </c>
      <c r="G271" s="52" t="s">
        <v>753</v>
      </c>
      <c r="H271" s="53">
        <v>1134.0</v>
      </c>
      <c r="I271" s="53">
        <v>5.0</v>
      </c>
      <c r="J271" s="53">
        <v>0.0</v>
      </c>
      <c r="K271" s="53">
        <v>0.0</v>
      </c>
      <c r="L271" s="53">
        <v>0.0</v>
      </c>
      <c r="M271" s="53">
        <v>0.0</v>
      </c>
      <c r="N271" s="53">
        <v>0.0</v>
      </c>
      <c r="O271" s="53">
        <v>0.0</v>
      </c>
      <c r="P271" s="53">
        <v>0.0</v>
      </c>
      <c r="Q271" s="53">
        <v>1.0</v>
      </c>
      <c r="R271" s="53">
        <v>0.0</v>
      </c>
      <c r="S271" s="53">
        <v>0.0</v>
      </c>
      <c r="T271" s="53">
        <v>1.0</v>
      </c>
      <c r="U271" s="53">
        <v>0.0</v>
      </c>
      <c r="V271" s="53">
        <v>1.0</v>
      </c>
      <c r="W271" s="53">
        <v>0.0</v>
      </c>
      <c r="X271" s="53">
        <v>0.0</v>
      </c>
      <c r="Y271" s="53">
        <v>0.0</v>
      </c>
      <c r="Z271" s="53">
        <v>0.0</v>
      </c>
      <c r="AA271" s="53">
        <v>0.0</v>
      </c>
      <c r="AB271" s="53">
        <v>0.0</v>
      </c>
      <c r="AC271" s="53">
        <v>0.0</v>
      </c>
      <c r="AD271" s="53">
        <v>0.0</v>
      </c>
      <c r="AE271" s="53">
        <v>0.0</v>
      </c>
      <c r="AF271" s="53">
        <v>0.0</v>
      </c>
      <c r="AG271" s="53">
        <v>0.0</v>
      </c>
      <c r="AH271" s="53">
        <v>0.0</v>
      </c>
      <c r="AI271" s="53">
        <v>0.0</v>
      </c>
      <c r="AJ271" s="53">
        <v>1.0</v>
      </c>
      <c r="AK271" s="53">
        <v>0.0</v>
      </c>
      <c r="AL271" s="53">
        <v>1.0</v>
      </c>
      <c r="AM271" s="53">
        <v>0.0</v>
      </c>
      <c r="AN271" s="53">
        <v>0.0</v>
      </c>
      <c r="AO271" s="25">
        <v>20.5</v>
      </c>
      <c r="AP271" s="54"/>
      <c r="AQ271" s="54"/>
      <c r="AR271" s="54"/>
      <c r="AS271" s="54"/>
      <c r="AT271" s="54"/>
      <c r="AU271" s="54"/>
      <c r="AV271" s="54"/>
      <c r="AW271" s="53">
        <v>15.6</v>
      </c>
      <c r="AX271" s="54"/>
      <c r="AY271" s="54"/>
      <c r="AZ271" s="53">
        <v>30.62</v>
      </c>
      <c r="BA271" s="54"/>
      <c r="BB271" s="53">
        <v>14.25</v>
      </c>
      <c r="BC271" s="54"/>
      <c r="BD271" s="54"/>
      <c r="BE271" s="54"/>
      <c r="BF271" s="54"/>
      <c r="BG271" s="54"/>
      <c r="BH271" s="54"/>
      <c r="BI271" s="54"/>
      <c r="BJ271" s="54"/>
      <c r="BK271" s="54"/>
      <c r="BL271" s="54"/>
      <c r="BM271" s="54"/>
      <c r="BN271" s="54"/>
      <c r="BO271" s="53">
        <v>0.35</v>
      </c>
      <c r="BP271" s="53">
        <v>0.81</v>
      </c>
      <c r="BQ271" s="53">
        <v>4.29</v>
      </c>
      <c r="BR271" s="53">
        <v>4.89</v>
      </c>
      <c r="BS271" s="25">
        <v>10.45</v>
      </c>
      <c r="BT271" s="56">
        <v>19.2</v>
      </c>
      <c r="BU271" s="25">
        <v>8.9</v>
      </c>
      <c r="BV271" s="57">
        <v>4.91</v>
      </c>
      <c r="BW271" s="54"/>
      <c r="BX271" s="53">
        <v>3000.0</v>
      </c>
      <c r="BY271" s="53" t="s">
        <v>123</v>
      </c>
      <c r="BZ271" s="58">
        <v>2700.0</v>
      </c>
      <c r="CA271" s="29" t="s">
        <v>124</v>
      </c>
      <c r="CB271" s="30">
        <v>3000.0</v>
      </c>
      <c r="CC271" s="31"/>
      <c r="CD271" s="58">
        <v>3000.0</v>
      </c>
      <c r="CE271" s="59" t="e">
        <v>#REF!</v>
      </c>
      <c r="CF271" s="60"/>
      <c r="CG271" s="61">
        <v>0.0</v>
      </c>
      <c r="CH271" s="62">
        <v>0.0</v>
      </c>
      <c r="CI271" s="63">
        <v>5.0</v>
      </c>
      <c r="CJ271" s="63">
        <v>8288.0</v>
      </c>
      <c r="CK271" s="64">
        <v>0.0</v>
      </c>
      <c r="CL271" s="63">
        <v>8288.0</v>
      </c>
      <c r="CM271" s="65">
        <v>103.0</v>
      </c>
      <c r="CN271" s="63">
        <v>0.0</v>
      </c>
      <c r="CO271" s="66">
        <v>20.5</v>
      </c>
      <c r="CP271" s="67">
        <v>0.0</v>
      </c>
      <c r="CQ271" s="63">
        <v>4.0</v>
      </c>
      <c r="CR271" s="63">
        <v>4.0</v>
      </c>
      <c r="CS271" s="63">
        <v>52.0</v>
      </c>
      <c r="CT271" s="68"/>
      <c r="CU271" s="69"/>
      <c r="CV271" s="70"/>
      <c r="CW271" s="71">
        <v>10.0</v>
      </c>
      <c r="CX271" s="71" t="s">
        <v>138</v>
      </c>
      <c r="CY271" s="71" t="s">
        <v>139</v>
      </c>
      <c r="CZ271" s="45"/>
      <c r="DA271" s="44">
        <v>2700.0</v>
      </c>
      <c r="DB271" s="44">
        <v>0.0</v>
      </c>
      <c r="DC271" s="43"/>
      <c r="DD271" s="78"/>
      <c r="DE271" s="43"/>
      <c r="DF271" s="43"/>
      <c r="DG271" s="48" t="s">
        <v>128</v>
      </c>
      <c r="DH271" s="48" t="s">
        <v>128</v>
      </c>
      <c r="DI271" s="48" t="s">
        <v>128</v>
      </c>
      <c r="DJ271" s="49">
        <v>0.0</v>
      </c>
      <c r="DK271" s="48" t="b">
        <v>0</v>
      </c>
      <c r="DL271" s="50" t="s">
        <v>750</v>
      </c>
      <c r="DM271" s="50" t="s">
        <v>128</v>
      </c>
      <c r="DN271" s="50" t="s">
        <v>751</v>
      </c>
      <c r="DO271" s="49">
        <v>0.98</v>
      </c>
      <c r="DP271" s="48" t="s">
        <v>128</v>
      </c>
      <c r="DQ271" s="48" t="s">
        <v>128</v>
      </c>
      <c r="DR271" s="48" t="s">
        <v>526</v>
      </c>
      <c r="DS271" s="48" t="s">
        <v>134</v>
      </c>
    </row>
    <row r="272">
      <c r="A272" s="23" t="s">
        <v>118</v>
      </c>
      <c r="B272" s="24">
        <v>6.0</v>
      </c>
      <c r="C272" s="23" t="s">
        <v>747</v>
      </c>
      <c r="D272" s="24">
        <v>536832.0</v>
      </c>
      <c r="E272" s="23" t="s">
        <v>158</v>
      </c>
      <c r="F272" s="23" t="s">
        <v>754</v>
      </c>
      <c r="G272" s="23" t="s">
        <v>755</v>
      </c>
      <c r="H272" s="24">
        <v>1134.0</v>
      </c>
      <c r="I272" s="24">
        <v>28.0</v>
      </c>
      <c r="J272" s="24">
        <v>0.0</v>
      </c>
      <c r="K272" s="24">
        <v>0.0</v>
      </c>
      <c r="L272" s="24">
        <v>0.0</v>
      </c>
      <c r="M272" s="24">
        <v>3.0</v>
      </c>
      <c r="N272" s="24">
        <v>1.0</v>
      </c>
      <c r="O272" s="24">
        <v>0.0</v>
      </c>
      <c r="P272" s="24">
        <v>0.0</v>
      </c>
      <c r="Q272" s="24">
        <v>0.0</v>
      </c>
      <c r="R272" s="24">
        <v>2.0</v>
      </c>
      <c r="S272" s="24">
        <v>0.0</v>
      </c>
      <c r="T272" s="24">
        <v>1.0</v>
      </c>
      <c r="U272" s="24">
        <v>2.0</v>
      </c>
      <c r="V272" s="24">
        <v>0.0</v>
      </c>
      <c r="W272" s="24">
        <v>2.0</v>
      </c>
      <c r="X272" s="24">
        <v>2.0</v>
      </c>
      <c r="Y272" s="24">
        <v>0.0</v>
      </c>
      <c r="Z272" s="24">
        <v>0.0</v>
      </c>
      <c r="AA272" s="24">
        <v>0.0</v>
      </c>
      <c r="AB272" s="24">
        <v>1.0</v>
      </c>
      <c r="AC272" s="24">
        <v>1.0</v>
      </c>
      <c r="AD272" s="24">
        <v>2.0</v>
      </c>
      <c r="AE272" s="24">
        <v>1.0</v>
      </c>
      <c r="AF272" s="24">
        <v>1.0</v>
      </c>
      <c r="AG272" s="24">
        <v>2.0</v>
      </c>
      <c r="AH272" s="24">
        <v>3.0</v>
      </c>
      <c r="AI272" s="24">
        <v>1.0</v>
      </c>
      <c r="AJ272" s="24">
        <v>0.0</v>
      </c>
      <c r="AK272" s="24">
        <v>1.0</v>
      </c>
      <c r="AL272" s="24">
        <v>0.0</v>
      </c>
      <c r="AM272" s="24">
        <v>0.0</v>
      </c>
      <c r="AN272" s="24">
        <v>2.0</v>
      </c>
      <c r="AO272" s="25">
        <v>20.6</v>
      </c>
      <c r="AP272" s="26"/>
      <c r="AQ272" s="26"/>
      <c r="AR272" s="26"/>
      <c r="AS272" s="24">
        <v>22.38</v>
      </c>
      <c r="AT272" s="24">
        <v>9.33</v>
      </c>
      <c r="AU272" s="26"/>
      <c r="AV272" s="26"/>
      <c r="AW272" s="26"/>
      <c r="AX272" s="24">
        <v>16.61</v>
      </c>
      <c r="AY272" s="26"/>
      <c r="AZ272" s="24">
        <v>15.33</v>
      </c>
      <c r="BA272" s="24">
        <v>27.86</v>
      </c>
      <c r="BB272" s="26"/>
      <c r="BC272" s="24">
        <v>13.24</v>
      </c>
      <c r="BD272" s="24">
        <v>20.18</v>
      </c>
      <c r="BE272" s="26"/>
      <c r="BF272" s="26"/>
      <c r="BG272" s="26"/>
      <c r="BH272" s="24">
        <v>19.05</v>
      </c>
      <c r="BI272" s="24">
        <v>16.83</v>
      </c>
      <c r="BJ272" s="24">
        <v>26.52</v>
      </c>
      <c r="BK272" s="24">
        <v>21.27</v>
      </c>
      <c r="BL272" s="24">
        <v>16.7</v>
      </c>
      <c r="BM272" s="24">
        <v>19.57</v>
      </c>
      <c r="BN272" s="24">
        <v>20.39</v>
      </c>
      <c r="BO272" s="24">
        <v>0.35</v>
      </c>
      <c r="BP272" s="24">
        <v>1.34</v>
      </c>
      <c r="BQ272" s="24">
        <v>6.09</v>
      </c>
      <c r="BR272" s="24">
        <v>7.24</v>
      </c>
      <c r="BS272" s="25">
        <v>6.89</v>
      </c>
      <c r="BT272" s="56">
        <v>19.0</v>
      </c>
      <c r="BU272" s="25">
        <v>4.5</v>
      </c>
      <c r="BV272" s="25">
        <v>7.42</v>
      </c>
      <c r="BW272" s="26"/>
      <c r="BX272" s="24">
        <v>3000.0</v>
      </c>
      <c r="BY272" s="24" t="s">
        <v>123</v>
      </c>
      <c r="BZ272" s="28">
        <v>2700.0</v>
      </c>
      <c r="CA272" s="29" t="s">
        <v>124</v>
      </c>
      <c r="CB272" s="30">
        <v>3000.0</v>
      </c>
      <c r="CC272" s="31"/>
      <c r="CD272" s="28">
        <v>3000.0</v>
      </c>
      <c r="CE272" s="32" t="e">
        <v>#REF!</v>
      </c>
      <c r="CF272" s="33"/>
      <c r="CG272" s="34">
        <v>0.0</v>
      </c>
      <c r="CH272" s="35">
        <v>0.0</v>
      </c>
      <c r="CI272" s="36">
        <v>28.0</v>
      </c>
      <c r="CJ272" s="36">
        <v>8288.0</v>
      </c>
      <c r="CK272" s="37">
        <v>0.0</v>
      </c>
      <c r="CL272" s="36">
        <v>8288.0</v>
      </c>
      <c r="CM272" s="38">
        <v>577.0</v>
      </c>
      <c r="CN272" s="36">
        <v>0.0</v>
      </c>
      <c r="CO272" s="39">
        <v>20.6</v>
      </c>
      <c r="CP272" s="40">
        <v>0.0</v>
      </c>
      <c r="CQ272" s="36">
        <v>38.0</v>
      </c>
      <c r="CR272" s="36">
        <v>38.0</v>
      </c>
      <c r="CS272" s="36">
        <v>193.0</v>
      </c>
      <c r="CT272" s="41"/>
      <c r="CU272" s="42"/>
      <c r="CV272" s="43"/>
      <c r="CW272" s="44">
        <v>10.0</v>
      </c>
      <c r="CX272" s="44" t="s">
        <v>138</v>
      </c>
      <c r="CY272" s="44" t="s">
        <v>139</v>
      </c>
      <c r="CZ272" s="45"/>
      <c r="DA272" s="44">
        <v>2700.0</v>
      </c>
      <c r="DB272" s="44">
        <v>0.0</v>
      </c>
      <c r="DC272" s="43"/>
      <c r="DD272" s="78"/>
      <c r="DE272" s="43"/>
      <c r="DF272" s="43"/>
      <c r="DG272" s="48" t="s">
        <v>128</v>
      </c>
      <c r="DH272" s="48" t="s">
        <v>128</v>
      </c>
      <c r="DI272" s="48" t="s">
        <v>128</v>
      </c>
      <c r="DJ272" s="49">
        <v>0.6154</v>
      </c>
      <c r="DK272" s="48" t="b">
        <v>0</v>
      </c>
      <c r="DL272" s="50" t="s">
        <v>750</v>
      </c>
      <c r="DM272" s="50" t="s">
        <v>128</v>
      </c>
      <c r="DN272" s="50" t="s">
        <v>751</v>
      </c>
      <c r="DO272" s="49">
        <v>0.98</v>
      </c>
      <c r="DP272" s="48" t="s">
        <v>128</v>
      </c>
      <c r="DQ272" s="48" t="s">
        <v>128</v>
      </c>
      <c r="DR272" s="51"/>
      <c r="DS272" s="48" t="s">
        <v>134</v>
      </c>
    </row>
    <row r="273">
      <c r="A273" s="52" t="s">
        <v>118</v>
      </c>
      <c r="B273" s="53">
        <v>6.0</v>
      </c>
      <c r="C273" s="52" t="s">
        <v>747</v>
      </c>
      <c r="D273" s="53">
        <v>558730.0</v>
      </c>
      <c r="E273" s="52" t="s">
        <v>148</v>
      </c>
      <c r="F273" s="52" t="s">
        <v>756</v>
      </c>
      <c r="G273" s="52" t="s">
        <v>757</v>
      </c>
      <c r="H273" s="53">
        <v>1134.0</v>
      </c>
      <c r="I273" s="53">
        <v>6.0</v>
      </c>
      <c r="J273" s="53">
        <v>0.0</v>
      </c>
      <c r="K273" s="53">
        <v>0.0</v>
      </c>
      <c r="L273" s="53">
        <v>0.0</v>
      </c>
      <c r="M273" s="53">
        <v>0.0</v>
      </c>
      <c r="N273" s="53">
        <v>0.0</v>
      </c>
      <c r="O273" s="53">
        <v>0.0</v>
      </c>
      <c r="P273" s="53">
        <v>0.0</v>
      </c>
      <c r="Q273" s="53">
        <v>0.0</v>
      </c>
      <c r="R273" s="53">
        <v>1.0</v>
      </c>
      <c r="S273" s="53">
        <v>0.0</v>
      </c>
      <c r="T273" s="53">
        <v>0.0</v>
      </c>
      <c r="U273" s="53">
        <v>0.0</v>
      </c>
      <c r="V273" s="53">
        <v>0.0</v>
      </c>
      <c r="W273" s="53">
        <v>0.0</v>
      </c>
      <c r="X273" s="53">
        <v>0.0</v>
      </c>
      <c r="Y273" s="53">
        <v>0.0</v>
      </c>
      <c r="Z273" s="53">
        <v>1.0</v>
      </c>
      <c r="AA273" s="53">
        <v>0.0</v>
      </c>
      <c r="AB273" s="53">
        <v>0.0</v>
      </c>
      <c r="AC273" s="53">
        <v>0.0</v>
      </c>
      <c r="AD273" s="53">
        <v>0.0</v>
      </c>
      <c r="AE273" s="53">
        <v>0.0</v>
      </c>
      <c r="AF273" s="53">
        <v>0.0</v>
      </c>
      <c r="AG273" s="53">
        <v>0.0</v>
      </c>
      <c r="AH273" s="53">
        <v>1.0</v>
      </c>
      <c r="AI273" s="53">
        <v>3.0</v>
      </c>
      <c r="AJ273" s="53">
        <v>0.0</v>
      </c>
      <c r="AK273" s="53">
        <v>0.0</v>
      </c>
      <c r="AL273" s="53">
        <v>0.0</v>
      </c>
      <c r="AM273" s="53">
        <v>0.0</v>
      </c>
      <c r="AN273" s="53">
        <v>0.0</v>
      </c>
      <c r="AO273" s="25">
        <v>19.1</v>
      </c>
      <c r="AP273" s="54"/>
      <c r="AQ273" s="54"/>
      <c r="AR273" s="54"/>
      <c r="AS273" s="54"/>
      <c r="AT273" s="54"/>
      <c r="AU273" s="54"/>
      <c r="AV273" s="54"/>
      <c r="AW273" s="54"/>
      <c r="AX273" s="53">
        <v>14.37</v>
      </c>
      <c r="AY273" s="54"/>
      <c r="AZ273" s="54"/>
      <c r="BA273" s="54"/>
      <c r="BB273" s="54"/>
      <c r="BC273" s="54"/>
      <c r="BD273" s="54"/>
      <c r="BE273" s="54"/>
      <c r="BF273" s="53">
        <v>14.05</v>
      </c>
      <c r="BG273" s="54"/>
      <c r="BH273" s="54"/>
      <c r="BI273" s="54"/>
      <c r="BJ273" s="54"/>
      <c r="BK273" s="54"/>
      <c r="BL273" s="54"/>
      <c r="BM273" s="54"/>
      <c r="BN273" s="53">
        <v>18.07</v>
      </c>
      <c r="BO273" s="53">
        <v>0.38</v>
      </c>
      <c r="BP273" s="53">
        <v>1.2</v>
      </c>
      <c r="BQ273" s="53">
        <v>5.25</v>
      </c>
      <c r="BR273" s="53">
        <v>6.25</v>
      </c>
      <c r="BS273" s="25">
        <v>6.69</v>
      </c>
      <c r="BT273" s="56">
        <v>29.5</v>
      </c>
      <c r="BU273" s="25">
        <v>17.2</v>
      </c>
      <c r="BV273" s="55">
        <v>6.03</v>
      </c>
      <c r="BW273" s="54"/>
      <c r="BX273" s="53">
        <v>3000.0</v>
      </c>
      <c r="BY273" s="53" t="s">
        <v>123</v>
      </c>
      <c r="BZ273" s="58">
        <v>2700.0</v>
      </c>
      <c r="CA273" s="29" t="s">
        <v>124</v>
      </c>
      <c r="CB273" s="30">
        <v>3000.0</v>
      </c>
      <c r="CC273" s="31"/>
      <c r="CD273" s="58">
        <v>3000.0</v>
      </c>
      <c r="CE273" s="59" t="e">
        <v>#REF!</v>
      </c>
      <c r="CF273" s="60"/>
      <c r="CG273" s="61">
        <v>0.0</v>
      </c>
      <c r="CH273" s="62">
        <v>0.0</v>
      </c>
      <c r="CI273" s="63">
        <v>6.0</v>
      </c>
      <c r="CJ273" s="63">
        <v>8288.0</v>
      </c>
      <c r="CK273" s="64">
        <v>0.0</v>
      </c>
      <c r="CL273" s="63">
        <v>8288.0</v>
      </c>
      <c r="CM273" s="65">
        <v>115.0</v>
      </c>
      <c r="CN273" s="63">
        <v>0.0</v>
      </c>
      <c r="CO273" s="66">
        <v>19.1</v>
      </c>
      <c r="CP273" s="67">
        <v>0.0</v>
      </c>
      <c r="CQ273" s="63">
        <v>7.0</v>
      </c>
      <c r="CR273" s="63">
        <v>7.0</v>
      </c>
      <c r="CS273" s="63">
        <v>40.0</v>
      </c>
      <c r="CT273" s="68"/>
      <c r="CU273" s="69"/>
      <c r="CV273" s="70"/>
      <c r="CW273" s="71">
        <v>10.0</v>
      </c>
      <c r="CX273" s="71" t="s">
        <v>138</v>
      </c>
      <c r="CY273" s="71" t="s">
        <v>139</v>
      </c>
      <c r="CZ273" s="45"/>
      <c r="DA273" s="44">
        <v>3000.0</v>
      </c>
      <c r="DB273" s="44">
        <v>0.0</v>
      </c>
      <c r="DC273" s="46" t="s">
        <v>127</v>
      </c>
      <c r="DD273" s="47">
        <v>46213.0</v>
      </c>
      <c r="DE273" s="43"/>
      <c r="DF273" s="43"/>
      <c r="DG273" s="48" t="s">
        <v>128</v>
      </c>
      <c r="DH273" s="48" t="s">
        <v>128</v>
      </c>
      <c r="DI273" s="48" t="s">
        <v>128</v>
      </c>
      <c r="DJ273" s="49">
        <v>1.0</v>
      </c>
      <c r="DK273" s="48" t="b">
        <v>0</v>
      </c>
      <c r="DL273" s="50" t="s">
        <v>750</v>
      </c>
      <c r="DM273" s="50" t="s">
        <v>128</v>
      </c>
      <c r="DN273" s="50" t="s">
        <v>751</v>
      </c>
      <c r="DO273" s="49">
        <v>0.98</v>
      </c>
      <c r="DP273" s="48" t="s">
        <v>128</v>
      </c>
      <c r="DQ273" s="48" t="s">
        <v>128</v>
      </c>
      <c r="DR273" s="51"/>
      <c r="DS273" s="48" t="s">
        <v>134</v>
      </c>
    </row>
    <row r="274">
      <c r="A274" s="23" t="s">
        <v>118</v>
      </c>
      <c r="B274" s="24">
        <v>6.0</v>
      </c>
      <c r="C274" s="23" t="s">
        <v>747</v>
      </c>
      <c r="D274" s="24">
        <v>626041.0</v>
      </c>
      <c r="E274" s="23" t="s">
        <v>135</v>
      </c>
      <c r="F274" s="23" t="s">
        <v>758</v>
      </c>
      <c r="G274" s="23" t="s">
        <v>759</v>
      </c>
      <c r="H274" s="24">
        <v>1134.0</v>
      </c>
      <c r="I274" s="24">
        <v>8.0</v>
      </c>
      <c r="J274" s="24">
        <v>0.0</v>
      </c>
      <c r="K274" s="24">
        <v>0.0</v>
      </c>
      <c r="L274" s="24">
        <v>0.0</v>
      </c>
      <c r="M274" s="24">
        <v>0.0</v>
      </c>
      <c r="N274" s="24">
        <v>0.0</v>
      </c>
      <c r="O274" s="24">
        <v>0.0</v>
      </c>
      <c r="P274" s="24">
        <v>0.0</v>
      </c>
      <c r="Q274" s="24">
        <v>0.0</v>
      </c>
      <c r="R274" s="24">
        <v>0.0</v>
      </c>
      <c r="S274" s="24">
        <v>0.0</v>
      </c>
      <c r="T274" s="24">
        <v>0.0</v>
      </c>
      <c r="U274" s="24">
        <v>2.0</v>
      </c>
      <c r="V274" s="24">
        <v>0.0</v>
      </c>
      <c r="W274" s="24">
        <v>0.0</v>
      </c>
      <c r="X274" s="24">
        <v>0.0</v>
      </c>
      <c r="Y274" s="24">
        <v>0.0</v>
      </c>
      <c r="Z274" s="24">
        <v>0.0</v>
      </c>
      <c r="AA274" s="24">
        <v>0.0</v>
      </c>
      <c r="AB274" s="24">
        <v>0.0</v>
      </c>
      <c r="AC274" s="24">
        <v>0.0</v>
      </c>
      <c r="AD274" s="24">
        <v>0.0</v>
      </c>
      <c r="AE274" s="24">
        <v>0.0</v>
      </c>
      <c r="AF274" s="24">
        <v>1.0</v>
      </c>
      <c r="AG274" s="24">
        <v>1.0</v>
      </c>
      <c r="AH274" s="24">
        <v>2.0</v>
      </c>
      <c r="AI274" s="24">
        <v>0.0</v>
      </c>
      <c r="AJ274" s="24">
        <v>2.0</v>
      </c>
      <c r="AK274" s="24">
        <v>0.0</v>
      </c>
      <c r="AL274" s="24">
        <v>0.0</v>
      </c>
      <c r="AM274" s="24">
        <v>0.0</v>
      </c>
      <c r="AN274" s="24">
        <v>0.0</v>
      </c>
      <c r="AO274" s="25">
        <v>20.2</v>
      </c>
      <c r="AP274" s="26"/>
      <c r="AQ274" s="26"/>
      <c r="AR274" s="26"/>
      <c r="AS274" s="26"/>
      <c r="AT274" s="26"/>
      <c r="AU274" s="26"/>
      <c r="AV274" s="26"/>
      <c r="AW274" s="26"/>
      <c r="AX274" s="26"/>
      <c r="AY274" s="26"/>
      <c r="AZ274" s="26"/>
      <c r="BA274" s="24">
        <v>16.23</v>
      </c>
      <c r="BB274" s="26"/>
      <c r="BC274" s="26"/>
      <c r="BD274" s="26"/>
      <c r="BE274" s="26"/>
      <c r="BF274" s="26"/>
      <c r="BG274" s="26"/>
      <c r="BH274" s="26"/>
      <c r="BI274" s="26"/>
      <c r="BJ274" s="26"/>
      <c r="BK274" s="26"/>
      <c r="BL274" s="24">
        <v>23.35</v>
      </c>
      <c r="BM274" s="24">
        <v>18.88</v>
      </c>
      <c r="BN274" s="24">
        <v>25.9</v>
      </c>
      <c r="BO274" s="24">
        <v>0.29</v>
      </c>
      <c r="BP274" s="24">
        <v>0.89</v>
      </c>
      <c r="BQ274" s="24">
        <v>6.18</v>
      </c>
      <c r="BR274" s="24">
        <v>6.87</v>
      </c>
      <c r="BS274" s="25">
        <v>6.64</v>
      </c>
      <c r="BT274" s="56">
        <v>22.2</v>
      </c>
      <c r="BU274" s="25">
        <v>10.1</v>
      </c>
      <c r="BV274" s="57">
        <v>5.94</v>
      </c>
      <c r="BW274" s="24">
        <v>2200.0</v>
      </c>
      <c r="BX274" s="24">
        <v>3000.0</v>
      </c>
      <c r="BY274" s="24" t="s">
        <v>123</v>
      </c>
      <c r="BZ274" s="28">
        <v>2700.0</v>
      </c>
      <c r="CA274" s="29" t="s">
        <v>124</v>
      </c>
      <c r="CB274" s="30">
        <v>3000.0</v>
      </c>
      <c r="CC274" s="31"/>
      <c r="CD274" s="28">
        <v>3000.0</v>
      </c>
      <c r="CE274" s="32" t="e">
        <v>#REF!</v>
      </c>
      <c r="CF274" s="33"/>
      <c r="CG274" s="34">
        <v>0.0</v>
      </c>
      <c r="CH274" s="35">
        <v>0.0</v>
      </c>
      <c r="CI274" s="36">
        <v>8.0</v>
      </c>
      <c r="CJ274" s="36">
        <v>8288.0</v>
      </c>
      <c r="CK274" s="37">
        <v>0.0</v>
      </c>
      <c r="CL274" s="36">
        <v>8288.0</v>
      </c>
      <c r="CM274" s="38">
        <v>162.0</v>
      </c>
      <c r="CN274" s="36">
        <v>0.0</v>
      </c>
      <c r="CO274" s="39">
        <v>20.2</v>
      </c>
      <c r="CP274" s="40">
        <v>0.0</v>
      </c>
      <c r="CQ274" s="36">
        <v>7.0</v>
      </c>
      <c r="CR274" s="36">
        <v>7.0</v>
      </c>
      <c r="CS274" s="36">
        <v>53.0</v>
      </c>
      <c r="CT274" s="41"/>
      <c r="CU274" s="42"/>
      <c r="CV274" s="43"/>
      <c r="CW274" s="44">
        <v>10.0</v>
      </c>
      <c r="CX274" s="44" t="s">
        <v>138</v>
      </c>
      <c r="CY274" s="44" t="s">
        <v>139</v>
      </c>
      <c r="CZ274" s="45"/>
      <c r="DA274" s="44">
        <v>2700.0</v>
      </c>
      <c r="DB274" s="44">
        <v>0.0</v>
      </c>
      <c r="DC274" s="43"/>
      <c r="DD274" s="78"/>
      <c r="DE274" s="43"/>
      <c r="DF274" s="43"/>
      <c r="DG274" s="48" t="s">
        <v>128</v>
      </c>
      <c r="DH274" s="48" t="s">
        <v>128</v>
      </c>
      <c r="DI274" s="48" t="s">
        <v>128</v>
      </c>
      <c r="DJ274" s="49">
        <v>1.0</v>
      </c>
      <c r="DK274" s="48" t="b">
        <v>0</v>
      </c>
      <c r="DL274" s="50" t="s">
        <v>750</v>
      </c>
      <c r="DM274" s="50" t="s">
        <v>128</v>
      </c>
      <c r="DN274" s="50" t="s">
        <v>751</v>
      </c>
      <c r="DO274" s="49">
        <v>0.98</v>
      </c>
      <c r="DP274" s="48" t="s">
        <v>128</v>
      </c>
      <c r="DQ274" s="48" t="s">
        <v>128</v>
      </c>
      <c r="DR274" s="51"/>
      <c r="DS274" s="48" t="s">
        <v>134</v>
      </c>
    </row>
    <row r="275">
      <c r="A275" s="52" t="s">
        <v>118</v>
      </c>
      <c r="B275" s="53">
        <v>6.0</v>
      </c>
      <c r="C275" s="52" t="s">
        <v>747</v>
      </c>
      <c r="D275" s="53">
        <v>588071.0</v>
      </c>
      <c r="E275" s="52" t="s">
        <v>152</v>
      </c>
      <c r="F275" s="52" t="s">
        <v>760</v>
      </c>
      <c r="G275" s="52" t="s">
        <v>761</v>
      </c>
      <c r="H275" s="53">
        <v>1134.0</v>
      </c>
      <c r="I275" s="53">
        <v>22.0</v>
      </c>
      <c r="J275" s="53">
        <v>0.0</v>
      </c>
      <c r="K275" s="53">
        <v>0.0</v>
      </c>
      <c r="L275" s="53">
        <v>2.0</v>
      </c>
      <c r="M275" s="53">
        <v>0.0</v>
      </c>
      <c r="N275" s="53">
        <v>0.0</v>
      </c>
      <c r="O275" s="53">
        <v>1.0</v>
      </c>
      <c r="P275" s="53">
        <v>4.0</v>
      </c>
      <c r="Q275" s="53">
        <v>3.0</v>
      </c>
      <c r="R275" s="53">
        <v>0.0</v>
      </c>
      <c r="S275" s="53">
        <v>0.0</v>
      </c>
      <c r="T275" s="53">
        <v>0.0</v>
      </c>
      <c r="U275" s="53">
        <v>2.0</v>
      </c>
      <c r="V275" s="53">
        <v>0.0</v>
      </c>
      <c r="W275" s="53">
        <v>0.0</v>
      </c>
      <c r="X275" s="53">
        <v>0.0</v>
      </c>
      <c r="Y275" s="53">
        <v>1.0</v>
      </c>
      <c r="Z275" s="53">
        <v>1.0</v>
      </c>
      <c r="AA275" s="53">
        <v>1.0</v>
      </c>
      <c r="AB275" s="53">
        <v>1.0</v>
      </c>
      <c r="AC275" s="53">
        <v>0.0</v>
      </c>
      <c r="AD275" s="53">
        <v>2.0</v>
      </c>
      <c r="AE275" s="53">
        <v>0.0</v>
      </c>
      <c r="AF275" s="53">
        <v>1.0</v>
      </c>
      <c r="AG275" s="53">
        <v>0.0</v>
      </c>
      <c r="AH275" s="53">
        <v>0.0</v>
      </c>
      <c r="AI275" s="53">
        <v>0.0</v>
      </c>
      <c r="AJ275" s="53">
        <v>1.0</v>
      </c>
      <c r="AK275" s="53">
        <v>2.0</v>
      </c>
      <c r="AL275" s="53">
        <v>0.0</v>
      </c>
      <c r="AM275" s="53">
        <v>0.0</v>
      </c>
      <c r="AN275" s="53">
        <v>0.0</v>
      </c>
      <c r="AO275" s="25">
        <v>17.6</v>
      </c>
      <c r="AP275" s="54"/>
      <c r="AQ275" s="54"/>
      <c r="AR275" s="53">
        <v>25.51</v>
      </c>
      <c r="AS275" s="54"/>
      <c r="AT275" s="54"/>
      <c r="AU275" s="53">
        <v>23.72</v>
      </c>
      <c r="AV275" s="53">
        <v>11.12</v>
      </c>
      <c r="AW275" s="53">
        <v>17.94</v>
      </c>
      <c r="AX275" s="54"/>
      <c r="AY275" s="54"/>
      <c r="AZ275" s="54"/>
      <c r="BA275" s="53">
        <v>17.73</v>
      </c>
      <c r="BB275" s="54"/>
      <c r="BC275" s="54"/>
      <c r="BD275" s="54"/>
      <c r="BE275" s="53">
        <v>25.4</v>
      </c>
      <c r="BF275" s="53">
        <v>13.58</v>
      </c>
      <c r="BG275" s="53">
        <v>13.28</v>
      </c>
      <c r="BH275" s="53">
        <v>13.55</v>
      </c>
      <c r="BI275" s="54"/>
      <c r="BJ275" s="53">
        <v>21.98</v>
      </c>
      <c r="BK275" s="54"/>
      <c r="BL275" s="53">
        <v>16.03</v>
      </c>
      <c r="BM275" s="54"/>
      <c r="BN275" s="54"/>
      <c r="BO275" s="53">
        <v>0.3</v>
      </c>
      <c r="BP275" s="53">
        <v>1.11</v>
      </c>
      <c r="BQ275" s="53">
        <v>4.65</v>
      </c>
      <c r="BR275" s="53">
        <v>5.55</v>
      </c>
      <c r="BS275" s="25">
        <v>6.54</v>
      </c>
      <c r="BT275" s="91">
        <v>16.7</v>
      </c>
      <c r="BU275" s="25">
        <v>5.9</v>
      </c>
      <c r="BV275" s="57">
        <v>5.1</v>
      </c>
      <c r="BW275" s="54"/>
      <c r="BX275" s="53">
        <v>3000.0</v>
      </c>
      <c r="BY275" s="53" t="s">
        <v>123</v>
      </c>
      <c r="BZ275" s="58">
        <v>2700.0</v>
      </c>
      <c r="CA275" s="29" t="s">
        <v>124</v>
      </c>
      <c r="CB275" s="30">
        <v>3000.0</v>
      </c>
      <c r="CC275" s="31"/>
      <c r="CD275" s="58">
        <v>3000.0</v>
      </c>
      <c r="CE275" s="59" t="e">
        <v>#REF!</v>
      </c>
      <c r="CF275" s="60"/>
      <c r="CG275" s="61">
        <v>0.0</v>
      </c>
      <c r="CH275" s="62">
        <v>0.0</v>
      </c>
      <c r="CI275" s="63">
        <v>22.0</v>
      </c>
      <c r="CJ275" s="63">
        <v>8288.0</v>
      </c>
      <c r="CK275" s="64">
        <v>0.0</v>
      </c>
      <c r="CL275" s="63">
        <v>8288.0</v>
      </c>
      <c r="CM275" s="65">
        <v>387.0</v>
      </c>
      <c r="CN275" s="63">
        <v>0.0</v>
      </c>
      <c r="CO275" s="66">
        <v>17.6</v>
      </c>
      <c r="CP275" s="67">
        <v>0.0</v>
      </c>
      <c r="CQ275" s="63">
        <v>24.0</v>
      </c>
      <c r="CR275" s="63">
        <v>24.0</v>
      </c>
      <c r="CS275" s="63">
        <v>144.0</v>
      </c>
      <c r="CT275" s="68"/>
      <c r="CU275" s="69"/>
      <c r="CV275" s="70"/>
      <c r="CW275" s="71">
        <v>10.0</v>
      </c>
      <c r="CX275" s="71" t="s">
        <v>138</v>
      </c>
      <c r="CY275" s="71" t="s">
        <v>139</v>
      </c>
      <c r="CZ275" s="45"/>
      <c r="DA275" s="44">
        <v>3000.0</v>
      </c>
      <c r="DB275" s="44">
        <v>0.0</v>
      </c>
      <c r="DC275" s="46" t="s">
        <v>127</v>
      </c>
      <c r="DD275" s="47">
        <v>46228.0</v>
      </c>
      <c r="DE275" s="43"/>
      <c r="DF275" s="43"/>
      <c r="DG275" s="48" t="s">
        <v>128</v>
      </c>
      <c r="DH275" s="48" t="s">
        <v>128</v>
      </c>
      <c r="DI275" s="48" t="s">
        <v>128</v>
      </c>
      <c r="DJ275" s="49">
        <v>1.0</v>
      </c>
      <c r="DK275" s="48" t="b">
        <v>0</v>
      </c>
      <c r="DL275" s="50" t="s">
        <v>750</v>
      </c>
      <c r="DM275" s="50" t="s">
        <v>128</v>
      </c>
      <c r="DN275" s="50" t="s">
        <v>751</v>
      </c>
      <c r="DO275" s="49">
        <v>0.98</v>
      </c>
      <c r="DP275" s="48" t="s">
        <v>128</v>
      </c>
      <c r="DQ275" s="48" t="s">
        <v>128</v>
      </c>
      <c r="DR275" s="51"/>
      <c r="DS275" s="48" t="s">
        <v>134</v>
      </c>
    </row>
    <row r="276">
      <c r="A276" s="23" t="s">
        <v>118</v>
      </c>
      <c r="B276" s="24">
        <v>6.0</v>
      </c>
      <c r="C276" s="23" t="s">
        <v>747</v>
      </c>
      <c r="D276" s="24">
        <v>576393.0</v>
      </c>
      <c r="E276" s="23" t="s">
        <v>164</v>
      </c>
      <c r="F276" s="23" t="s">
        <v>762</v>
      </c>
      <c r="G276" s="23" t="s">
        <v>763</v>
      </c>
      <c r="H276" s="24">
        <v>1134.0</v>
      </c>
      <c r="I276" s="24">
        <v>41.0</v>
      </c>
      <c r="J276" s="24">
        <v>0.0</v>
      </c>
      <c r="K276" s="24">
        <v>0.0</v>
      </c>
      <c r="L276" s="24">
        <v>0.0</v>
      </c>
      <c r="M276" s="24">
        <v>0.0</v>
      </c>
      <c r="N276" s="24">
        <v>0.0</v>
      </c>
      <c r="O276" s="24">
        <v>2.0</v>
      </c>
      <c r="P276" s="24">
        <v>2.0</v>
      </c>
      <c r="Q276" s="24">
        <v>0.0</v>
      </c>
      <c r="R276" s="24">
        <v>1.0</v>
      </c>
      <c r="S276" s="24">
        <v>2.0</v>
      </c>
      <c r="T276" s="24">
        <v>2.0</v>
      </c>
      <c r="U276" s="24">
        <v>1.0</v>
      </c>
      <c r="V276" s="24">
        <v>2.0</v>
      </c>
      <c r="W276" s="24">
        <v>1.0</v>
      </c>
      <c r="X276" s="24">
        <v>1.0</v>
      </c>
      <c r="Y276" s="24">
        <v>1.0</v>
      </c>
      <c r="Z276" s="24">
        <v>0.0</v>
      </c>
      <c r="AA276" s="24">
        <v>1.0</v>
      </c>
      <c r="AB276" s="24">
        <v>1.0</v>
      </c>
      <c r="AC276" s="24">
        <v>2.0</v>
      </c>
      <c r="AD276" s="24">
        <v>9.0</v>
      </c>
      <c r="AE276" s="24">
        <v>2.0</v>
      </c>
      <c r="AF276" s="24">
        <v>2.0</v>
      </c>
      <c r="AG276" s="24">
        <v>1.0</v>
      </c>
      <c r="AH276" s="24">
        <v>1.0</v>
      </c>
      <c r="AI276" s="24">
        <v>0.0</v>
      </c>
      <c r="AJ276" s="24">
        <v>1.0</v>
      </c>
      <c r="AK276" s="24">
        <v>0.0</v>
      </c>
      <c r="AL276" s="24">
        <v>3.0</v>
      </c>
      <c r="AM276" s="24">
        <v>1.0</v>
      </c>
      <c r="AN276" s="24">
        <v>2.0</v>
      </c>
      <c r="AO276" s="25">
        <v>18.3</v>
      </c>
      <c r="AP276" s="26"/>
      <c r="AQ276" s="26"/>
      <c r="AR276" s="26"/>
      <c r="AS276" s="26"/>
      <c r="AT276" s="26"/>
      <c r="AU276" s="24">
        <v>10.33</v>
      </c>
      <c r="AV276" s="24">
        <v>16.53</v>
      </c>
      <c r="AW276" s="26"/>
      <c r="AX276" s="24">
        <v>12.45</v>
      </c>
      <c r="AY276" s="24">
        <v>14.81</v>
      </c>
      <c r="AZ276" s="24">
        <v>16.55</v>
      </c>
      <c r="BA276" s="24">
        <v>16.15</v>
      </c>
      <c r="BB276" s="24">
        <v>14.11</v>
      </c>
      <c r="BC276" s="24">
        <v>24.28</v>
      </c>
      <c r="BD276" s="24">
        <v>15.73</v>
      </c>
      <c r="BE276" s="24">
        <v>19.75</v>
      </c>
      <c r="BF276" s="26"/>
      <c r="BG276" s="24">
        <v>19.68</v>
      </c>
      <c r="BH276" s="24">
        <v>13.2</v>
      </c>
      <c r="BI276" s="24">
        <v>20.93</v>
      </c>
      <c r="BJ276" s="24">
        <v>19.85</v>
      </c>
      <c r="BK276" s="24">
        <v>23.34</v>
      </c>
      <c r="BL276" s="24">
        <v>19.66</v>
      </c>
      <c r="BM276" s="24">
        <v>17.47</v>
      </c>
      <c r="BN276" s="24">
        <v>15.82</v>
      </c>
      <c r="BO276" s="24">
        <v>0.35</v>
      </c>
      <c r="BP276" s="24">
        <v>1.19</v>
      </c>
      <c r="BQ276" s="24">
        <v>5.34</v>
      </c>
      <c r="BR276" s="24">
        <v>6.33</v>
      </c>
      <c r="BS276" s="25">
        <v>5.42</v>
      </c>
      <c r="BT276" s="56">
        <v>23.1</v>
      </c>
      <c r="BU276" s="25">
        <v>7.9</v>
      </c>
      <c r="BV276" s="25">
        <v>7.86</v>
      </c>
      <c r="BW276" s="24">
        <v>1900.0</v>
      </c>
      <c r="BX276" s="24">
        <v>3000.0</v>
      </c>
      <c r="BY276" s="24" t="s">
        <v>123</v>
      </c>
      <c r="BZ276" s="28">
        <v>2700.0</v>
      </c>
      <c r="CA276" s="29" t="s">
        <v>124</v>
      </c>
      <c r="CB276" s="30">
        <v>3000.0</v>
      </c>
      <c r="CC276" s="31"/>
      <c r="CD276" s="28">
        <v>3000.0</v>
      </c>
      <c r="CE276" s="32" t="e">
        <v>#REF!</v>
      </c>
      <c r="CF276" s="33"/>
      <c r="CG276" s="34">
        <v>0.0</v>
      </c>
      <c r="CH276" s="35">
        <v>0.0</v>
      </c>
      <c r="CI276" s="36">
        <v>41.0</v>
      </c>
      <c r="CJ276" s="36">
        <v>8288.0</v>
      </c>
      <c r="CK276" s="37">
        <v>0.0</v>
      </c>
      <c r="CL276" s="36">
        <v>8288.0</v>
      </c>
      <c r="CM276" s="38">
        <v>750.0</v>
      </c>
      <c r="CN276" s="36">
        <v>0.0</v>
      </c>
      <c r="CO276" s="39">
        <v>18.3</v>
      </c>
      <c r="CP276" s="40">
        <v>0.0</v>
      </c>
      <c r="CQ276" s="36">
        <v>49.0</v>
      </c>
      <c r="CR276" s="36">
        <v>49.0</v>
      </c>
      <c r="CS276" s="36">
        <v>222.0</v>
      </c>
      <c r="CT276" s="41"/>
      <c r="CU276" s="42"/>
      <c r="CV276" s="43"/>
      <c r="CW276" s="44">
        <v>10.0</v>
      </c>
      <c r="CX276" s="44" t="s">
        <v>138</v>
      </c>
      <c r="CY276" s="44" t="s">
        <v>139</v>
      </c>
      <c r="CZ276" s="45"/>
      <c r="DA276" s="44">
        <v>3000.0</v>
      </c>
      <c r="DB276" s="44">
        <v>0.0</v>
      </c>
      <c r="DC276" s="46" t="s">
        <v>127</v>
      </c>
      <c r="DD276" s="47">
        <v>46213.0</v>
      </c>
      <c r="DE276" s="43"/>
      <c r="DF276" s="43"/>
      <c r="DG276" s="48" t="s">
        <v>128</v>
      </c>
      <c r="DH276" s="48" t="s">
        <v>128</v>
      </c>
      <c r="DI276" s="48" t="s">
        <v>128</v>
      </c>
      <c r="DJ276" s="49">
        <v>0.9091</v>
      </c>
      <c r="DK276" s="48" t="b">
        <v>0</v>
      </c>
      <c r="DL276" s="50" t="s">
        <v>750</v>
      </c>
      <c r="DM276" s="50" t="s">
        <v>128</v>
      </c>
      <c r="DN276" s="50" t="s">
        <v>751</v>
      </c>
      <c r="DO276" s="49">
        <v>0.98</v>
      </c>
      <c r="DP276" s="48" t="s">
        <v>128</v>
      </c>
      <c r="DQ276" s="48" t="s">
        <v>128</v>
      </c>
      <c r="DR276" s="51"/>
      <c r="DS276" s="48" t="s">
        <v>134</v>
      </c>
    </row>
    <row r="277">
      <c r="A277" s="52" t="s">
        <v>118</v>
      </c>
      <c r="B277" s="53">
        <v>6.0</v>
      </c>
      <c r="C277" s="52" t="s">
        <v>747</v>
      </c>
      <c r="D277" s="53">
        <v>627274.0</v>
      </c>
      <c r="E277" s="52" t="s">
        <v>173</v>
      </c>
      <c r="F277" s="52" t="s">
        <v>764</v>
      </c>
      <c r="G277" s="52" t="s">
        <v>765</v>
      </c>
      <c r="H277" s="53">
        <v>1134.0</v>
      </c>
      <c r="I277" s="53">
        <v>11.0</v>
      </c>
      <c r="J277" s="53">
        <v>0.0</v>
      </c>
      <c r="K277" s="53">
        <v>0.0</v>
      </c>
      <c r="L277" s="53">
        <v>0.0</v>
      </c>
      <c r="M277" s="53">
        <v>0.0</v>
      </c>
      <c r="N277" s="53">
        <v>0.0</v>
      </c>
      <c r="O277" s="53">
        <v>0.0</v>
      </c>
      <c r="P277" s="53">
        <v>0.0</v>
      </c>
      <c r="Q277" s="53">
        <v>1.0</v>
      </c>
      <c r="R277" s="53">
        <v>1.0</v>
      </c>
      <c r="S277" s="53">
        <v>0.0</v>
      </c>
      <c r="T277" s="53">
        <v>0.0</v>
      </c>
      <c r="U277" s="53">
        <v>1.0</v>
      </c>
      <c r="V277" s="53">
        <v>0.0</v>
      </c>
      <c r="W277" s="53">
        <v>0.0</v>
      </c>
      <c r="X277" s="53">
        <v>0.0</v>
      </c>
      <c r="Y277" s="53">
        <v>2.0</v>
      </c>
      <c r="Z277" s="53">
        <v>0.0</v>
      </c>
      <c r="AA277" s="53">
        <v>0.0</v>
      </c>
      <c r="AB277" s="53">
        <v>1.0</v>
      </c>
      <c r="AC277" s="53">
        <v>0.0</v>
      </c>
      <c r="AD277" s="53">
        <v>1.0</v>
      </c>
      <c r="AE277" s="53">
        <v>0.0</v>
      </c>
      <c r="AF277" s="53">
        <v>0.0</v>
      </c>
      <c r="AG277" s="53">
        <v>1.0</v>
      </c>
      <c r="AH277" s="53">
        <v>1.0</v>
      </c>
      <c r="AI277" s="53">
        <v>2.0</v>
      </c>
      <c r="AJ277" s="53">
        <v>0.0</v>
      </c>
      <c r="AK277" s="53">
        <v>0.0</v>
      </c>
      <c r="AL277" s="53">
        <v>0.0</v>
      </c>
      <c r="AM277" s="53">
        <v>0.0</v>
      </c>
      <c r="AN277" s="53">
        <v>0.0</v>
      </c>
      <c r="AO277" s="55">
        <v>15.9</v>
      </c>
      <c r="AP277" s="54"/>
      <c r="AQ277" s="54"/>
      <c r="AR277" s="54"/>
      <c r="AS277" s="54"/>
      <c r="AT277" s="54"/>
      <c r="AU277" s="54"/>
      <c r="AV277" s="54"/>
      <c r="AW277" s="53">
        <v>16.4</v>
      </c>
      <c r="AX277" s="53">
        <v>19.22</v>
      </c>
      <c r="AY277" s="54"/>
      <c r="AZ277" s="54"/>
      <c r="BA277" s="53">
        <v>11.97</v>
      </c>
      <c r="BB277" s="54"/>
      <c r="BC277" s="54"/>
      <c r="BD277" s="54"/>
      <c r="BE277" s="53">
        <v>13.53</v>
      </c>
      <c r="BF277" s="54"/>
      <c r="BG277" s="54"/>
      <c r="BH277" s="53">
        <v>13.43</v>
      </c>
      <c r="BI277" s="54"/>
      <c r="BJ277" s="53">
        <v>16.92</v>
      </c>
      <c r="BK277" s="54"/>
      <c r="BL277" s="54"/>
      <c r="BM277" s="53">
        <v>16.1</v>
      </c>
      <c r="BN277" s="53">
        <v>22.9</v>
      </c>
      <c r="BO277" s="53">
        <v>0.25</v>
      </c>
      <c r="BP277" s="53">
        <v>0.84</v>
      </c>
      <c r="BQ277" s="53">
        <v>5.59</v>
      </c>
      <c r="BR277" s="53">
        <v>6.22</v>
      </c>
      <c r="BS277" s="55">
        <v>3.4</v>
      </c>
      <c r="BT277" s="91">
        <v>16.2</v>
      </c>
      <c r="BU277" s="57">
        <v>2.5</v>
      </c>
      <c r="BV277" s="25">
        <v>7.35</v>
      </c>
      <c r="BW277" s="54"/>
      <c r="BX277" s="53">
        <v>3000.0</v>
      </c>
      <c r="BY277" s="53" t="s">
        <v>123</v>
      </c>
      <c r="BZ277" s="58">
        <v>3000.0</v>
      </c>
      <c r="CA277" s="72"/>
      <c r="CB277" s="30">
        <v>3000.0</v>
      </c>
      <c r="CC277" s="31"/>
      <c r="CD277" s="58">
        <v>3000.0</v>
      </c>
      <c r="CE277" s="59" t="e">
        <v>#REF!</v>
      </c>
      <c r="CF277" s="60"/>
      <c r="CG277" s="61">
        <v>0.0</v>
      </c>
      <c r="CH277" s="62">
        <v>0.0</v>
      </c>
      <c r="CI277" s="63">
        <v>11.0</v>
      </c>
      <c r="CJ277" s="63">
        <v>8288.0</v>
      </c>
      <c r="CK277" s="64">
        <v>0.0</v>
      </c>
      <c r="CL277" s="63">
        <v>8288.0</v>
      </c>
      <c r="CM277" s="65">
        <v>175.0</v>
      </c>
      <c r="CN277" s="63">
        <v>0.0</v>
      </c>
      <c r="CO277" s="66">
        <v>15.9</v>
      </c>
      <c r="CP277" s="67">
        <v>0.0</v>
      </c>
      <c r="CQ277" s="63">
        <v>9.0</v>
      </c>
      <c r="CR277" s="63">
        <v>9.0</v>
      </c>
      <c r="CS277" s="63">
        <v>37.0</v>
      </c>
      <c r="CT277" s="68"/>
      <c r="CU277" s="69"/>
      <c r="CV277" s="70"/>
      <c r="CW277" s="71">
        <v>10.0</v>
      </c>
      <c r="CX277" s="71" t="s">
        <v>138</v>
      </c>
      <c r="CY277" s="71" t="s">
        <v>139</v>
      </c>
      <c r="CZ277" s="45"/>
      <c r="DA277" s="44">
        <v>3000.0</v>
      </c>
      <c r="DB277" s="44">
        <v>0.0</v>
      </c>
      <c r="DC277" s="46" t="s">
        <v>127</v>
      </c>
      <c r="DD277" s="47">
        <v>46213.0</v>
      </c>
      <c r="DE277" s="43"/>
      <c r="DF277" s="43"/>
      <c r="DG277" s="48" t="s">
        <v>128</v>
      </c>
      <c r="DH277" s="48" t="s">
        <v>128</v>
      </c>
      <c r="DI277" s="48" t="s">
        <v>128</v>
      </c>
      <c r="DJ277" s="49">
        <v>1.0</v>
      </c>
      <c r="DK277" s="48" t="b">
        <v>0</v>
      </c>
      <c r="DL277" s="50" t="s">
        <v>750</v>
      </c>
      <c r="DM277" s="50" t="s">
        <v>128</v>
      </c>
      <c r="DN277" s="50" t="s">
        <v>751</v>
      </c>
      <c r="DO277" s="49">
        <v>0.98</v>
      </c>
      <c r="DP277" s="48" t="s">
        <v>128</v>
      </c>
      <c r="DQ277" s="48" t="s">
        <v>128</v>
      </c>
      <c r="DR277" s="51"/>
      <c r="DS277" s="48" t="s">
        <v>134</v>
      </c>
    </row>
    <row r="278">
      <c r="A278" s="23" t="s">
        <v>118</v>
      </c>
      <c r="B278" s="24">
        <v>6.0</v>
      </c>
      <c r="C278" s="23" t="s">
        <v>747</v>
      </c>
      <c r="D278" s="24">
        <v>610881.0</v>
      </c>
      <c r="E278" s="23" t="s">
        <v>167</v>
      </c>
      <c r="F278" s="23" t="s">
        <v>766</v>
      </c>
      <c r="G278" s="23" t="s">
        <v>767</v>
      </c>
      <c r="H278" s="24">
        <v>1134.0</v>
      </c>
      <c r="I278" s="24">
        <v>5.0</v>
      </c>
      <c r="J278" s="24">
        <v>0.0</v>
      </c>
      <c r="K278" s="24">
        <v>0.0</v>
      </c>
      <c r="L278" s="24">
        <v>0.0</v>
      </c>
      <c r="M278" s="24">
        <v>0.0</v>
      </c>
      <c r="N278" s="24">
        <v>1.0</v>
      </c>
      <c r="O278" s="24">
        <v>0.0</v>
      </c>
      <c r="P278" s="24">
        <v>0.0</v>
      </c>
      <c r="Q278" s="24">
        <v>0.0</v>
      </c>
      <c r="R278" s="24">
        <v>0.0</v>
      </c>
      <c r="S278" s="24">
        <v>0.0</v>
      </c>
      <c r="T278" s="24">
        <v>0.0</v>
      </c>
      <c r="U278" s="24">
        <v>0.0</v>
      </c>
      <c r="V278" s="24">
        <v>1.0</v>
      </c>
      <c r="W278" s="24">
        <v>0.0</v>
      </c>
      <c r="X278" s="24">
        <v>0.0</v>
      </c>
      <c r="Y278" s="24">
        <v>0.0</v>
      </c>
      <c r="Z278" s="24">
        <v>0.0</v>
      </c>
      <c r="AA278" s="24">
        <v>0.0</v>
      </c>
      <c r="AB278" s="24">
        <v>1.0</v>
      </c>
      <c r="AC278" s="24">
        <v>0.0</v>
      </c>
      <c r="AD278" s="24">
        <v>0.0</v>
      </c>
      <c r="AE278" s="24">
        <v>0.0</v>
      </c>
      <c r="AF278" s="24">
        <v>0.0</v>
      </c>
      <c r="AG278" s="24">
        <v>0.0</v>
      </c>
      <c r="AH278" s="24">
        <v>0.0</v>
      </c>
      <c r="AI278" s="24">
        <v>1.0</v>
      </c>
      <c r="AJ278" s="24">
        <v>0.0</v>
      </c>
      <c r="AK278" s="24">
        <v>0.0</v>
      </c>
      <c r="AL278" s="24">
        <v>0.0</v>
      </c>
      <c r="AM278" s="24">
        <v>1.0</v>
      </c>
      <c r="AN278" s="24">
        <v>0.0</v>
      </c>
      <c r="AO278" s="57">
        <v>14.3</v>
      </c>
      <c r="AP278" s="26"/>
      <c r="AQ278" s="26"/>
      <c r="AR278" s="26"/>
      <c r="AS278" s="26"/>
      <c r="AT278" s="24">
        <v>0.0</v>
      </c>
      <c r="AU278" s="26"/>
      <c r="AV278" s="26"/>
      <c r="AW278" s="26"/>
      <c r="AX278" s="26"/>
      <c r="AY278" s="26"/>
      <c r="AZ278" s="26"/>
      <c r="BA278" s="26"/>
      <c r="BB278" s="24">
        <v>9.93</v>
      </c>
      <c r="BC278" s="26"/>
      <c r="BD278" s="26"/>
      <c r="BE278" s="26"/>
      <c r="BF278" s="26"/>
      <c r="BG278" s="26"/>
      <c r="BH278" s="24">
        <v>13.98</v>
      </c>
      <c r="BI278" s="26"/>
      <c r="BJ278" s="26"/>
      <c r="BK278" s="26"/>
      <c r="BL278" s="26"/>
      <c r="BM278" s="26"/>
      <c r="BN278" s="26"/>
      <c r="BO278" s="24">
        <v>0.27</v>
      </c>
      <c r="BP278" s="24">
        <v>0.68</v>
      </c>
      <c r="BQ278" s="24">
        <v>5.98</v>
      </c>
      <c r="BR278" s="24">
        <v>6.45</v>
      </c>
      <c r="BS278" s="57">
        <v>2.25</v>
      </c>
      <c r="BT278" s="77">
        <v>9.9</v>
      </c>
      <c r="BU278" s="57">
        <v>0.6</v>
      </c>
      <c r="BV278" s="57">
        <v>3.35</v>
      </c>
      <c r="BW278" s="26"/>
      <c r="BX278" s="24">
        <v>3000.0</v>
      </c>
      <c r="BY278" s="24" t="s">
        <v>123</v>
      </c>
      <c r="BZ278" s="28">
        <v>3000.0</v>
      </c>
      <c r="CA278" s="72"/>
      <c r="CB278" s="30">
        <v>3000.0</v>
      </c>
      <c r="CC278" s="112"/>
      <c r="CD278" s="28">
        <v>3000.0</v>
      </c>
      <c r="CE278" s="32" t="e">
        <v>#REF!</v>
      </c>
      <c r="CF278" s="33"/>
      <c r="CG278" s="34">
        <v>0.0</v>
      </c>
      <c r="CH278" s="35">
        <v>0.0</v>
      </c>
      <c r="CI278" s="36">
        <v>5.0</v>
      </c>
      <c r="CJ278" s="36">
        <v>8288.0</v>
      </c>
      <c r="CK278" s="37">
        <v>0.0</v>
      </c>
      <c r="CL278" s="36">
        <v>8288.0</v>
      </c>
      <c r="CM278" s="38">
        <v>72.0</v>
      </c>
      <c r="CN278" s="36">
        <v>0.0</v>
      </c>
      <c r="CO278" s="39">
        <v>14.3</v>
      </c>
      <c r="CP278" s="40">
        <v>0.0</v>
      </c>
      <c r="CQ278" s="36">
        <v>3.0</v>
      </c>
      <c r="CR278" s="36">
        <v>3.0</v>
      </c>
      <c r="CS278" s="36">
        <v>11.0</v>
      </c>
      <c r="CT278" s="41"/>
      <c r="CU278" s="42"/>
      <c r="CV278" s="43"/>
      <c r="CW278" s="44">
        <v>10.0</v>
      </c>
      <c r="CX278" s="44" t="s">
        <v>138</v>
      </c>
      <c r="CY278" s="44" t="s">
        <v>139</v>
      </c>
      <c r="CZ278" s="72"/>
      <c r="DA278" s="44">
        <v>3000.0</v>
      </c>
      <c r="DB278" s="44">
        <v>0.0</v>
      </c>
      <c r="DC278" s="46" t="s">
        <v>127</v>
      </c>
      <c r="DD278" s="47">
        <v>46240.0</v>
      </c>
      <c r="DE278" s="43"/>
      <c r="DF278" s="43"/>
      <c r="DG278" s="48" t="s">
        <v>128</v>
      </c>
      <c r="DH278" s="48" t="s">
        <v>128</v>
      </c>
      <c r="DI278" s="48" t="s">
        <v>128</v>
      </c>
      <c r="DJ278" s="49">
        <v>0.0</v>
      </c>
      <c r="DK278" s="48" t="b">
        <v>0</v>
      </c>
      <c r="DL278" s="50" t="s">
        <v>750</v>
      </c>
      <c r="DM278" s="50" t="s">
        <v>128</v>
      </c>
      <c r="DN278" s="50" t="s">
        <v>751</v>
      </c>
      <c r="DO278" s="49">
        <v>0.98</v>
      </c>
      <c r="DP278" s="48" t="s">
        <v>128</v>
      </c>
      <c r="DQ278" s="48" t="s">
        <v>128</v>
      </c>
      <c r="DR278" s="51"/>
      <c r="DS278" s="48" t="s">
        <v>134</v>
      </c>
    </row>
    <row r="279">
      <c r="A279" s="52" t="s">
        <v>118</v>
      </c>
      <c r="B279" s="53">
        <v>6.0</v>
      </c>
      <c r="C279" s="52" t="s">
        <v>747</v>
      </c>
      <c r="D279" s="53">
        <v>604008.0</v>
      </c>
      <c r="E279" s="52" t="s">
        <v>176</v>
      </c>
      <c r="F279" s="52" t="s">
        <v>768</v>
      </c>
      <c r="G279" s="52" t="s">
        <v>769</v>
      </c>
      <c r="H279" s="53">
        <v>1134.0</v>
      </c>
      <c r="I279" s="53">
        <v>1.0</v>
      </c>
      <c r="J279" s="53">
        <v>0.0</v>
      </c>
      <c r="K279" s="53">
        <v>0.0</v>
      </c>
      <c r="L279" s="53">
        <v>0.0</v>
      </c>
      <c r="M279" s="53">
        <v>0.0</v>
      </c>
      <c r="N279" s="53">
        <v>0.0</v>
      </c>
      <c r="O279" s="53">
        <v>0.0</v>
      </c>
      <c r="P279" s="53">
        <v>0.0</v>
      </c>
      <c r="Q279" s="53">
        <v>0.0</v>
      </c>
      <c r="R279" s="53">
        <v>0.0</v>
      </c>
      <c r="S279" s="53">
        <v>0.0</v>
      </c>
      <c r="T279" s="53">
        <v>0.0</v>
      </c>
      <c r="U279" s="53">
        <v>0.0</v>
      </c>
      <c r="V279" s="53">
        <v>0.0</v>
      </c>
      <c r="W279" s="53">
        <v>0.0</v>
      </c>
      <c r="X279" s="53">
        <v>0.0</v>
      </c>
      <c r="Y279" s="53">
        <v>0.0</v>
      </c>
      <c r="Z279" s="53">
        <v>0.0</v>
      </c>
      <c r="AA279" s="53">
        <v>0.0</v>
      </c>
      <c r="AB279" s="53">
        <v>0.0</v>
      </c>
      <c r="AC279" s="53">
        <v>0.0</v>
      </c>
      <c r="AD279" s="53">
        <v>0.0</v>
      </c>
      <c r="AE279" s="53">
        <v>1.0</v>
      </c>
      <c r="AF279" s="53">
        <v>0.0</v>
      </c>
      <c r="AG279" s="53">
        <v>0.0</v>
      </c>
      <c r="AH279" s="53">
        <v>0.0</v>
      </c>
      <c r="AI279" s="53">
        <v>0.0</v>
      </c>
      <c r="AJ279" s="53">
        <v>0.0</v>
      </c>
      <c r="AK279" s="53">
        <v>0.0</v>
      </c>
      <c r="AL279" s="53">
        <v>0.0</v>
      </c>
      <c r="AM279" s="53">
        <v>0.0</v>
      </c>
      <c r="AN279" s="53">
        <v>0.0</v>
      </c>
      <c r="AO279" s="57">
        <v>14.3</v>
      </c>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3">
        <v>14.27</v>
      </c>
      <c r="BL279" s="54"/>
      <c r="BM279" s="54"/>
      <c r="BN279" s="54"/>
      <c r="BO279" s="54"/>
      <c r="BP279" s="53">
        <v>1.02</v>
      </c>
      <c r="BQ279" s="53">
        <v>6.6</v>
      </c>
      <c r="BR279" s="53">
        <v>7.37</v>
      </c>
      <c r="BS279" s="57">
        <v>0.38</v>
      </c>
      <c r="BT279" s="81"/>
      <c r="BU279" s="54"/>
      <c r="BV279" s="54"/>
      <c r="BW279" s="54"/>
      <c r="BX279" s="53">
        <v>3000.0</v>
      </c>
      <c r="BY279" s="53" t="s">
        <v>123</v>
      </c>
      <c r="BZ279" s="58">
        <v>3000.0</v>
      </c>
      <c r="CA279" s="72"/>
      <c r="CB279" s="30">
        <v>3000.0</v>
      </c>
      <c r="CC279" s="31"/>
      <c r="CD279" s="58">
        <v>3000.0</v>
      </c>
      <c r="CE279" s="59" t="e">
        <v>#REF!</v>
      </c>
      <c r="CF279" s="60"/>
      <c r="CG279" s="61">
        <v>0.0</v>
      </c>
      <c r="CH279" s="62">
        <v>0.0</v>
      </c>
      <c r="CI279" s="63">
        <v>1.0</v>
      </c>
      <c r="CJ279" s="63">
        <v>8288.0</v>
      </c>
      <c r="CK279" s="64">
        <v>0.0</v>
      </c>
      <c r="CL279" s="63">
        <v>8288.0</v>
      </c>
      <c r="CM279" s="65">
        <v>14.0</v>
      </c>
      <c r="CN279" s="63">
        <v>0.0</v>
      </c>
      <c r="CO279" s="66">
        <v>14.3</v>
      </c>
      <c r="CP279" s="67">
        <v>0.0</v>
      </c>
      <c r="CQ279" s="63">
        <v>1.0</v>
      </c>
      <c r="CR279" s="63">
        <v>1.0</v>
      </c>
      <c r="CS279" s="63">
        <v>0.0</v>
      </c>
      <c r="CT279" s="68"/>
      <c r="CU279" s="69"/>
      <c r="CV279" s="70"/>
      <c r="CW279" s="71">
        <v>10.0</v>
      </c>
      <c r="CX279" s="71" t="s">
        <v>138</v>
      </c>
      <c r="CY279" s="71" t="s">
        <v>139</v>
      </c>
      <c r="CZ279" s="45"/>
      <c r="DA279" s="44">
        <v>3000.0</v>
      </c>
      <c r="DB279" s="44">
        <v>0.0</v>
      </c>
      <c r="DC279" s="43"/>
      <c r="DD279" s="78"/>
      <c r="DE279" s="43"/>
      <c r="DF279" s="43"/>
      <c r="DG279" s="48" t="s">
        <v>128</v>
      </c>
      <c r="DH279" s="48" t="s">
        <v>128</v>
      </c>
      <c r="DI279" s="48" t="s">
        <v>129</v>
      </c>
      <c r="DJ279" s="49">
        <v>0.0</v>
      </c>
      <c r="DK279" s="48" t="b">
        <v>0</v>
      </c>
      <c r="DL279" s="50" t="s">
        <v>750</v>
      </c>
      <c r="DM279" s="50" t="s">
        <v>128</v>
      </c>
      <c r="DN279" s="50" t="s">
        <v>751</v>
      </c>
      <c r="DO279" s="49">
        <v>0.98</v>
      </c>
      <c r="DP279" s="48" t="s">
        <v>128</v>
      </c>
      <c r="DQ279" s="48" t="s">
        <v>133</v>
      </c>
      <c r="DR279" s="51"/>
      <c r="DS279" s="48" t="s">
        <v>134</v>
      </c>
    </row>
    <row r="280">
      <c r="A280" s="23" t="s">
        <v>118</v>
      </c>
      <c r="B280" s="24">
        <v>6.0</v>
      </c>
      <c r="C280" s="23" t="s">
        <v>747</v>
      </c>
      <c r="D280" s="24">
        <v>631195.0</v>
      </c>
      <c r="E280" s="23" t="s">
        <v>140</v>
      </c>
      <c r="F280" s="23" t="s">
        <v>770</v>
      </c>
      <c r="G280" s="23" t="s">
        <v>771</v>
      </c>
      <c r="H280" s="24">
        <v>1134.0</v>
      </c>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7"/>
      <c r="BU280" s="26"/>
      <c r="BV280" s="26"/>
      <c r="BW280" s="26"/>
      <c r="BX280" s="24">
        <v>3000.0</v>
      </c>
      <c r="BY280" s="24" t="s">
        <v>123</v>
      </c>
      <c r="BZ280" s="28">
        <v>3000.0</v>
      </c>
      <c r="CA280" s="72"/>
      <c r="CB280" s="82"/>
      <c r="CC280" s="31"/>
      <c r="CD280" s="28">
        <v>3000.0</v>
      </c>
      <c r="CE280" s="88" t="s">
        <v>185</v>
      </c>
      <c r="CF280" s="33"/>
      <c r="CG280" s="34">
        <v>0.0</v>
      </c>
      <c r="CH280" s="89"/>
      <c r="CI280" s="36">
        <v>0.0</v>
      </c>
      <c r="CJ280" s="36">
        <v>8288.0</v>
      </c>
      <c r="CK280" s="37">
        <v>0.0</v>
      </c>
      <c r="CL280" s="36">
        <v>8288.0</v>
      </c>
      <c r="CM280" s="38">
        <v>0.0</v>
      </c>
      <c r="CN280" s="36">
        <v>0.0</v>
      </c>
      <c r="CO280" s="39">
        <v>0.0</v>
      </c>
      <c r="CP280" s="40">
        <v>0.0</v>
      </c>
      <c r="CQ280" s="36">
        <v>0.0</v>
      </c>
      <c r="CR280" s="36">
        <v>0.0</v>
      </c>
      <c r="CS280" s="36">
        <v>0.0</v>
      </c>
      <c r="CT280" s="41"/>
      <c r="CU280" s="42"/>
      <c r="CV280" s="43"/>
      <c r="CW280" s="44">
        <v>10.0</v>
      </c>
      <c r="CX280" s="44" t="s">
        <v>138</v>
      </c>
      <c r="CY280" s="44" t="s">
        <v>139</v>
      </c>
      <c r="CZ280" s="45"/>
      <c r="DA280" s="43"/>
      <c r="DB280" s="44">
        <v>0.0</v>
      </c>
      <c r="DC280" s="46" t="s">
        <v>127</v>
      </c>
      <c r="DD280" s="47">
        <v>46228.0</v>
      </c>
      <c r="DE280" s="43"/>
      <c r="DF280" s="43"/>
      <c r="DG280" s="48" t="s">
        <v>128</v>
      </c>
      <c r="DH280" s="48" t="s">
        <v>128</v>
      </c>
      <c r="DI280" s="85" t="str">
        <f>+ OFF 30 DIAS SIN VENTA</f>
        <v>#ERROR!</v>
      </c>
      <c r="DJ280" s="49">
        <v>0.0</v>
      </c>
      <c r="DK280" s="48" t="b">
        <v>0</v>
      </c>
      <c r="DL280" s="50" t="s">
        <v>750</v>
      </c>
      <c r="DM280" s="50" t="s">
        <v>128</v>
      </c>
      <c r="DN280" s="50" t="s">
        <v>751</v>
      </c>
      <c r="DO280" s="49">
        <v>0.98</v>
      </c>
      <c r="DP280" s="48" t="s">
        <v>128</v>
      </c>
      <c r="DQ280" s="86" t="str">
        <f>+ OFF 30 DIAS SIN VENTA</f>
        <v>#ERROR!</v>
      </c>
      <c r="DR280" s="51"/>
      <c r="DS280" s="48" t="s">
        <v>134</v>
      </c>
    </row>
    <row r="281">
      <c r="A281" s="52" t="s">
        <v>118</v>
      </c>
      <c r="B281" s="53">
        <v>6.0</v>
      </c>
      <c r="C281" s="52" t="s">
        <v>747</v>
      </c>
      <c r="D281" s="53">
        <v>680603.0</v>
      </c>
      <c r="E281" s="52" t="s">
        <v>182</v>
      </c>
      <c r="F281" s="52" t="s">
        <v>772</v>
      </c>
      <c r="G281" s="52" t="s">
        <v>773</v>
      </c>
      <c r="H281" s="53">
        <v>1134.0</v>
      </c>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81"/>
      <c r="BU281" s="54"/>
      <c r="BV281" s="54"/>
      <c r="BW281" s="54"/>
      <c r="BX281" s="53">
        <v>3000.0</v>
      </c>
      <c r="BY281" s="53" t="s">
        <v>123</v>
      </c>
      <c r="BZ281" s="58">
        <v>3000.0</v>
      </c>
      <c r="CA281" s="72"/>
      <c r="CB281" s="82"/>
      <c r="CC281" s="31"/>
      <c r="CD281" s="58">
        <v>3000.0</v>
      </c>
      <c r="CE281" s="83" t="s">
        <v>185</v>
      </c>
      <c r="CF281" s="60"/>
      <c r="CG281" s="61">
        <v>0.0</v>
      </c>
      <c r="CH281" s="84"/>
      <c r="CI281" s="63">
        <v>0.0</v>
      </c>
      <c r="CJ281" s="63">
        <v>8288.0</v>
      </c>
      <c r="CK281" s="64">
        <v>0.0</v>
      </c>
      <c r="CL281" s="63">
        <v>8288.0</v>
      </c>
      <c r="CM281" s="65">
        <v>0.0</v>
      </c>
      <c r="CN281" s="63">
        <v>0.0</v>
      </c>
      <c r="CO281" s="66">
        <v>0.0</v>
      </c>
      <c r="CP281" s="67">
        <v>0.0</v>
      </c>
      <c r="CQ281" s="63">
        <v>0.0</v>
      </c>
      <c r="CR281" s="63">
        <v>0.0</v>
      </c>
      <c r="CS281" s="63">
        <v>0.0</v>
      </c>
      <c r="CT281" s="68"/>
      <c r="CU281" s="69"/>
      <c r="CV281" s="70"/>
      <c r="CW281" s="71">
        <v>10.0</v>
      </c>
      <c r="CX281" s="71" t="s">
        <v>138</v>
      </c>
      <c r="CY281" s="71" t="s">
        <v>139</v>
      </c>
      <c r="CZ281" s="45"/>
      <c r="DA281" s="43"/>
      <c r="DB281" s="44">
        <v>0.0</v>
      </c>
      <c r="DC281" s="43"/>
      <c r="DD281" s="78"/>
      <c r="DE281" s="43"/>
      <c r="DF281" s="43"/>
      <c r="DG281" s="48" t="s">
        <v>128</v>
      </c>
      <c r="DH281" s="48" t="s">
        <v>128</v>
      </c>
      <c r="DI281" s="85" t="str">
        <f>+ OFF 30 DIAS SIN VENTA</f>
        <v>#ERROR!</v>
      </c>
      <c r="DJ281" s="49">
        <v>1.0</v>
      </c>
      <c r="DK281" s="48" t="b">
        <v>0</v>
      </c>
      <c r="DL281" s="50" t="s">
        <v>750</v>
      </c>
      <c r="DM281" s="50" t="s">
        <v>128</v>
      </c>
      <c r="DN281" s="50" t="s">
        <v>751</v>
      </c>
      <c r="DO281" s="49">
        <v>0.98</v>
      </c>
      <c r="DP281" s="48" t="s">
        <v>128</v>
      </c>
      <c r="DQ281" s="86" t="str">
        <f>+ OFF 30 DIAS SIN VENTA</f>
        <v>#ERROR!</v>
      </c>
      <c r="DR281" s="51"/>
      <c r="DS281" s="48" t="s">
        <v>134</v>
      </c>
    </row>
    <row r="282">
      <c r="A282" s="23" t="s">
        <v>118</v>
      </c>
      <c r="B282" s="24">
        <v>6.0</v>
      </c>
      <c r="C282" s="23" t="s">
        <v>747</v>
      </c>
      <c r="D282" s="24">
        <v>626041.0</v>
      </c>
      <c r="E282" s="23" t="s">
        <v>135</v>
      </c>
      <c r="F282" s="23" t="s">
        <v>774</v>
      </c>
      <c r="G282" s="23" t="s">
        <v>775</v>
      </c>
      <c r="H282" s="24">
        <v>1134.0</v>
      </c>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7"/>
      <c r="BU282" s="26"/>
      <c r="BV282" s="26"/>
      <c r="BW282" s="26"/>
      <c r="BX282" s="24">
        <v>1.0</v>
      </c>
      <c r="BY282" s="24" t="s">
        <v>123</v>
      </c>
      <c r="BZ282" s="87">
        <v>1.0</v>
      </c>
      <c r="CA282" s="72"/>
      <c r="CB282" s="82"/>
      <c r="CC282" s="31"/>
      <c r="CD282" s="28">
        <v>1.0</v>
      </c>
      <c r="CE282" s="88" t="s">
        <v>185</v>
      </c>
      <c r="CF282" s="33"/>
      <c r="CG282" s="34">
        <v>0.0</v>
      </c>
      <c r="CH282" s="89"/>
      <c r="CI282" s="36">
        <v>0.0</v>
      </c>
      <c r="CJ282" s="36">
        <v>8288.0</v>
      </c>
      <c r="CK282" s="37">
        <v>0.0</v>
      </c>
      <c r="CL282" s="36">
        <v>8288.0</v>
      </c>
      <c r="CM282" s="38">
        <v>0.0</v>
      </c>
      <c r="CN282" s="36">
        <v>0.0</v>
      </c>
      <c r="CO282" s="39">
        <v>0.0</v>
      </c>
      <c r="CP282" s="40">
        <v>0.0</v>
      </c>
      <c r="CQ282" s="36">
        <v>0.0</v>
      </c>
      <c r="CR282" s="36">
        <v>0.0</v>
      </c>
      <c r="CS282" s="36">
        <v>0.0</v>
      </c>
      <c r="CT282" s="41"/>
      <c r="CU282" s="42"/>
      <c r="CV282" s="43"/>
      <c r="CW282" s="44">
        <v>1.0</v>
      </c>
      <c r="CX282" s="44">
        <v>1.0</v>
      </c>
      <c r="CY282" s="44">
        <v>0.1</v>
      </c>
      <c r="CZ282" s="45"/>
      <c r="DA282" s="43"/>
      <c r="DB282" s="44">
        <v>0.0</v>
      </c>
      <c r="DC282" s="43"/>
      <c r="DD282" s="78"/>
      <c r="DE282" s="43"/>
      <c r="DF282" s="43"/>
      <c r="DG282" s="48" t="s">
        <v>128</v>
      </c>
      <c r="DH282" s="48" t="s">
        <v>131</v>
      </c>
      <c r="DI282" s="48" t="s">
        <v>188</v>
      </c>
      <c r="DJ282" s="49">
        <v>1.0</v>
      </c>
      <c r="DK282" s="48" t="b">
        <v>0</v>
      </c>
      <c r="DL282" s="50" t="s">
        <v>750</v>
      </c>
      <c r="DM282" s="50" t="s">
        <v>128</v>
      </c>
      <c r="DN282" s="50" t="s">
        <v>751</v>
      </c>
      <c r="DO282" s="49">
        <v>0.98</v>
      </c>
      <c r="DP282" s="51"/>
      <c r="DQ282" s="48" t="s">
        <v>188</v>
      </c>
      <c r="DR282" s="51"/>
      <c r="DS282" s="48" t="s">
        <v>134</v>
      </c>
    </row>
    <row r="283">
      <c r="A283" s="52" t="s">
        <v>118</v>
      </c>
      <c r="B283" s="53">
        <v>6.0</v>
      </c>
      <c r="C283" s="52" t="s">
        <v>747</v>
      </c>
      <c r="D283" s="53">
        <v>639495.0</v>
      </c>
      <c r="E283" s="52" t="s">
        <v>155</v>
      </c>
      <c r="F283" s="52" t="s">
        <v>776</v>
      </c>
      <c r="G283" s="52" t="s">
        <v>777</v>
      </c>
      <c r="H283" s="53">
        <v>1134.0</v>
      </c>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81"/>
      <c r="BU283" s="54"/>
      <c r="BV283" s="54"/>
      <c r="BW283" s="54"/>
      <c r="BX283" s="53">
        <v>3000.0</v>
      </c>
      <c r="BY283" s="53" t="s">
        <v>123</v>
      </c>
      <c r="BZ283" s="58">
        <v>3000.0</v>
      </c>
      <c r="CA283" s="72"/>
      <c r="CB283" s="82"/>
      <c r="CC283" s="31"/>
      <c r="CD283" s="58">
        <v>3000.0</v>
      </c>
      <c r="CE283" s="83" t="s">
        <v>185</v>
      </c>
      <c r="CF283" s="60"/>
      <c r="CG283" s="61">
        <v>0.0</v>
      </c>
      <c r="CH283" s="84"/>
      <c r="CI283" s="63">
        <v>0.0</v>
      </c>
      <c r="CJ283" s="63">
        <v>8288.0</v>
      </c>
      <c r="CK283" s="64">
        <v>0.0</v>
      </c>
      <c r="CL283" s="63">
        <v>8288.0</v>
      </c>
      <c r="CM283" s="65">
        <v>0.0</v>
      </c>
      <c r="CN283" s="63">
        <v>0.0</v>
      </c>
      <c r="CO283" s="66">
        <v>0.0</v>
      </c>
      <c r="CP283" s="67">
        <v>0.0</v>
      </c>
      <c r="CQ283" s="63">
        <v>0.0</v>
      </c>
      <c r="CR283" s="63">
        <v>0.0</v>
      </c>
      <c r="CS283" s="63">
        <v>0.0</v>
      </c>
      <c r="CT283" s="68"/>
      <c r="CU283" s="69"/>
      <c r="CV283" s="70"/>
      <c r="CW283" s="71">
        <v>10.0</v>
      </c>
      <c r="CX283" s="71" t="s">
        <v>138</v>
      </c>
      <c r="CY283" s="71" t="s">
        <v>139</v>
      </c>
      <c r="CZ283" s="45"/>
      <c r="DA283" s="43"/>
      <c r="DB283" s="44">
        <v>0.0</v>
      </c>
      <c r="DC283" s="46" t="s">
        <v>127</v>
      </c>
      <c r="DD283" s="47">
        <v>46197.0</v>
      </c>
      <c r="DE283" s="43"/>
      <c r="DF283" s="43"/>
      <c r="DG283" s="48" t="s">
        <v>128</v>
      </c>
      <c r="DH283" s="48" t="s">
        <v>128</v>
      </c>
      <c r="DI283" s="48" t="s">
        <v>128</v>
      </c>
      <c r="DJ283" s="49">
        <v>1.0</v>
      </c>
      <c r="DK283" s="48" t="b">
        <v>0</v>
      </c>
      <c r="DL283" s="50" t="s">
        <v>750</v>
      </c>
      <c r="DM283" s="50" t="s">
        <v>128</v>
      </c>
      <c r="DN283" s="50" t="s">
        <v>751</v>
      </c>
      <c r="DO283" s="49">
        <v>0.98</v>
      </c>
      <c r="DP283" s="48" t="s">
        <v>128</v>
      </c>
      <c r="DQ283" s="48" t="s">
        <v>128</v>
      </c>
      <c r="DR283" s="48" t="s">
        <v>526</v>
      </c>
      <c r="DS283" s="48" t="s">
        <v>134</v>
      </c>
    </row>
    <row r="284">
      <c r="A284" s="23" t="s">
        <v>118</v>
      </c>
      <c r="B284" s="24">
        <v>6.0</v>
      </c>
      <c r="C284" s="23" t="s">
        <v>747</v>
      </c>
      <c r="D284" s="24">
        <v>641892.0</v>
      </c>
      <c r="E284" s="23" t="s">
        <v>170</v>
      </c>
      <c r="F284" s="23" t="s">
        <v>778</v>
      </c>
      <c r="G284" s="23" t="s">
        <v>779</v>
      </c>
      <c r="H284" s="24">
        <v>33071.0</v>
      </c>
      <c r="I284" s="24">
        <v>10.0</v>
      </c>
      <c r="J284" s="24">
        <v>0.0</v>
      </c>
      <c r="K284" s="24">
        <v>0.0</v>
      </c>
      <c r="L284" s="24">
        <v>0.0</v>
      </c>
      <c r="M284" s="24">
        <v>0.0</v>
      </c>
      <c r="N284" s="24">
        <v>0.0</v>
      </c>
      <c r="O284" s="24">
        <v>0.0</v>
      </c>
      <c r="P284" s="24">
        <v>0.0</v>
      </c>
      <c r="Q284" s="24">
        <v>2.0</v>
      </c>
      <c r="R284" s="24">
        <v>0.0</v>
      </c>
      <c r="S284" s="24">
        <v>0.0</v>
      </c>
      <c r="T284" s="24">
        <v>0.0</v>
      </c>
      <c r="U284" s="24">
        <v>2.0</v>
      </c>
      <c r="V284" s="24">
        <v>1.0</v>
      </c>
      <c r="W284" s="24">
        <v>0.0</v>
      </c>
      <c r="X284" s="24">
        <v>0.0</v>
      </c>
      <c r="Y284" s="24">
        <v>0.0</v>
      </c>
      <c r="Z284" s="24">
        <v>2.0</v>
      </c>
      <c r="AA284" s="24">
        <v>0.0</v>
      </c>
      <c r="AB284" s="24">
        <v>0.0</v>
      </c>
      <c r="AC284" s="24">
        <v>0.0</v>
      </c>
      <c r="AD284" s="24">
        <v>0.0</v>
      </c>
      <c r="AE284" s="24">
        <v>0.0</v>
      </c>
      <c r="AF284" s="24">
        <v>2.0</v>
      </c>
      <c r="AG284" s="24">
        <v>0.0</v>
      </c>
      <c r="AH284" s="24">
        <v>0.0</v>
      </c>
      <c r="AI284" s="24">
        <v>0.0</v>
      </c>
      <c r="AJ284" s="24">
        <v>0.0</v>
      </c>
      <c r="AK284" s="24">
        <v>0.0</v>
      </c>
      <c r="AL284" s="24">
        <v>0.0</v>
      </c>
      <c r="AM284" s="24">
        <v>0.0</v>
      </c>
      <c r="AN284" s="24">
        <v>1.0</v>
      </c>
      <c r="AO284" s="25">
        <v>22.5</v>
      </c>
      <c r="AP284" s="26"/>
      <c r="AQ284" s="26"/>
      <c r="AR284" s="26"/>
      <c r="AS284" s="26"/>
      <c r="AT284" s="26"/>
      <c r="AU284" s="26"/>
      <c r="AV284" s="26"/>
      <c r="AW284" s="24">
        <v>23.76</v>
      </c>
      <c r="AX284" s="26"/>
      <c r="AY284" s="26"/>
      <c r="AZ284" s="26"/>
      <c r="BA284" s="24">
        <v>31.58</v>
      </c>
      <c r="BB284" s="24">
        <v>17.0</v>
      </c>
      <c r="BC284" s="26"/>
      <c r="BD284" s="26"/>
      <c r="BE284" s="26"/>
      <c r="BF284" s="24">
        <v>19.42</v>
      </c>
      <c r="BG284" s="26"/>
      <c r="BH284" s="26"/>
      <c r="BI284" s="26"/>
      <c r="BJ284" s="26"/>
      <c r="BK284" s="26"/>
      <c r="BL284" s="24">
        <v>19.78</v>
      </c>
      <c r="BM284" s="26"/>
      <c r="BN284" s="26"/>
      <c r="BO284" s="24">
        <v>0.32</v>
      </c>
      <c r="BP284" s="24">
        <v>0.78</v>
      </c>
      <c r="BQ284" s="24">
        <v>5.08</v>
      </c>
      <c r="BR284" s="24">
        <v>5.66</v>
      </c>
      <c r="BS284" s="25">
        <v>11.43</v>
      </c>
      <c r="BT284" s="56">
        <v>26.7</v>
      </c>
      <c r="BU284" s="25">
        <v>16.6</v>
      </c>
      <c r="BV284" s="57">
        <v>4.22</v>
      </c>
      <c r="BW284" s="26"/>
      <c r="BX284" s="24">
        <v>3000.0</v>
      </c>
      <c r="BY284" s="24" t="s">
        <v>123</v>
      </c>
      <c r="BZ284" s="108">
        <v>2700.0</v>
      </c>
      <c r="CA284" s="29" t="s">
        <v>124</v>
      </c>
      <c r="CB284" s="30">
        <v>1.0</v>
      </c>
      <c r="CC284" s="31"/>
      <c r="CD284" s="28">
        <v>1.0</v>
      </c>
      <c r="CE284" s="32" t="e">
        <v>#REF!</v>
      </c>
      <c r="CF284" s="109">
        <v>-2999.0</v>
      </c>
      <c r="CG284" s="34">
        <v>-10.0</v>
      </c>
      <c r="CH284" s="35">
        <v>-1.0</v>
      </c>
      <c r="CI284" s="36">
        <v>0.0</v>
      </c>
      <c r="CJ284" s="36">
        <v>2502.0</v>
      </c>
      <c r="CK284" s="37">
        <v>-13.0</v>
      </c>
      <c r="CL284" s="36">
        <v>2489.0</v>
      </c>
      <c r="CM284" s="38">
        <v>225.0</v>
      </c>
      <c r="CN284" s="110"/>
      <c r="CO284" s="39">
        <v>0.0</v>
      </c>
      <c r="CP284" s="40">
        <v>-22.5</v>
      </c>
      <c r="CQ284" s="36">
        <v>8.0</v>
      </c>
      <c r="CR284" s="36">
        <v>0.0</v>
      </c>
      <c r="CS284" s="36">
        <v>0.0</v>
      </c>
      <c r="CT284" s="41"/>
      <c r="CU284" s="42"/>
      <c r="CV284" s="43"/>
      <c r="CW284" s="44">
        <v>1.0</v>
      </c>
      <c r="CX284" s="44">
        <v>1.0</v>
      </c>
      <c r="CY284" s="44">
        <v>0.1</v>
      </c>
      <c r="CZ284" s="107" t="s">
        <v>124</v>
      </c>
      <c r="DA284" s="44">
        <v>1.0</v>
      </c>
      <c r="DB284" s="44">
        <v>0.0</v>
      </c>
      <c r="DC284" s="43"/>
      <c r="DD284" s="78"/>
      <c r="DE284" s="43"/>
      <c r="DF284" s="43"/>
      <c r="DG284" s="48" t="s">
        <v>128</v>
      </c>
      <c r="DH284" s="48" t="s">
        <v>128</v>
      </c>
      <c r="DI284" s="48" t="s">
        <v>128</v>
      </c>
      <c r="DJ284" s="49">
        <v>0.0</v>
      </c>
      <c r="DK284" s="48" t="b">
        <v>0</v>
      </c>
      <c r="DL284" s="50" t="s">
        <v>780</v>
      </c>
      <c r="DM284" s="50" t="s">
        <v>128</v>
      </c>
      <c r="DN284" s="50" t="s">
        <v>781</v>
      </c>
      <c r="DO284" s="49">
        <v>0.99</v>
      </c>
      <c r="DP284" s="48" t="s">
        <v>128</v>
      </c>
      <c r="DQ284" s="48" t="s">
        <v>417</v>
      </c>
      <c r="DR284" s="48" t="s">
        <v>526</v>
      </c>
      <c r="DS284" s="48" t="s">
        <v>134</v>
      </c>
    </row>
    <row r="285">
      <c r="A285" s="52" t="s">
        <v>118</v>
      </c>
      <c r="B285" s="53">
        <v>6.0</v>
      </c>
      <c r="C285" s="52" t="s">
        <v>747</v>
      </c>
      <c r="D285" s="53">
        <v>669823.0</v>
      </c>
      <c r="E285" s="52" t="s">
        <v>214</v>
      </c>
      <c r="F285" s="52" t="s">
        <v>782</v>
      </c>
      <c r="G285" s="52" t="s">
        <v>783</v>
      </c>
      <c r="H285" s="53">
        <v>33071.0</v>
      </c>
      <c r="I285" s="53">
        <v>3.0</v>
      </c>
      <c r="J285" s="53">
        <v>0.0</v>
      </c>
      <c r="K285" s="53">
        <v>0.0</v>
      </c>
      <c r="L285" s="53">
        <v>0.0</v>
      </c>
      <c r="M285" s="53">
        <v>0.0</v>
      </c>
      <c r="N285" s="53">
        <v>0.0</v>
      </c>
      <c r="O285" s="53">
        <v>1.0</v>
      </c>
      <c r="P285" s="53">
        <v>0.0</v>
      </c>
      <c r="Q285" s="53">
        <v>0.0</v>
      </c>
      <c r="R285" s="53">
        <v>0.0</v>
      </c>
      <c r="S285" s="53">
        <v>0.0</v>
      </c>
      <c r="T285" s="53">
        <v>0.0</v>
      </c>
      <c r="U285" s="53">
        <v>0.0</v>
      </c>
      <c r="V285" s="53">
        <v>0.0</v>
      </c>
      <c r="W285" s="53">
        <v>0.0</v>
      </c>
      <c r="X285" s="53">
        <v>0.0</v>
      </c>
      <c r="Y285" s="53">
        <v>0.0</v>
      </c>
      <c r="Z285" s="53">
        <v>0.0</v>
      </c>
      <c r="AA285" s="53">
        <v>0.0</v>
      </c>
      <c r="AB285" s="53">
        <v>2.0</v>
      </c>
      <c r="AC285" s="53">
        <v>0.0</v>
      </c>
      <c r="AD285" s="53">
        <v>0.0</v>
      </c>
      <c r="AE285" s="53">
        <v>0.0</v>
      </c>
      <c r="AF285" s="53">
        <v>0.0</v>
      </c>
      <c r="AG285" s="53">
        <v>0.0</v>
      </c>
      <c r="AH285" s="53">
        <v>0.0</v>
      </c>
      <c r="AI285" s="53">
        <v>0.0</v>
      </c>
      <c r="AJ285" s="53">
        <v>0.0</v>
      </c>
      <c r="AK285" s="53">
        <v>0.0</v>
      </c>
      <c r="AL285" s="53">
        <v>0.0</v>
      </c>
      <c r="AM285" s="53">
        <v>0.0</v>
      </c>
      <c r="AN285" s="53">
        <v>0.0</v>
      </c>
      <c r="AO285" s="25">
        <v>20.8</v>
      </c>
      <c r="AP285" s="54"/>
      <c r="AQ285" s="54"/>
      <c r="AR285" s="54"/>
      <c r="AS285" s="54"/>
      <c r="AT285" s="54"/>
      <c r="AU285" s="53">
        <v>18.5</v>
      </c>
      <c r="AV285" s="54"/>
      <c r="AW285" s="54"/>
      <c r="AX285" s="54"/>
      <c r="AY285" s="54"/>
      <c r="AZ285" s="54"/>
      <c r="BA285" s="54"/>
      <c r="BB285" s="54"/>
      <c r="BC285" s="54"/>
      <c r="BD285" s="54"/>
      <c r="BE285" s="54"/>
      <c r="BF285" s="54"/>
      <c r="BG285" s="54"/>
      <c r="BH285" s="53">
        <v>21.89</v>
      </c>
      <c r="BI285" s="54"/>
      <c r="BJ285" s="54"/>
      <c r="BK285" s="54"/>
      <c r="BL285" s="54"/>
      <c r="BM285" s="54"/>
      <c r="BN285" s="54"/>
      <c r="BO285" s="54"/>
      <c r="BP285" s="53">
        <v>1.06</v>
      </c>
      <c r="BQ285" s="53">
        <v>5.61</v>
      </c>
      <c r="BR285" s="53">
        <v>6.47</v>
      </c>
      <c r="BS285" s="25">
        <v>9.16</v>
      </c>
      <c r="BT285" s="56">
        <v>20.8</v>
      </c>
      <c r="BU285" s="25">
        <v>9.2</v>
      </c>
      <c r="BV285" s="57">
        <v>4.61</v>
      </c>
      <c r="BW285" s="54"/>
      <c r="BX285" s="53">
        <v>3000.0</v>
      </c>
      <c r="BY285" s="53" t="s">
        <v>123</v>
      </c>
      <c r="BZ285" s="108">
        <v>2700.0</v>
      </c>
      <c r="CA285" s="29" t="s">
        <v>124</v>
      </c>
      <c r="CB285" s="30">
        <v>1.0</v>
      </c>
      <c r="CC285" s="31"/>
      <c r="CD285" s="58">
        <v>1.0</v>
      </c>
      <c r="CE285" s="59" t="e">
        <v>#REF!</v>
      </c>
      <c r="CF285" s="105">
        <v>-2999.0</v>
      </c>
      <c r="CG285" s="61">
        <v>-3.0</v>
      </c>
      <c r="CH285" s="62">
        <v>-1.0</v>
      </c>
      <c r="CI285" s="63">
        <v>0.0</v>
      </c>
      <c r="CJ285" s="63">
        <v>2502.0</v>
      </c>
      <c r="CK285" s="64">
        <v>-13.0</v>
      </c>
      <c r="CL285" s="63">
        <v>2489.0</v>
      </c>
      <c r="CM285" s="65">
        <v>62.0</v>
      </c>
      <c r="CN285" s="106"/>
      <c r="CO285" s="66">
        <v>0.0</v>
      </c>
      <c r="CP285" s="67">
        <v>-20.8</v>
      </c>
      <c r="CQ285" s="63">
        <v>3.0</v>
      </c>
      <c r="CR285" s="63">
        <v>0.0</v>
      </c>
      <c r="CS285" s="63">
        <v>0.0</v>
      </c>
      <c r="CT285" s="68"/>
      <c r="CU285" s="69"/>
      <c r="CV285" s="70"/>
      <c r="CW285" s="71">
        <v>1.0</v>
      </c>
      <c r="CX285" s="71">
        <v>1.0</v>
      </c>
      <c r="CY285" s="71">
        <v>0.1</v>
      </c>
      <c r="CZ285" s="107" t="s">
        <v>124</v>
      </c>
      <c r="DA285" s="44">
        <v>1.0</v>
      </c>
      <c r="DB285" s="44">
        <v>0.0</v>
      </c>
      <c r="DC285" s="43"/>
      <c r="DD285" s="78"/>
      <c r="DE285" s="43"/>
      <c r="DF285" s="43"/>
      <c r="DG285" s="48" t="s">
        <v>128</v>
      </c>
      <c r="DH285" s="48" t="s">
        <v>128</v>
      </c>
      <c r="DI285" s="48" t="s">
        <v>128</v>
      </c>
      <c r="DJ285" s="49">
        <v>1.0</v>
      </c>
      <c r="DK285" s="48" t="b">
        <v>0</v>
      </c>
      <c r="DL285" s="50" t="s">
        <v>780</v>
      </c>
      <c r="DM285" s="50" t="s">
        <v>128</v>
      </c>
      <c r="DN285" s="50" t="s">
        <v>781</v>
      </c>
      <c r="DO285" s="49">
        <v>0.99</v>
      </c>
      <c r="DP285" s="48" t="s">
        <v>128</v>
      </c>
      <c r="DQ285" s="48" t="s">
        <v>417</v>
      </c>
      <c r="DR285" s="48" t="s">
        <v>526</v>
      </c>
      <c r="DS285" s="48" t="s">
        <v>134</v>
      </c>
    </row>
    <row r="286">
      <c r="A286" s="23" t="s">
        <v>118</v>
      </c>
      <c r="B286" s="24">
        <v>6.0</v>
      </c>
      <c r="C286" s="23" t="s">
        <v>747</v>
      </c>
      <c r="D286" s="24">
        <v>604008.0</v>
      </c>
      <c r="E286" s="23" t="s">
        <v>176</v>
      </c>
      <c r="F286" s="23" t="s">
        <v>784</v>
      </c>
      <c r="G286" s="23" t="s">
        <v>785</v>
      </c>
      <c r="H286" s="24">
        <v>33071.0</v>
      </c>
      <c r="I286" s="24">
        <v>1.0</v>
      </c>
      <c r="J286" s="24">
        <v>0.0</v>
      </c>
      <c r="K286" s="24">
        <v>0.0</v>
      </c>
      <c r="L286" s="24">
        <v>1.0</v>
      </c>
      <c r="M286" s="24">
        <v>0.0</v>
      </c>
      <c r="N286" s="24">
        <v>0.0</v>
      </c>
      <c r="O286" s="24">
        <v>0.0</v>
      </c>
      <c r="P286" s="24">
        <v>0.0</v>
      </c>
      <c r="Q286" s="24">
        <v>0.0</v>
      </c>
      <c r="R286" s="24">
        <v>0.0</v>
      </c>
      <c r="S286" s="24">
        <v>0.0</v>
      </c>
      <c r="T286" s="24">
        <v>0.0</v>
      </c>
      <c r="U286" s="24">
        <v>0.0</v>
      </c>
      <c r="V286" s="24">
        <v>0.0</v>
      </c>
      <c r="W286" s="24">
        <v>0.0</v>
      </c>
      <c r="X286" s="24">
        <v>0.0</v>
      </c>
      <c r="Y286" s="24">
        <v>0.0</v>
      </c>
      <c r="Z286" s="24">
        <v>0.0</v>
      </c>
      <c r="AA286" s="24">
        <v>0.0</v>
      </c>
      <c r="AB286" s="24">
        <v>0.0</v>
      </c>
      <c r="AC286" s="24">
        <v>0.0</v>
      </c>
      <c r="AD286" s="24">
        <v>0.0</v>
      </c>
      <c r="AE286" s="24">
        <v>0.0</v>
      </c>
      <c r="AF286" s="24">
        <v>0.0</v>
      </c>
      <c r="AG286" s="24">
        <v>0.0</v>
      </c>
      <c r="AH286" s="24">
        <v>0.0</v>
      </c>
      <c r="AI286" s="24">
        <v>0.0</v>
      </c>
      <c r="AJ286" s="24">
        <v>0.0</v>
      </c>
      <c r="AK286" s="24">
        <v>0.0</v>
      </c>
      <c r="AL286" s="24">
        <v>0.0</v>
      </c>
      <c r="AM286" s="24">
        <v>0.0</v>
      </c>
      <c r="AN286" s="24">
        <v>0.0</v>
      </c>
      <c r="AO286" s="25">
        <v>25.4</v>
      </c>
      <c r="AP286" s="26"/>
      <c r="AQ286" s="26"/>
      <c r="AR286" s="24">
        <v>25.35</v>
      </c>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4">
        <v>0.82</v>
      </c>
      <c r="BQ286" s="24">
        <v>13.45</v>
      </c>
      <c r="BR286" s="24">
        <v>14.07</v>
      </c>
      <c r="BS286" s="25">
        <v>8.5</v>
      </c>
      <c r="BT286" s="56">
        <v>25.4</v>
      </c>
      <c r="BU286" s="25">
        <v>8.5</v>
      </c>
      <c r="BV286" s="57">
        <v>2.58</v>
      </c>
      <c r="BW286" s="26"/>
      <c r="BX286" s="24">
        <v>3000.0</v>
      </c>
      <c r="BY286" s="24" t="s">
        <v>123</v>
      </c>
      <c r="BZ286" s="28">
        <v>2700.0</v>
      </c>
      <c r="CA286" s="29" t="s">
        <v>124</v>
      </c>
      <c r="CB286" s="30">
        <v>3000.0</v>
      </c>
      <c r="CC286" s="31"/>
      <c r="CD286" s="28">
        <v>3000.0</v>
      </c>
      <c r="CE286" s="32" t="e">
        <v>#REF!</v>
      </c>
      <c r="CF286" s="33"/>
      <c r="CG286" s="34">
        <v>0.0</v>
      </c>
      <c r="CH286" s="35">
        <v>0.0</v>
      </c>
      <c r="CI286" s="36">
        <v>1.0</v>
      </c>
      <c r="CJ286" s="36">
        <v>2502.0</v>
      </c>
      <c r="CK286" s="37">
        <v>-13.0</v>
      </c>
      <c r="CL286" s="36">
        <v>2489.0</v>
      </c>
      <c r="CM286" s="38">
        <v>25.0</v>
      </c>
      <c r="CN286" s="36">
        <v>0.0</v>
      </c>
      <c r="CO286" s="39">
        <v>25.4</v>
      </c>
      <c r="CP286" s="40">
        <v>0.0</v>
      </c>
      <c r="CQ286" s="36">
        <v>1.0</v>
      </c>
      <c r="CR286" s="36">
        <v>1.0</v>
      </c>
      <c r="CS286" s="36">
        <v>9.0</v>
      </c>
      <c r="CT286" s="41"/>
      <c r="CU286" s="42"/>
      <c r="CV286" s="43"/>
      <c r="CW286" s="44">
        <v>10.0</v>
      </c>
      <c r="CX286" s="44" t="s">
        <v>138</v>
      </c>
      <c r="CY286" s="44" t="s">
        <v>139</v>
      </c>
      <c r="CZ286" s="45"/>
      <c r="DA286" s="44">
        <v>2700.0</v>
      </c>
      <c r="DB286" s="44">
        <v>0.0</v>
      </c>
      <c r="DC286" s="43"/>
      <c r="DD286" s="78"/>
      <c r="DE286" s="43"/>
      <c r="DF286" s="43"/>
      <c r="DG286" s="48" t="s">
        <v>128</v>
      </c>
      <c r="DH286" s="48" t="s">
        <v>128</v>
      </c>
      <c r="DI286" s="48" t="s">
        <v>128</v>
      </c>
      <c r="DJ286" s="49">
        <v>0.0</v>
      </c>
      <c r="DK286" s="48" t="b">
        <v>0</v>
      </c>
      <c r="DL286" s="50" t="s">
        <v>780</v>
      </c>
      <c r="DM286" s="50" t="s">
        <v>128</v>
      </c>
      <c r="DN286" s="50" t="s">
        <v>781</v>
      </c>
      <c r="DO286" s="49">
        <v>0.99</v>
      </c>
      <c r="DP286" s="48" t="s">
        <v>128</v>
      </c>
      <c r="DQ286" s="48" t="s">
        <v>128</v>
      </c>
      <c r="DR286" s="51"/>
      <c r="DS286" s="48" t="s">
        <v>134</v>
      </c>
    </row>
    <row r="287">
      <c r="A287" s="52" t="s">
        <v>118</v>
      </c>
      <c r="B287" s="53">
        <v>6.0</v>
      </c>
      <c r="C287" s="52" t="s">
        <v>747</v>
      </c>
      <c r="D287" s="53">
        <v>680607.0</v>
      </c>
      <c r="E287" s="52" t="s">
        <v>246</v>
      </c>
      <c r="F287" s="52" t="s">
        <v>786</v>
      </c>
      <c r="G287" s="52" t="s">
        <v>787</v>
      </c>
      <c r="H287" s="53">
        <v>33071.0</v>
      </c>
      <c r="I287" s="53">
        <v>5.0</v>
      </c>
      <c r="J287" s="53">
        <v>0.0</v>
      </c>
      <c r="K287" s="53">
        <v>0.0</v>
      </c>
      <c r="L287" s="53">
        <v>0.0</v>
      </c>
      <c r="M287" s="53">
        <v>0.0</v>
      </c>
      <c r="N287" s="53">
        <v>0.0</v>
      </c>
      <c r="O287" s="53">
        <v>0.0</v>
      </c>
      <c r="P287" s="53">
        <v>0.0</v>
      </c>
      <c r="Q287" s="53">
        <v>0.0</v>
      </c>
      <c r="R287" s="53">
        <v>0.0</v>
      </c>
      <c r="S287" s="53">
        <v>0.0</v>
      </c>
      <c r="T287" s="53">
        <v>0.0</v>
      </c>
      <c r="U287" s="53">
        <v>0.0</v>
      </c>
      <c r="V287" s="53">
        <v>1.0</v>
      </c>
      <c r="W287" s="53">
        <v>0.0</v>
      </c>
      <c r="X287" s="53">
        <v>1.0</v>
      </c>
      <c r="Y287" s="53">
        <v>0.0</v>
      </c>
      <c r="Z287" s="53">
        <v>1.0</v>
      </c>
      <c r="AA287" s="53">
        <v>0.0</v>
      </c>
      <c r="AB287" s="53">
        <v>0.0</v>
      </c>
      <c r="AC287" s="53">
        <v>0.0</v>
      </c>
      <c r="AD287" s="53">
        <v>0.0</v>
      </c>
      <c r="AE287" s="53">
        <v>0.0</v>
      </c>
      <c r="AF287" s="53">
        <v>1.0</v>
      </c>
      <c r="AG287" s="53">
        <v>0.0</v>
      </c>
      <c r="AH287" s="53">
        <v>0.0</v>
      </c>
      <c r="AI287" s="53">
        <v>0.0</v>
      </c>
      <c r="AJ287" s="53">
        <v>0.0</v>
      </c>
      <c r="AK287" s="53">
        <v>1.0</v>
      </c>
      <c r="AL287" s="53">
        <v>0.0</v>
      </c>
      <c r="AM287" s="53">
        <v>0.0</v>
      </c>
      <c r="AN287" s="53">
        <v>0.0</v>
      </c>
      <c r="AO287" s="25">
        <v>21.6</v>
      </c>
      <c r="AP287" s="54"/>
      <c r="AQ287" s="54"/>
      <c r="AR287" s="54"/>
      <c r="AS287" s="54"/>
      <c r="AT287" s="54"/>
      <c r="AU287" s="54"/>
      <c r="AV287" s="54"/>
      <c r="AW287" s="54"/>
      <c r="AX287" s="54"/>
      <c r="AY287" s="54"/>
      <c r="AZ287" s="54"/>
      <c r="BA287" s="54"/>
      <c r="BB287" s="53">
        <v>13.13</v>
      </c>
      <c r="BC287" s="54"/>
      <c r="BD287" s="53">
        <v>16.67</v>
      </c>
      <c r="BE287" s="54"/>
      <c r="BF287" s="53">
        <v>28.28</v>
      </c>
      <c r="BG287" s="54"/>
      <c r="BH287" s="54"/>
      <c r="BI287" s="54"/>
      <c r="BJ287" s="54"/>
      <c r="BK287" s="54"/>
      <c r="BL287" s="53">
        <v>30.35</v>
      </c>
      <c r="BM287" s="54"/>
      <c r="BN287" s="54"/>
      <c r="BO287" s="53">
        <v>0.33</v>
      </c>
      <c r="BP287" s="53">
        <v>0.86</v>
      </c>
      <c r="BQ287" s="53">
        <v>5.03</v>
      </c>
      <c r="BR287" s="53">
        <v>5.69</v>
      </c>
      <c r="BS287" s="25">
        <v>8.35</v>
      </c>
      <c r="BT287" s="56">
        <v>25.1</v>
      </c>
      <c r="BU287" s="25">
        <v>10.4</v>
      </c>
      <c r="BV287" s="25">
        <v>7.51</v>
      </c>
      <c r="BW287" s="54"/>
      <c r="BX287" s="53">
        <v>3000.0</v>
      </c>
      <c r="BY287" s="53" t="s">
        <v>123</v>
      </c>
      <c r="BZ287" s="58">
        <v>2700.0</v>
      </c>
      <c r="CA287" s="29" t="s">
        <v>124</v>
      </c>
      <c r="CB287" s="30">
        <v>3000.0</v>
      </c>
      <c r="CC287" s="31"/>
      <c r="CD287" s="58">
        <v>3000.0</v>
      </c>
      <c r="CE287" s="59" t="e">
        <v>#REF!</v>
      </c>
      <c r="CF287" s="60"/>
      <c r="CG287" s="61">
        <v>0.0</v>
      </c>
      <c r="CH287" s="62">
        <v>0.0</v>
      </c>
      <c r="CI287" s="63">
        <v>5.0</v>
      </c>
      <c r="CJ287" s="63">
        <v>2502.0</v>
      </c>
      <c r="CK287" s="64">
        <v>-13.0</v>
      </c>
      <c r="CL287" s="63">
        <v>2489.0</v>
      </c>
      <c r="CM287" s="65">
        <v>108.0</v>
      </c>
      <c r="CN287" s="63">
        <v>0.0</v>
      </c>
      <c r="CO287" s="66">
        <v>21.6</v>
      </c>
      <c r="CP287" s="67">
        <v>0.0</v>
      </c>
      <c r="CQ287" s="63">
        <v>4.0</v>
      </c>
      <c r="CR287" s="63">
        <v>4.0</v>
      </c>
      <c r="CS287" s="63">
        <v>42.0</v>
      </c>
      <c r="CT287" s="68"/>
      <c r="CU287" s="69"/>
      <c r="CV287" s="70"/>
      <c r="CW287" s="71">
        <v>10.0</v>
      </c>
      <c r="CX287" s="71" t="s">
        <v>138</v>
      </c>
      <c r="CY287" s="71" t="s">
        <v>139</v>
      </c>
      <c r="CZ287" s="45"/>
      <c r="DA287" s="44">
        <v>3000.0</v>
      </c>
      <c r="DB287" s="44">
        <v>0.0</v>
      </c>
      <c r="DC287" s="43"/>
      <c r="DD287" s="78"/>
      <c r="DE287" s="43"/>
      <c r="DF287" s="43"/>
      <c r="DG287" s="48" t="s">
        <v>128</v>
      </c>
      <c r="DH287" s="48" t="s">
        <v>128</v>
      </c>
      <c r="DI287" s="48" t="s">
        <v>128</v>
      </c>
      <c r="DJ287" s="49">
        <v>0.0</v>
      </c>
      <c r="DK287" s="48" t="b">
        <v>0</v>
      </c>
      <c r="DL287" s="50" t="s">
        <v>780</v>
      </c>
      <c r="DM287" s="50" t="s">
        <v>128</v>
      </c>
      <c r="DN287" s="50" t="s">
        <v>781</v>
      </c>
      <c r="DO287" s="49">
        <v>0.99</v>
      </c>
      <c r="DP287" s="48" t="s">
        <v>128</v>
      </c>
      <c r="DQ287" s="48" t="s">
        <v>128</v>
      </c>
      <c r="DR287" s="51"/>
      <c r="DS287" s="48" t="s">
        <v>134</v>
      </c>
    </row>
    <row r="288">
      <c r="A288" s="23" t="s">
        <v>118</v>
      </c>
      <c r="B288" s="24">
        <v>6.0</v>
      </c>
      <c r="C288" s="23" t="s">
        <v>747</v>
      </c>
      <c r="D288" s="24">
        <v>648806.0</v>
      </c>
      <c r="E288" s="23" t="s">
        <v>179</v>
      </c>
      <c r="F288" s="23" t="s">
        <v>788</v>
      </c>
      <c r="G288" s="23" t="s">
        <v>789</v>
      </c>
      <c r="H288" s="24">
        <v>33071.0</v>
      </c>
      <c r="I288" s="24">
        <v>3.0</v>
      </c>
      <c r="J288" s="24">
        <v>0.0</v>
      </c>
      <c r="K288" s="24">
        <v>0.0</v>
      </c>
      <c r="L288" s="24">
        <v>0.0</v>
      </c>
      <c r="M288" s="24">
        <v>0.0</v>
      </c>
      <c r="N288" s="24">
        <v>0.0</v>
      </c>
      <c r="O288" s="24">
        <v>0.0</v>
      </c>
      <c r="P288" s="24">
        <v>0.0</v>
      </c>
      <c r="Q288" s="24">
        <v>0.0</v>
      </c>
      <c r="R288" s="24">
        <v>0.0</v>
      </c>
      <c r="S288" s="24">
        <v>1.0</v>
      </c>
      <c r="T288" s="24">
        <v>0.0</v>
      </c>
      <c r="U288" s="24">
        <v>0.0</v>
      </c>
      <c r="V288" s="24">
        <v>1.0</v>
      </c>
      <c r="W288" s="24">
        <v>0.0</v>
      </c>
      <c r="X288" s="24">
        <v>0.0</v>
      </c>
      <c r="Y288" s="24">
        <v>0.0</v>
      </c>
      <c r="Z288" s="24">
        <v>0.0</v>
      </c>
      <c r="AA288" s="24">
        <v>1.0</v>
      </c>
      <c r="AB288" s="24">
        <v>0.0</v>
      </c>
      <c r="AC288" s="24">
        <v>0.0</v>
      </c>
      <c r="AD288" s="24">
        <v>0.0</v>
      </c>
      <c r="AE288" s="24">
        <v>0.0</v>
      </c>
      <c r="AF288" s="24">
        <v>0.0</v>
      </c>
      <c r="AG288" s="24">
        <v>0.0</v>
      </c>
      <c r="AH288" s="24">
        <v>0.0</v>
      </c>
      <c r="AI288" s="24">
        <v>0.0</v>
      </c>
      <c r="AJ288" s="24">
        <v>0.0</v>
      </c>
      <c r="AK288" s="24">
        <v>0.0</v>
      </c>
      <c r="AL288" s="24">
        <v>0.0</v>
      </c>
      <c r="AM288" s="24">
        <v>0.0</v>
      </c>
      <c r="AN288" s="24">
        <v>0.0</v>
      </c>
      <c r="AO288" s="55">
        <v>16.5</v>
      </c>
      <c r="AP288" s="26"/>
      <c r="AQ288" s="26"/>
      <c r="AR288" s="26"/>
      <c r="AS288" s="26"/>
      <c r="AT288" s="26"/>
      <c r="AU288" s="26"/>
      <c r="AV288" s="26"/>
      <c r="AW288" s="26"/>
      <c r="AX288" s="26"/>
      <c r="AY288" s="24">
        <v>17.32</v>
      </c>
      <c r="AZ288" s="26"/>
      <c r="BA288" s="26"/>
      <c r="BB288" s="24">
        <v>16.02</v>
      </c>
      <c r="BC288" s="26"/>
      <c r="BD288" s="26"/>
      <c r="BE288" s="26"/>
      <c r="BF288" s="26"/>
      <c r="BG288" s="24">
        <v>16.13</v>
      </c>
      <c r="BH288" s="26"/>
      <c r="BI288" s="26"/>
      <c r="BJ288" s="26"/>
      <c r="BK288" s="26"/>
      <c r="BL288" s="26"/>
      <c r="BM288" s="26"/>
      <c r="BN288" s="26"/>
      <c r="BO288" s="26"/>
      <c r="BP288" s="24">
        <v>0.79</v>
      </c>
      <c r="BQ288" s="24">
        <v>4.11</v>
      </c>
      <c r="BR288" s="24">
        <v>4.71</v>
      </c>
      <c r="BS288" s="25">
        <v>6.85</v>
      </c>
      <c r="BT288" s="91">
        <v>16.1</v>
      </c>
      <c r="BU288" s="25">
        <v>7.6</v>
      </c>
      <c r="BV288" s="57">
        <v>3.02</v>
      </c>
      <c r="BW288" s="26"/>
      <c r="BX288" s="24">
        <v>3000.0</v>
      </c>
      <c r="BY288" s="24" t="s">
        <v>123</v>
      </c>
      <c r="BZ288" s="28">
        <v>2700.0</v>
      </c>
      <c r="CA288" s="29" t="s">
        <v>124</v>
      </c>
      <c r="CB288" s="30">
        <v>3000.0</v>
      </c>
      <c r="CC288" s="31"/>
      <c r="CD288" s="28">
        <v>3000.0</v>
      </c>
      <c r="CE288" s="32" t="e">
        <v>#REF!</v>
      </c>
      <c r="CF288" s="33"/>
      <c r="CG288" s="34">
        <v>0.0</v>
      </c>
      <c r="CH288" s="35">
        <v>0.0</v>
      </c>
      <c r="CI288" s="36">
        <v>3.0</v>
      </c>
      <c r="CJ288" s="36">
        <v>2502.0</v>
      </c>
      <c r="CK288" s="37">
        <v>-13.0</v>
      </c>
      <c r="CL288" s="36">
        <v>2489.0</v>
      </c>
      <c r="CM288" s="38">
        <v>50.0</v>
      </c>
      <c r="CN288" s="36">
        <v>0.0</v>
      </c>
      <c r="CO288" s="39">
        <v>16.5</v>
      </c>
      <c r="CP288" s="40">
        <v>0.0</v>
      </c>
      <c r="CQ288" s="36">
        <v>2.0</v>
      </c>
      <c r="CR288" s="36">
        <v>2.0</v>
      </c>
      <c r="CS288" s="36">
        <v>21.0</v>
      </c>
      <c r="CT288" s="41"/>
      <c r="CU288" s="42"/>
      <c r="CV288" s="43"/>
      <c r="CW288" s="44">
        <v>10.0</v>
      </c>
      <c r="CX288" s="44" t="s">
        <v>138</v>
      </c>
      <c r="CY288" s="44" t="s">
        <v>139</v>
      </c>
      <c r="CZ288" s="45"/>
      <c r="DA288" s="44">
        <v>3000.0</v>
      </c>
      <c r="DB288" s="44">
        <v>0.0</v>
      </c>
      <c r="DC288" s="46" t="s">
        <v>127</v>
      </c>
      <c r="DD288" s="47">
        <v>46213.0</v>
      </c>
      <c r="DE288" s="43"/>
      <c r="DF288" s="43"/>
      <c r="DG288" s="48" t="s">
        <v>128</v>
      </c>
      <c r="DH288" s="48" t="s">
        <v>128</v>
      </c>
      <c r="DI288" s="48" t="s">
        <v>128</v>
      </c>
      <c r="DJ288" s="49">
        <v>1.0</v>
      </c>
      <c r="DK288" s="48" t="b">
        <v>0</v>
      </c>
      <c r="DL288" s="50" t="s">
        <v>780</v>
      </c>
      <c r="DM288" s="50" t="s">
        <v>128</v>
      </c>
      <c r="DN288" s="50" t="s">
        <v>781</v>
      </c>
      <c r="DO288" s="49">
        <v>0.99</v>
      </c>
      <c r="DP288" s="48" t="s">
        <v>128</v>
      </c>
      <c r="DQ288" s="48" t="s">
        <v>128</v>
      </c>
      <c r="DR288" s="51"/>
      <c r="DS288" s="48" t="s">
        <v>134</v>
      </c>
    </row>
    <row r="289">
      <c r="A289" s="52" t="s">
        <v>118</v>
      </c>
      <c r="B289" s="53">
        <v>6.0</v>
      </c>
      <c r="C289" s="52" t="s">
        <v>747</v>
      </c>
      <c r="D289" s="53">
        <v>641645.0</v>
      </c>
      <c r="E289" s="52" t="s">
        <v>145</v>
      </c>
      <c r="F289" s="52" t="s">
        <v>790</v>
      </c>
      <c r="G289" s="52" t="s">
        <v>791</v>
      </c>
      <c r="H289" s="53">
        <v>33071.0</v>
      </c>
      <c r="I289" s="53">
        <v>7.0</v>
      </c>
      <c r="J289" s="53">
        <v>0.0</v>
      </c>
      <c r="K289" s="53">
        <v>0.0</v>
      </c>
      <c r="L289" s="53">
        <v>0.0</v>
      </c>
      <c r="M289" s="53">
        <v>0.0</v>
      </c>
      <c r="N289" s="53">
        <v>0.0</v>
      </c>
      <c r="O289" s="53">
        <v>0.0</v>
      </c>
      <c r="P289" s="53">
        <v>0.0</v>
      </c>
      <c r="Q289" s="53">
        <v>0.0</v>
      </c>
      <c r="R289" s="53">
        <v>0.0</v>
      </c>
      <c r="S289" s="53">
        <v>1.0</v>
      </c>
      <c r="T289" s="53">
        <v>0.0</v>
      </c>
      <c r="U289" s="53">
        <v>0.0</v>
      </c>
      <c r="V289" s="53">
        <v>0.0</v>
      </c>
      <c r="W289" s="53">
        <v>0.0</v>
      </c>
      <c r="X289" s="53">
        <v>0.0</v>
      </c>
      <c r="Y289" s="53">
        <v>1.0</v>
      </c>
      <c r="Z289" s="53">
        <v>1.0</v>
      </c>
      <c r="AA289" s="53">
        <v>0.0</v>
      </c>
      <c r="AB289" s="53">
        <v>1.0</v>
      </c>
      <c r="AC289" s="53">
        <v>0.0</v>
      </c>
      <c r="AD289" s="53">
        <v>0.0</v>
      </c>
      <c r="AE289" s="53">
        <v>0.0</v>
      </c>
      <c r="AF289" s="53">
        <v>1.0</v>
      </c>
      <c r="AG289" s="53">
        <v>0.0</v>
      </c>
      <c r="AH289" s="53">
        <v>1.0</v>
      </c>
      <c r="AI289" s="53">
        <v>0.0</v>
      </c>
      <c r="AJ289" s="53">
        <v>0.0</v>
      </c>
      <c r="AK289" s="53">
        <v>0.0</v>
      </c>
      <c r="AL289" s="53">
        <v>0.0</v>
      </c>
      <c r="AM289" s="53">
        <v>0.0</v>
      </c>
      <c r="AN289" s="53">
        <v>1.0</v>
      </c>
      <c r="AO289" s="25">
        <v>20.4</v>
      </c>
      <c r="AP289" s="54"/>
      <c r="AQ289" s="54"/>
      <c r="AR289" s="54"/>
      <c r="AS289" s="54"/>
      <c r="AT289" s="54"/>
      <c r="AU289" s="54"/>
      <c r="AV289" s="54"/>
      <c r="AW289" s="54"/>
      <c r="AX289" s="54"/>
      <c r="AY289" s="53">
        <v>16.55</v>
      </c>
      <c r="AZ289" s="54"/>
      <c r="BA289" s="54"/>
      <c r="BB289" s="54"/>
      <c r="BC289" s="54"/>
      <c r="BD289" s="54"/>
      <c r="BE289" s="53">
        <v>13.98</v>
      </c>
      <c r="BF289" s="53">
        <v>25.05</v>
      </c>
      <c r="BG289" s="54"/>
      <c r="BH289" s="53">
        <v>19.95</v>
      </c>
      <c r="BI289" s="54"/>
      <c r="BJ289" s="54"/>
      <c r="BK289" s="54"/>
      <c r="BL289" s="53">
        <v>15.18</v>
      </c>
      <c r="BM289" s="54"/>
      <c r="BN289" s="53">
        <v>20.7</v>
      </c>
      <c r="BO289" s="53">
        <v>0.52</v>
      </c>
      <c r="BP289" s="53">
        <v>0.96</v>
      </c>
      <c r="BQ289" s="53">
        <v>6.27</v>
      </c>
      <c r="BR289" s="53">
        <v>7.03</v>
      </c>
      <c r="BS289" s="25">
        <v>6.07</v>
      </c>
      <c r="BT289" s="81"/>
      <c r="BU289" s="54"/>
      <c r="BV289" s="54"/>
      <c r="BW289" s="54"/>
      <c r="BX289" s="53">
        <v>3000.0</v>
      </c>
      <c r="BY289" s="53" t="s">
        <v>123</v>
      </c>
      <c r="BZ289" s="58">
        <v>2700.0</v>
      </c>
      <c r="CA289" s="29" t="s">
        <v>124</v>
      </c>
      <c r="CB289" s="30">
        <v>3000.0</v>
      </c>
      <c r="CC289" s="31"/>
      <c r="CD289" s="58">
        <v>3000.0</v>
      </c>
      <c r="CE289" s="59" t="e">
        <v>#REF!</v>
      </c>
      <c r="CF289" s="60"/>
      <c r="CG289" s="61">
        <v>0.0</v>
      </c>
      <c r="CH289" s="62">
        <v>0.0</v>
      </c>
      <c r="CI289" s="63">
        <v>7.0</v>
      </c>
      <c r="CJ289" s="63">
        <v>2502.0</v>
      </c>
      <c r="CK289" s="64">
        <v>-13.0</v>
      </c>
      <c r="CL289" s="63">
        <v>2489.0</v>
      </c>
      <c r="CM289" s="65">
        <v>143.0</v>
      </c>
      <c r="CN289" s="63">
        <v>0.0</v>
      </c>
      <c r="CO289" s="66">
        <v>20.4</v>
      </c>
      <c r="CP289" s="67">
        <v>0.0</v>
      </c>
      <c r="CQ289" s="63">
        <v>7.0</v>
      </c>
      <c r="CR289" s="63">
        <v>7.0</v>
      </c>
      <c r="CS289" s="63">
        <v>42.0</v>
      </c>
      <c r="CT289" s="68"/>
      <c r="CU289" s="69"/>
      <c r="CV289" s="70"/>
      <c r="CW289" s="71">
        <v>10.0</v>
      </c>
      <c r="CX289" s="71" t="s">
        <v>138</v>
      </c>
      <c r="CY289" s="71" t="s">
        <v>139</v>
      </c>
      <c r="CZ289" s="45"/>
      <c r="DA289" s="44">
        <v>2700.0</v>
      </c>
      <c r="DB289" s="44">
        <v>0.0</v>
      </c>
      <c r="DC289" s="46" t="s">
        <v>127</v>
      </c>
      <c r="DD289" s="47">
        <v>46240.0</v>
      </c>
      <c r="DE289" s="43"/>
      <c r="DF289" s="43"/>
      <c r="DG289" s="48" t="s">
        <v>128</v>
      </c>
      <c r="DH289" s="48" t="s">
        <v>128</v>
      </c>
      <c r="DI289" s="48" t="s">
        <v>128</v>
      </c>
      <c r="DJ289" s="49">
        <v>0.0</v>
      </c>
      <c r="DK289" s="48" t="b">
        <v>0</v>
      </c>
      <c r="DL289" s="50" t="s">
        <v>780</v>
      </c>
      <c r="DM289" s="50" t="s">
        <v>128</v>
      </c>
      <c r="DN289" s="50" t="s">
        <v>781</v>
      </c>
      <c r="DO289" s="49">
        <v>0.99</v>
      </c>
      <c r="DP289" s="48" t="s">
        <v>128</v>
      </c>
      <c r="DQ289" s="48" t="s">
        <v>128</v>
      </c>
      <c r="DR289" s="51"/>
      <c r="DS289" s="48" t="s">
        <v>134</v>
      </c>
    </row>
    <row r="290">
      <c r="A290" s="23" t="s">
        <v>118</v>
      </c>
      <c r="B290" s="24">
        <v>6.0</v>
      </c>
      <c r="C290" s="23" t="s">
        <v>747</v>
      </c>
      <c r="D290" s="24">
        <v>639495.0</v>
      </c>
      <c r="E290" s="23" t="s">
        <v>155</v>
      </c>
      <c r="F290" s="23" t="s">
        <v>792</v>
      </c>
      <c r="G290" s="23" t="s">
        <v>793</v>
      </c>
      <c r="H290" s="24">
        <v>33071.0</v>
      </c>
      <c r="I290" s="24">
        <v>32.0</v>
      </c>
      <c r="J290" s="24">
        <v>0.0</v>
      </c>
      <c r="K290" s="24">
        <v>0.0</v>
      </c>
      <c r="L290" s="24">
        <v>0.0</v>
      </c>
      <c r="M290" s="24">
        <v>0.0</v>
      </c>
      <c r="N290" s="24">
        <v>0.0</v>
      </c>
      <c r="O290" s="24">
        <v>0.0</v>
      </c>
      <c r="P290" s="24">
        <v>1.0</v>
      </c>
      <c r="Q290" s="24">
        <v>1.0</v>
      </c>
      <c r="R290" s="24">
        <v>2.0</v>
      </c>
      <c r="S290" s="24">
        <v>0.0</v>
      </c>
      <c r="T290" s="24">
        <v>5.0</v>
      </c>
      <c r="U290" s="24">
        <v>1.0</v>
      </c>
      <c r="V290" s="24">
        <v>1.0</v>
      </c>
      <c r="W290" s="24">
        <v>2.0</v>
      </c>
      <c r="X290" s="24">
        <v>0.0</v>
      </c>
      <c r="Y290" s="24">
        <v>4.0</v>
      </c>
      <c r="Z290" s="24">
        <v>0.0</v>
      </c>
      <c r="AA290" s="24">
        <v>0.0</v>
      </c>
      <c r="AB290" s="24">
        <v>6.0</v>
      </c>
      <c r="AC290" s="24">
        <v>0.0</v>
      </c>
      <c r="AD290" s="24">
        <v>1.0</v>
      </c>
      <c r="AE290" s="24">
        <v>0.0</v>
      </c>
      <c r="AF290" s="24">
        <v>3.0</v>
      </c>
      <c r="AG290" s="24">
        <v>2.0</v>
      </c>
      <c r="AH290" s="24">
        <v>1.0</v>
      </c>
      <c r="AI290" s="24">
        <v>0.0</v>
      </c>
      <c r="AJ290" s="24">
        <v>0.0</v>
      </c>
      <c r="AK290" s="24">
        <v>0.0</v>
      </c>
      <c r="AL290" s="24">
        <v>0.0</v>
      </c>
      <c r="AM290" s="24">
        <v>2.0</v>
      </c>
      <c r="AN290" s="24">
        <v>0.0</v>
      </c>
      <c r="AO290" s="25">
        <v>18.2</v>
      </c>
      <c r="AP290" s="26"/>
      <c r="AQ290" s="26"/>
      <c r="AR290" s="26"/>
      <c r="AS290" s="26"/>
      <c r="AT290" s="26"/>
      <c r="AU290" s="26"/>
      <c r="AV290" s="24">
        <v>12.92</v>
      </c>
      <c r="AW290" s="24">
        <v>15.35</v>
      </c>
      <c r="AX290" s="24">
        <v>12.23</v>
      </c>
      <c r="AY290" s="26"/>
      <c r="AZ290" s="24">
        <v>19.29</v>
      </c>
      <c r="BA290" s="24">
        <v>18.13</v>
      </c>
      <c r="BB290" s="24">
        <v>36.25</v>
      </c>
      <c r="BC290" s="24">
        <v>18.16</v>
      </c>
      <c r="BD290" s="26"/>
      <c r="BE290" s="24">
        <v>16.24</v>
      </c>
      <c r="BF290" s="26"/>
      <c r="BG290" s="26"/>
      <c r="BH290" s="24">
        <v>17.33</v>
      </c>
      <c r="BI290" s="26"/>
      <c r="BJ290" s="24">
        <v>29.25</v>
      </c>
      <c r="BK290" s="26"/>
      <c r="BL290" s="24">
        <v>16.79</v>
      </c>
      <c r="BM290" s="24">
        <v>18.28</v>
      </c>
      <c r="BN290" s="24">
        <v>26.68</v>
      </c>
      <c r="BO290" s="24">
        <v>0.26</v>
      </c>
      <c r="BP290" s="24">
        <v>0.89</v>
      </c>
      <c r="BQ290" s="24">
        <v>5.14</v>
      </c>
      <c r="BR290" s="24">
        <v>5.82</v>
      </c>
      <c r="BS290" s="25">
        <v>5.78</v>
      </c>
      <c r="BT290" s="56">
        <v>17.4</v>
      </c>
      <c r="BU290" s="25">
        <v>6.4</v>
      </c>
      <c r="BV290" s="57">
        <v>5.62</v>
      </c>
      <c r="BW290" s="24">
        <v>1000.0</v>
      </c>
      <c r="BX290" s="24">
        <v>3000.0</v>
      </c>
      <c r="BY290" s="24" t="s">
        <v>123</v>
      </c>
      <c r="BZ290" s="28">
        <v>2700.0</v>
      </c>
      <c r="CA290" s="29" t="s">
        <v>124</v>
      </c>
      <c r="CB290" s="30">
        <v>3000.0</v>
      </c>
      <c r="CC290" s="31"/>
      <c r="CD290" s="28">
        <v>3000.0</v>
      </c>
      <c r="CE290" s="32" t="e">
        <v>#REF!</v>
      </c>
      <c r="CF290" s="33"/>
      <c r="CG290" s="34">
        <v>0.0</v>
      </c>
      <c r="CH290" s="35">
        <v>0.0</v>
      </c>
      <c r="CI290" s="36">
        <v>32.0</v>
      </c>
      <c r="CJ290" s="36">
        <v>2502.0</v>
      </c>
      <c r="CK290" s="37">
        <v>-13.0</v>
      </c>
      <c r="CL290" s="36">
        <v>2489.0</v>
      </c>
      <c r="CM290" s="38">
        <v>582.0</v>
      </c>
      <c r="CN290" s="36">
        <v>0.0</v>
      </c>
      <c r="CO290" s="39">
        <v>18.2</v>
      </c>
      <c r="CP290" s="40">
        <v>0.0</v>
      </c>
      <c r="CQ290" s="36">
        <v>28.0</v>
      </c>
      <c r="CR290" s="36">
        <v>28.0</v>
      </c>
      <c r="CS290" s="36">
        <v>185.0</v>
      </c>
      <c r="CT290" s="41"/>
      <c r="CU290" s="42"/>
      <c r="CV290" s="43"/>
      <c r="CW290" s="44">
        <v>10.0</v>
      </c>
      <c r="CX290" s="44" t="s">
        <v>138</v>
      </c>
      <c r="CY290" s="44" t="s">
        <v>139</v>
      </c>
      <c r="CZ290" s="45"/>
      <c r="DA290" s="44">
        <v>3000.0</v>
      </c>
      <c r="DB290" s="44">
        <v>0.0</v>
      </c>
      <c r="DC290" s="46" t="s">
        <v>127</v>
      </c>
      <c r="DD290" s="47">
        <v>46218.0</v>
      </c>
      <c r="DE290" s="43"/>
      <c r="DF290" s="43"/>
      <c r="DG290" s="48" t="s">
        <v>128</v>
      </c>
      <c r="DH290" s="48" t="s">
        <v>128</v>
      </c>
      <c r="DI290" s="48" t="s">
        <v>128</v>
      </c>
      <c r="DJ290" s="49">
        <v>1.0</v>
      </c>
      <c r="DK290" s="48" t="b">
        <v>0</v>
      </c>
      <c r="DL290" s="50" t="s">
        <v>780</v>
      </c>
      <c r="DM290" s="50" t="s">
        <v>128</v>
      </c>
      <c r="DN290" s="50" t="s">
        <v>781</v>
      </c>
      <c r="DO290" s="49">
        <v>0.99</v>
      </c>
      <c r="DP290" s="48" t="s">
        <v>128</v>
      </c>
      <c r="DQ290" s="48" t="s">
        <v>128</v>
      </c>
      <c r="DR290" s="51"/>
      <c r="DS290" s="48" t="s">
        <v>134</v>
      </c>
    </row>
    <row r="291">
      <c r="A291" s="52" t="s">
        <v>118</v>
      </c>
      <c r="B291" s="53">
        <v>6.0</v>
      </c>
      <c r="C291" s="52" t="s">
        <v>747</v>
      </c>
      <c r="D291" s="53">
        <v>576393.0</v>
      </c>
      <c r="E291" s="52" t="s">
        <v>164</v>
      </c>
      <c r="F291" s="52" t="s">
        <v>794</v>
      </c>
      <c r="G291" s="52" t="s">
        <v>795</v>
      </c>
      <c r="H291" s="53">
        <v>33071.0</v>
      </c>
      <c r="I291" s="53">
        <v>17.0</v>
      </c>
      <c r="J291" s="53">
        <v>0.0</v>
      </c>
      <c r="K291" s="53">
        <v>0.0</v>
      </c>
      <c r="L291" s="53">
        <v>0.0</v>
      </c>
      <c r="M291" s="53">
        <v>0.0</v>
      </c>
      <c r="N291" s="53">
        <v>0.0</v>
      </c>
      <c r="O291" s="53">
        <v>0.0</v>
      </c>
      <c r="P291" s="53">
        <v>0.0</v>
      </c>
      <c r="Q291" s="53">
        <v>0.0</v>
      </c>
      <c r="R291" s="53">
        <v>0.0</v>
      </c>
      <c r="S291" s="53">
        <v>0.0</v>
      </c>
      <c r="T291" s="53">
        <v>0.0</v>
      </c>
      <c r="U291" s="53">
        <v>2.0</v>
      </c>
      <c r="V291" s="53">
        <v>1.0</v>
      </c>
      <c r="W291" s="53">
        <v>2.0</v>
      </c>
      <c r="X291" s="53">
        <v>2.0</v>
      </c>
      <c r="Y291" s="53">
        <v>0.0</v>
      </c>
      <c r="Z291" s="53">
        <v>1.0</v>
      </c>
      <c r="AA291" s="53">
        <v>2.0</v>
      </c>
      <c r="AB291" s="53">
        <v>1.0</v>
      </c>
      <c r="AC291" s="53">
        <v>1.0</v>
      </c>
      <c r="AD291" s="53">
        <v>0.0</v>
      </c>
      <c r="AE291" s="53">
        <v>0.0</v>
      </c>
      <c r="AF291" s="53">
        <v>1.0</v>
      </c>
      <c r="AG291" s="53">
        <v>0.0</v>
      </c>
      <c r="AH291" s="53">
        <v>1.0</v>
      </c>
      <c r="AI291" s="53">
        <v>1.0</v>
      </c>
      <c r="AJ291" s="53">
        <v>0.0</v>
      </c>
      <c r="AK291" s="53">
        <v>0.0</v>
      </c>
      <c r="AL291" s="53">
        <v>0.0</v>
      </c>
      <c r="AM291" s="53">
        <v>0.0</v>
      </c>
      <c r="AN291" s="53">
        <v>2.0</v>
      </c>
      <c r="AO291" s="25">
        <v>20.5</v>
      </c>
      <c r="AP291" s="54"/>
      <c r="AQ291" s="54"/>
      <c r="AR291" s="54"/>
      <c r="AS291" s="54"/>
      <c r="AT291" s="54"/>
      <c r="AU291" s="54"/>
      <c r="AV291" s="54"/>
      <c r="AW291" s="54"/>
      <c r="AX291" s="54"/>
      <c r="AY291" s="54"/>
      <c r="AZ291" s="54"/>
      <c r="BA291" s="53">
        <v>20.43</v>
      </c>
      <c r="BB291" s="53">
        <v>14.32</v>
      </c>
      <c r="BC291" s="53">
        <v>15.55</v>
      </c>
      <c r="BD291" s="53">
        <v>17.99</v>
      </c>
      <c r="BE291" s="54"/>
      <c r="BF291" s="53">
        <v>27.03</v>
      </c>
      <c r="BG291" s="53">
        <v>14.63</v>
      </c>
      <c r="BH291" s="53">
        <v>24.05</v>
      </c>
      <c r="BI291" s="53">
        <v>13.67</v>
      </c>
      <c r="BJ291" s="54"/>
      <c r="BK291" s="54"/>
      <c r="BL291" s="53">
        <v>39.92</v>
      </c>
      <c r="BM291" s="54"/>
      <c r="BN291" s="53">
        <v>27.93</v>
      </c>
      <c r="BO291" s="53">
        <v>0.35</v>
      </c>
      <c r="BP291" s="53">
        <v>1.65</v>
      </c>
      <c r="BQ291" s="53">
        <v>4.89</v>
      </c>
      <c r="BR291" s="53">
        <v>6.33</v>
      </c>
      <c r="BS291" s="25">
        <v>5.59</v>
      </c>
      <c r="BT291" s="56">
        <v>20.1</v>
      </c>
      <c r="BU291" s="57">
        <v>2.7</v>
      </c>
      <c r="BV291" s="25">
        <v>11.64</v>
      </c>
      <c r="BW291" s="54"/>
      <c r="BX291" s="53">
        <v>3000.0</v>
      </c>
      <c r="BY291" s="53" t="s">
        <v>123</v>
      </c>
      <c r="BZ291" s="58">
        <v>2700.0</v>
      </c>
      <c r="CA291" s="29" t="s">
        <v>124</v>
      </c>
      <c r="CB291" s="30">
        <v>3000.0</v>
      </c>
      <c r="CC291" s="31"/>
      <c r="CD291" s="58">
        <v>3000.0</v>
      </c>
      <c r="CE291" s="59" t="e">
        <v>#REF!</v>
      </c>
      <c r="CF291" s="60"/>
      <c r="CG291" s="61">
        <v>0.0</v>
      </c>
      <c r="CH291" s="62">
        <v>0.0</v>
      </c>
      <c r="CI291" s="63">
        <v>17.0</v>
      </c>
      <c r="CJ291" s="63">
        <v>2502.0</v>
      </c>
      <c r="CK291" s="64">
        <v>-13.0</v>
      </c>
      <c r="CL291" s="63">
        <v>2489.0</v>
      </c>
      <c r="CM291" s="65">
        <v>349.0</v>
      </c>
      <c r="CN291" s="63">
        <v>0.0</v>
      </c>
      <c r="CO291" s="66">
        <v>20.5</v>
      </c>
      <c r="CP291" s="67">
        <v>0.0</v>
      </c>
      <c r="CQ291" s="63">
        <v>28.0</v>
      </c>
      <c r="CR291" s="63">
        <v>28.0</v>
      </c>
      <c r="CS291" s="63">
        <v>95.0</v>
      </c>
      <c r="CT291" s="68"/>
      <c r="CU291" s="69"/>
      <c r="CV291" s="70"/>
      <c r="CW291" s="71">
        <v>10.0</v>
      </c>
      <c r="CX291" s="71" t="s">
        <v>138</v>
      </c>
      <c r="CY291" s="71" t="s">
        <v>139</v>
      </c>
      <c r="CZ291" s="45"/>
      <c r="DA291" s="44">
        <v>2700.0</v>
      </c>
      <c r="DB291" s="44">
        <v>0.0</v>
      </c>
      <c r="DC291" s="43"/>
      <c r="DD291" s="78"/>
      <c r="DE291" s="43"/>
      <c r="DF291" s="43"/>
      <c r="DG291" s="48" t="s">
        <v>128</v>
      </c>
      <c r="DH291" s="48" t="s">
        <v>128</v>
      </c>
      <c r="DI291" s="48" t="s">
        <v>128</v>
      </c>
      <c r="DJ291" s="49">
        <v>1.0</v>
      </c>
      <c r="DK291" s="48" t="b">
        <v>0</v>
      </c>
      <c r="DL291" s="50" t="s">
        <v>780</v>
      </c>
      <c r="DM291" s="50" t="s">
        <v>128</v>
      </c>
      <c r="DN291" s="50" t="s">
        <v>781</v>
      </c>
      <c r="DO291" s="49">
        <v>0.99</v>
      </c>
      <c r="DP291" s="48" t="s">
        <v>128</v>
      </c>
      <c r="DQ291" s="48" t="s">
        <v>128</v>
      </c>
      <c r="DR291" s="51"/>
      <c r="DS291" s="48" t="s">
        <v>134</v>
      </c>
    </row>
    <row r="292">
      <c r="A292" s="23" t="s">
        <v>118</v>
      </c>
      <c r="B292" s="24">
        <v>6.0</v>
      </c>
      <c r="C292" s="23" t="s">
        <v>747</v>
      </c>
      <c r="D292" s="24">
        <v>631195.0</v>
      </c>
      <c r="E292" s="23" t="s">
        <v>140</v>
      </c>
      <c r="F292" s="23" t="s">
        <v>796</v>
      </c>
      <c r="G292" s="23" t="s">
        <v>797</v>
      </c>
      <c r="H292" s="24">
        <v>33071.0</v>
      </c>
      <c r="I292" s="24">
        <v>8.0</v>
      </c>
      <c r="J292" s="24">
        <v>0.0</v>
      </c>
      <c r="K292" s="24">
        <v>0.0</v>
      </c>
      <c r="L292" s="24">
        <v>0.0</v>
      </c>
      <c r="M292" s="24">
        <v>1.0</v>
      </c>
      <c r="N292" s="24">
        <v>0.0</v>
      </c>
      <c r="O292" s="24">
        <v>1.0</v>
      </c>
      <c r="P292" s="24">
        <v>0.0</v>
      </c>
      <c r="Q292" s="24">
        <v>1.0</v>
      </c>
      <c r="R292" s="24">
        <v>0.0</v>
      </c>
      <c r="S292" s="24">
        <v>0.0</v>
      </c>
      <c r="T292" s="24">
        <v>0.0</v>
      </c>
      <c r="U292" s="24">
        <v>3.0</v>
      </c>
      <c r="V292" s="24">
        <v>0.0</v>
      </c>
      <c r="W292" s="24">
        <v>0.0</v>
      </c>
      <c r="X292" s="24">
        <v>0.0</v>
      </c>
      <c r="Y292" s="24">
        <v>0.0</v>
      </c>
      <c r="Z292" s="24">
        <v>0.0</v>
      </c>
      <c r="AA292" s="24">
        <v>0.0</v>
      </c>
      <c r="AB292" s="24">
        <v>0.0</v>
      </c>
      <c r="AC292" s="24">
        <v>0.0</v>
      </c>
      <c r="AD292" s="24">
        <v>0.0</v>
      </c>
      <c r="AE292" s="24">
        <v>1.0</v>
      </c>
      <c r="AF292" s="24">
        <v>0.0</v>
      </c>
      <c r="AG292" s="24">
        <v>0.0</v>
      </c>
      <c r="AH292" s="24">
        <v>0.0</v>
      </c>
      <c r="AI292" s="24">
        <v>0.0</v>
      </c>
      <c r="AJ292" s="24">
        <v>1.0</v>
      </c>
      <c r="AK292" s="24">
        <v>0.0</v>
      </c>
      <c r="AL292" s="24">
        <v>0.0</v>
      </c>
      <c r="AM292" s="24">
        <v>0.0</v>
      </c>
      <c r="AN292" s="24">
        <v>0.0</v>
      </c>
      <c r="AO292" s="55">
        <v>16.2</v>
      </c>
      <c r="AP292" s="26"/>
      <c r="AQ292" s="26"/>
      <c r="AR292" s="26"/>
      <c r="AS292" s="24">
        <v>13.77</v>
      </c>
      <c r="AT292" s="26"/>
      <c r="AU292" s="24">
        <v>10.22</v>
      </c>
      <c r="AV292" s="26"/>
      <c r="AW292" s="24">
        <v>8.85</v>
      </c>
      <c r="AX292" s="26"/>
      <c r="AY292" s="26"/>
      <c r="AZ292" s="26"/>
      <c r="BA292" s="24">
        <v>18.28</v>
      </c>
      <c r="BB292" s="26"/>
      <c r="BC292" s="26"/>
      <c r="BD292" s="26"/>
      <c r="BE292" s="26"/>
      <c r="BF292" s="26"/>
      <c r="BG292" s="26"/>
      <c r="BH292" s="26"/>
      <c r="BI292" s="26"/>
      <c r="BJ292" s="26"/>
      <c r="BK292" s="24">
        <v>15.02</v>
      </c>
      <c r="BL292" s="26"/>
      <c r="BM292" s="26"/>
      <c r="BN292" s="26"/>
      <c r="BO292" s="24">
        <v>0.45</v>
      </c>
      <c r="BP292" s="24">
        <v>0.72</v>
      </c>
      <c r="BQ292" s="24">
        <v>5.33</v>
      </c>
      <c r="BR292" s="24">
        <v>5.85</v>
      </c>
      <c r="BS292" s="25">
        <v>4.83</v>
      </c>
      <c r="BT292" s="56">
        <v>19.1</v>
      </c>
      <c r="BU292" s="25">
        <v>8.1</v>
      </c>
      <c r="BV292" s="57">
        <v>4.9</v>
      </c>
      <c r="BW292" s="26"/>
      <c r="BX292" s="24">
        <v>3000.0</v>
      </c>
      <c r="BY292" s="24" t="s">
        <v>123</v>
      </c>
      <c r="BZ292" s="28">
        <v>2700.0</v>
      </c>
      <c r="CA292" s="29" t="s">
        <v>124</v>
      </c>
      <c r="CB292" s="30">
        <v>3000.0</v>
      </c>
      <c r="CC292" s="31"/>
      <c r="CD292" s="28">
        <v>3000.0</v>
      </c>
      <c r="CE292" s="32" t="e">
        <v>#REF!</v>
      </c>
      <c r="CF292" s="33"/>
      <c r="CG292" s="34">
        <v>0.0</v>
      </c>
      <c r="CH292" s="35">
        <v>0.0</v>
      </c>
      <c r="CI292" s="36">
        <v>8.0</v>
      </c>
      <c r="CJ292" s="36">
        <v>2502.0</v>
      </c>
      <c r="CK292" s="37">
        <v>-13.0</v>
      </c>
      <c r="CL292" s="36">
        <v>2489.0</v>
      </c>
      <c r="CM292" s="38">
        <v>130.0</v>
      </c>
      <c r="CN292" s="36">
        <v>0.0</v>
      </c>
      <c r="CO292" s="39">
        <v>16.2</v>
      </c>
      <c r="CP292" s="40">
        <v>0.0</v>
      </c>
      <c r="CQ292" s="36">
        <v>6.0</v>
      </c>
      <c r="CR292" s="36">
        <v>6.0</v>
      </c>
      <c r="CS292" s="36">
        <v>39.0</v>
      </c>
      <c r="CT292" s="41"/>
      <c r="CU292" s="42"/>
      <c r="CV292" s="43"/>
      <c r="CW292" s="44">
        <v>10.0</v>
      </c>
      <c r="CX292" s="44" t="s">
        <v>138</v>
      </c>
      <c r="CY292" s="44" t="s">
        <v>139</v>
      </c>
      <c r="CZ292" s="45"/>
      <c r="DA292" s="44">
        <v>3000.0</v>
      </c>
      <c r="DB292" s="44">
        <v>0.0</v>
      </c>
      <c r="DC292" s="46" t="s">
        <v>127</v>
      </c>
      <c r="DD292" s="47">
        <v>46228.0</v>
      </c>
      <c r="DE292" s="43"/>
      <c r="DF292" s="43"/>
      <c r="DG292" s="48" t="s">
        <v>128</v>
      </c>
      <c r="DH292" s="48" t="s">
        <v>128</v>
      </c>
      <c r="DI292" s="48" t="s">
        <v>128</v>
      </c>
      <c r="DJ292" s="49">
        <v>0.0</v>
      </c>
      <c r="DK292" s="48" t="b">
        <v>0</v>
      </c>
      <c r="DL292" s="50" t="s">
        <v>780</v>
      </c>
      <c r="DM292" s="50" t="s">
        <v>128</v>
      </c>
      <c r="DN292" s="50" t="s">
        <v>781</v>
      </c>
      <c r="DO292" s="49">
        <v>0.99</v>
      </c>
      <c r="DP292" s="48" t="s">
        <v>128</v>
      </c>
      <c r="DQ292" s="48" t="s">
        <v>128</v>
      </c>
      <c r="DR292" s="51"/>
      <c r="DS292" s="48" t="s">
        <v>134</v>
      </c>
    </row>
    <row r="293">
      <c r="A293" s="52" t="s">
        <v>118</v>
      </c>
      <c r="B293" s="53">
        <v>6.0</v>
      </c>
      <c r="C293" s="52" t="s">
        <v>747</v>
      </c>
      <c r="D293" s="53">
        <v>588071.0</v>
      </c>
      <c r="E293" s="52" t="s">
        <v>152</v>
      </c>
      <c r="F293" s="52" t="s">
        <v>798</v>
      </c>
      <c r="G293" s="52" t="s">
        <v>799</v>
      </c>
      <c r="H293" s="53">
        <v>33071.0</v>
      </c>
      <c r="I293" s="53">
        <v>8.0</v>
      </c>
      <c r="J293" s="53">
        <v>0.0</v>
      </c>
      <c r="K293" s="53">
        <v>0.0</v>
      </c>
      <c r="L293" s="53">
        <v>0.0</v>
      </c>
      <c r="M293" s="53">
        <v>0.0</v>
      </c>
      <c r="N293" s="53">
        <v>0.0</v>
      </c>
      <c r="O293" s="53">
        <v>0.0</v>
      </c>
      <c r="P293" s="53">
        <v>2.0</v>
      </c>
      <c r="Q293" s="53">
        <v>1.0</v>
      </c>
      <c r="R293" s="53">
        <v>0.0</v>
      </c>
      <c r="S293" s="53">
        <v>0.0</v>
      </c>
      <c r="T293" s="53">
        <v>2.0</v>
      </c>
      <c r="U293" s="53">
        <v>0.0</v>
      </c>
      <c r="V293" s="53">
        <v>0.0</v>
      </c>
      <c r="W293" s="53">
        <v>0.0</v>
      </c>
      <c r="X293" s="53">
        <v>0.0</v>
      </c>
      <c r="Y293" s="53">
        <v>1.0</v>
      </c>
      <c r="Z293" s="53">
        <v>0.0</v>
      </c>
      <c r="AA293" s="53">
        <v>0.0</v>
      </c>
      <c r="AB293" s="53">
        <v>0.0</v>
      </c>
      <c r="AC293" s="53">
        <v>0.0</v>
      </c>
      <c r="AD293" s="53">
        <v>0.0</v>
      </c>
      <c r="AE293" s="53">
        <v>0.0</v>
      </c>
      <c r="AF293" s="53">
        <v>1.0</v>
      </c>
      <c r="AG293" s="53">
        <v>0.0</v>
      </c>
      <c r="AH293" s="53">
        <v>0.0</v>
      </c>
      <c r="AI293" s="53">
        <v>0.0</v>
      </c>
      <c r="AJ293" s="53">
        <v>0.0</v>
      </c>
      <c r="AK293" s="53">
        <v>0.0</v>
      </c>
      <c r="AL293" s="53">
        <v>0.0</v>
      </c>
      <c r="AM293" s="53">
        <v>1.0</v>
      </c>
      <c r="AN293" s="53">
        <v>0.0</v>
      </c>
      <c r="AO293" s="25">
        <v>17.7</v>
      </c>
      <c r="AP293" s="54"/>
      <c r="AQ293" s="54"/>
      <c r="AR293" s="54"/>
      <c r="AS293" s="54"/>
      <c r="AT293" s="54"/>
      <c r="AU293" s="54"/>
      <c r="AV293" s="53">
        <v>14.82</v>
      </c>
      <c r="AW293" s="53">
        <v>19.48</v>
      </c>
      <c r="AX293" s="54"/>
      <c r="AY293" s="54"/>
      <c r="AZ293" s="53">
        <v>16.06</v>
      </c>
      <c r="BA293" s="54"/>
      <c r="BB293" s="54"/>
      <c r="BC293" s="54"/>
      <c r="BD293" s="54"/>
      <c r="BE293" s="53">
        <v>22.45</v>
      </c>
      <c r="BF293" s="54"/>
      <c r="BG293" s="54"/>
      <c r="BH293" s="54"/>
      <c r="BI293" s="54"/>
      <c r="BJ293" s="54"/>
      <c r="BK293" s="54"/>
      <c r="BL293" s="53">
        <v>25.72</v>
      </c>
      <c r="BM293" s="54"/>
      <c r="BN293" s="54"/>
      <c r="BO293" s="53">
        <v>0.2</v>
      </c>
      <c r="BP293" s="53">
        <v>1.3</v>
      </c>
      <c r="BQ293" s="53">
        <v>4.47</v>
      </c>
      <c r="BR293" s="53">
        <v>5.58</v>
      </c>
      <c r="BS293" s="25">
        <v>4.6</v>
      </c>
      <c r="BT293" s="77">
        <v>10.3</v>
      </c>
      <c r="BU293" s="57">
        <v>0.9</v>
      </c>
      <c r="BV293" s="57">
        <v>3.9</v>
      </c>
      <c r="BW293" s="54"/>
      <c r="BX293" s="53">
        <v>3000.0</v>
      </c>
      <c r="BY293" s="53" t="s">
        <v>123</v>
      </c>
      <c r="BZ293" s="58">
        <v>2700.0</v>
      </c>
      <c r="CA293" s="29" t="s">
        <v>124</v>
      </c>
      <c r="CB293" s="30">
        <v>3000.0</v>
      </c>
      <c r="CC293" s="31"/>
      <c r="CD293" s="58">
        <v>3000.0</v>
      </c>
      <c r="CE293" s="59" t="e">
        <v>#REF!</v>
      </c>
      <c r="CF293" s="60"/>
      <c r="CG293" s="61">
        <v>0.0</v>
      </c>
      <c r="CH293" s="62">
        <v>0.0</v>
      </c>
      <c r="CI293" s="63">
        <v>8.0</v>
      </c>
      <c r="CJ293" s="63">
        <v>2502.0</v>
      </c>
      <c r="CK293" s="64">
        <v>-13.0</v>
      </c>
      <c r="CL293" s="63">
        <v>2489.0</v>
      </c>
      <c r="CM293" s="65">
        <v>142.0</v>
      </c>
      <c r="CN293" s="63">
        <v>0.0</v>
      </c>
      <c r="CO293" s="66">
        <v>17.7</v>
      </c>
      <c r="CP293" s="67">
        <v>0.0</v>
      </c>
      <c r="CQ293" s="63">
        <v>10.0</v>
      </c>
      <c r="CR293" s="63">
        <v>10.0</v>
      </c>
      <c r="CS293" s="63">
        <v>37.0</v>
      </c>
      <c r="CT293" s="68"/>
      <c r="CU293" s="69"/>
      <c r="CV293" s="70"/>
      <c r="CW293" s="71">
        <v>10.0</v>
      </c>
      <c r="CX293" s="71" t="s">
        <v>138</v>
      </c>
      <c r="CY293" s="71" t="s">
        <v>139</v>
      </c>
      <c r="CZ293" s="45"/>
      <c r="DA293" s="44">
        <v>3000.0</v>
      </c>
      <c r="DB293" s="44">
        <v>0.0</v>
      </c>
      <c r="DC293" s="46" t="s">
        <v>127</v>
      </c>
      <c r="DD293" s="47">
        <v>46197.0</v>
      </c>
      <c r="DE293" s="43"/>
      <c r="DF293" s="43"/>
      <c r="DG293" s="48" t="s">
        <v>128</v>
      </c>
      <c r="DH293" s="48" t="s">
        <v>128</v>
      </c>
      <c r="DI293" s="48" t="s">
        <v>128</v>
      </c>
      <c r="DJ293" s="49">
        <v>1.0</v>
      </c>
      <c r="DK293" s="48" t="b">
        <v>1</v>
      </c>
      <c r="DL293" s="50" t="s">
        <v>780</v>
      </c>
      <c r="DM293" s="50" t="s">
        <v>128</v>
      </c>
      <c r="DN293" s="50" t="s">
        <v>781</v>
      </c>
      <c r="DO293" s="49">
        <v>0.99</v>
      </c>
      <c r="DP293" s="48" t="s">
        <v>128</v>
      </c>
      <c r="DQ293" s="48" t="s">
        <v>128</v>
      </c>
      <c r="DR293" s="51"/>
      <c r="DS293" s="48" t="s">
        <v>134</v>
      </c>
    </row>
    <row r="294">
      <c r="A294" s="23" t="s">
        <v>118</v>
      </c>
      <c r="B294" s="24">
        <v>6.0</v>
      </c>
      <c r="C294" s="23" t="s">
        <v>747</v>
      </c>
      <c r="D294" s="24">
        <v>680603.0</v>
      </c>
      <c r="E294" s="23" t="s">
        <v>182</v>
      </c>
      <c r="F294" s="23" t="s">
        <v>800</v>
      </c>
      <c r="G294" s="23" t="s">
        <v>801</v>
      </c>
      <c r="H294" s="24">
        <v>33071.0</v>
      </c>
      <c r="I294" s="24">
        <v>2.0</v>
      </c>
      <c r="J294" s="24">
        <v>0.0</v>
      </c>
      <c r="K294" s="24">
        <v>0.0</v>
      </c>
      <c r="L294" s="24">
        <v>0.0</v>
      </c>
      <c r="M294" s="24">
        <v>0.0</v>
      </c>
      <c r="N294" s="24">
        <v>1.0</v>
      </c>
      <c r="O294" s="24">
        <v>0.0</v>
      </c>
      <c r="P294" s="24">
        <v>0.0</v>
      </c>
      <c r="Q294" s="24">
        <v>0.0</v>
      </c>
      <c r="R294" s="24">
        <v>0.0</v>
      </c>
      <c r="S294" s="24">
        <v>0.0</v>
      </c>
      <c r="T294" s="24">
        <v>0.0</v>
      </c>
      <c r="U294" s="24">
        <v>0.0</v>
      </c>
      <c r="V294" s="24">
        <v>0.0</v>
      </c>
      <c r="W294" s="24">
        <v>0.0</v>
      </c>
      <c r="X294" s="24">
        <v>0.0</v>
      </c>
      <c r="Y294" s="24">
        <v>0.0</v>
      </c>
      <c r="Z294" s="24">
        <v>0.0</v>
      </c>
      <c r="AA294" s="24">
        <v>0.0</v>
      </c>
      <c r="AB294" s="24">
        <v>0.0</v>
      </c>
      <c r="AC294" s="24">
        <v>0.0</v>
      </c>
      <c r="AD294" s="24">
        <v>0.0</v>
      </c>
      <c r="AE294" s="24">
        <v>0.0</v>
      </c>
      <c r="AF294" s="24">
        <v>1.0</v>
      </c>
      <c r="AG294" s="24">
        <v>0.0</v>
      </c>
      <c r="AH294" s="24">
        <v>0.0</v>
      </c>
      <c r="AI294" s="24">
        <v>0.0</v>
      </c>
      <c r="AJ294" s="24">
        <v>0.0</v>
      </c>
      <c r="AK294" s="24">
        <v>0.0</v>
      </c>
      <c r="AL294" s="24">
        <v>0.0</v>
      </c>
      <c r="AM294" s="24">
        <v>0.0</v>
      </c>
      <c r="AN294" s="24">
        <v>0.0</v>
      </c>
      <c r="AO294" s="55">
        <v>15.1</v>
      </c>
      <c r="AP294" s="26"/>
      <c r="AQ294" s="26"/>
      <c r="AR294" s="26"/>
      <c r="AS294" s="26"/>
      <c r="AT294" s="24">
        <v>0.0</v>
      </c>
      <c r="AU294" s="26"/>
      <c r="AV294" s="26"/>
      <c r="AW294" s="26"/>
      <c r="AX294" s="26"/>
      <c r="AY294" s="26"/>
      <c r="AZ294" s="26"/>
      <c r="BA294" s="26"/>
      <c r="BB294" s="26"/>
      <c r="BC294" s="26"/>
      <c r="BD294" s="26"/>
      <c r="BE294" s="26"/>
      <c r="BF294" s="26"/>
      <c r="BG294" s="26"/>
      <c r="BH294" s="26"/>
      <c r="BI294" s="26"/>
      <c r="BJ294" s="26"/>
      <c r="BK294" s="26"/>
      <c r="BL294" s="24">
        <v>15.35</v>
      </c>
      <c r="BM294" s="26"/>
      <c r="BN294" s="26"/>
      <c r="BO294" s="26"/>
      <c r="BP294" s="24">
        <v>0.78</v>
      </c>
      <c r="BQ294" s="24">
        <v>4.84</v>
      </c>
      <c r="BR294" s="24">
        <v>5.41</v>
      </c>
      <c r="BS294" s="25">
        <v>4.05</v>
      </c>
      <c r="BT294" s="91">
        <v>15.1</v>
      </c>
      <c r="BU294" s="25">
        <v>4.1</v>
      </c>
      <c r="BV294" s="57">
        <v>5.45</v>
      </c>
      <c r="BW294" s="26"/>
      <c r="BX294" s="24">
        <v>3000.0</v>
      </c>
      <c r="BY294" s="24" t="s">
        <v>123</v>
      </c>
      <c r="BZ294" s="28">
        <v>3000.0</v>
      </c>
      <c r="CA294" s="72"/>
      <c r="CB294" s="30">
        <v>3000.0</v>
      </c>
      <c r="CC294" s="31"/>
      <c r="CD294" s="28">
        <v>3000.0</v>
      </c>
      <c r="CE294" s="32" t="e">
        <v>#REF!</v>
      </c>
      <c r="CF294" s="33"/>
      <c r="CG294" s="34">
        <v>0.0</v>
      </c>
      <c r="CH294" s="35">
        <v>0.0</v>
      </c>
      <c r="CI294" s="36">
        <v>2.0</v>
      </c>
      <c r="CJ294" s="36">
        <v>2502.0</v>
      </c>
      <c r="CK294" s="37">
        <v>-13.0</v>
      </c>
      <c r="CL294" s="36">
        <v>2489.0</v>
      </c>
      <c r="CM294" s="38">
        <v>30.0</v>
      </c>
      <c r="CN294" s="36">
        <v>0.0</v>
      </c>
      <c r="CO294" s="39">
        <v>15.1</v>
      </c>
      <c r="CP294" s="40">
        <v>0.0</v>
      </c>
      <c r="CQ294" s="36">
        <v>2.0</v>
      </c>
      <c r="CR294" s="36">
        <v>2.0</v>
      </c>
      <c r="CS294" s="36">
        <v>8.0</v>
      </c>
      <c r="CT294" s="41"/>
      <c r="CU294" s="42"/>
      <c r="CV294" s="43"/>
      <c r="CW294" s="44">
        <v>10.0</v>
      </c>
      <c r="CX294" s="44" t="s">
        <v>138</v>
      </c>
      <c r="CY294" s="44" t="s">
        <v>139</v>
      </c>
      <c r="CZ294" s="45"/>
      <c r="DA294" s="44">
        <v>3000.0</v>
      </c>
      <c r="DB294" s="44">
        <v>0.0</v>
      </c>
      <c r="DC294" s="46" t="s">
        <v>127</v>
      </c>
      <c r="DD294" s="47">
        <v>46246.0</v>
      </c>
      <c r="DE294" s="43"/>
      <c r="DF294" s="43"/>
      <c r="DG294" s="48" t="s">
        <v>128</v>
      </c>
      <c r="DH294" s="48" t="s">
        <v>128</v>
      </c>
      <c r="DI294" s="48" t="s">
        <v>128</v>
      </c>
      <c r="DJ294" s="49">
        <v>1.0</v>
      </c>
      <c r="DK294" s="48" t="b">
        <v>1</v>
      </c>
      <c r="DL294" s="50" t="s">
        <v>780</v>
      </c>
      <c r="DM294" s="50" t="s">
        <v>128</v>
      </c>
      <c r="DN294" s="50" t="s">
        <v>781</v>
      </c>
      <c r="DO294" s="49">
        <v>0.99</v>
      </c>
      <c r="DP294" s="48" t="s">
        <v>128</v>
      </c>
      <c r="DQ294" s="48" t="s">
        <v>128</v>
      </c>
      <c r="DR294" s="51"/>
      <c r="DS294" s="48" t="s">
        <v>134</v>
      </c>
    </row>
    <row r="295">
      <c r="A295" s="52" t="s">
        <v>118</v>
      </c>
      <c r="B295" s="53">
        <v>6.0</v>
      </c>
      <c r="C295" s="52" t="s">
        <v>747</v>
      </c>
      <c r="D295" s="53">
        <v>536832.0</v>
      </c>
      <c r="E295" s="52" t="s">
        <v>158</v>
      </c>
      <c r="F295" s="52" t="s">
        <v>802</v>
      </c>
      <c r="G295" s="52" t="s">
        <v>803</v>
      </c>
      <c r="H295" s="53">
        <v>33071.0</v>
      </c>
      <c r="I295" s="53">
        <v>21.0</v>
      </c>
      <c r="J295" s="53">
        <v>0.0</v>
      </c>
      <c r="K295" s="53">
        <v>0.0</v>
      </c>
      <c r="L295" s="53">
        <v>0.0</v>
      </c>
      <c r="M295" s="53">
        <v>1.0</v>
      </c>
      <c r="N295" s="53">
        <v>2.0</v>
      </c>
      <c r="O295" s="53">
        <v>0.0</v>
      </c>
      <c r="P295" s="53">
        <v>0.0</v>
      </c>
      <c r="Q295" s="53">
        <v>1.0</v>
      </c>
      <c r="R295" s="53">
        <v>0.0</v>
      </c>
      <c r="S295" s="53">
        <v>0.0</v>
      </c>
      <c r="T295" s="53">
        <v>1.0</v>
      </c>
      <c r="U295" s="53">
        <v>0.0</v>
      </c>
      <c r="V295" s="53">
        <v>1.0</v>
      </c>
      <c r="W295" s="53">
        <v>2.0</v>
      </c>
      <c r="X295" s="53">
        <v>1.0</v>
      </c>
      <c r="Y295" s="53">
        <v>2.0</v>
      </c>
      <c r="Z295" s="53">
        <v>0.0</v>
      </c>
      <c r="AA295" s="53">
        <v>1.0</v>
      </c>
      <c r="AB295" s="53">
        <v>4.0</v>
      </c>
      <c r="AC295" s="53">
        <v>0.0</v>
      </c>
      <c r="AD295" s="53">
        <v>0.0</v>
      </c>
      <c r="AE295" s="53">
        <v>1.0</v>
      </c>
      <c r="AF295" s="53">
        <v>2.0</v>
      </c>
      <c r="AG295" s="53">
        <v>0.0</v>
      </c>
      <c r="AH295" s="53">
        <v>0.0</v>
      </c>
      <c r="AI295" s="53">
        <v>0.0</v>
      </c>
      <c r="AJ295" s="53">
        <v>0.0</v>
      </c>
      <c r="AK295" s="53">
        <v>0.0</v>
      </c>
      <c r="AL295" s="53">
        <v>0.0</v>
      </c>
      <c r="AM295" s="53">
        <v>0.0</v>
      </c>
      <c r="AN295" s="53">
        <v>2.0</v>
      </c>
      <c r="AO295" s="55">
        <v>15.8</v>
      </c>
      <c r="AP295" s="54"/>
      <c r="AQ295" s="54"/>
      <c r="AR295" s="54"/>
      <c r="AS295" s="53">
        <v>13.05</v>
      </c>
      <c r="AT295" s="53">
        <v>28.9</v>
      </c>
      <c r="AU295" s="54"/>
      <c r="AV295" s="54"/>
      <c r="AW295" s="53">
        <v>15.43</v>
      </c>
      <c r="AX295" s="54"/>
      <c r="AY295" s="54"/>
      <c r="AZ295" s="53">
        <v>20.62</v>
      </c>
      <c r="BA295" s="54"/>
      <c r="BB295" s="53">
        <v>11.62</v>
      </c>
      <c r="BC295" s="53">
        <v>15.39</v>
      </c>
      <c r="BD295" s="53">
        <v>18.08</v>
      </c>
      <c r="BE295" s="53">
        <v>15.28</v>
      </c>
      <c r="BF295" s="54"/>
      <c r="BG295" s="53">
        <v>17.95</v>
      </c>
      <c r="BH295" s="53">
        <v>16.85</v>
      </c>
      <c r="BI295" s="54"/>
      <c r="BJ295" s="54"/>
      <c r="BK295" s="53">
        <v>15.1</v>
      </c>
      <c r="BL295" s="53">
        <v>15.73</v>
      </c>
      <c r="BM295" s="54"/>
      <c r="BN295" s="54"/>
      <c r="BO295" s="53">
        <v>0.26</v>
      </c>
      <c r="BP295" s="53">
        <v>0.89</v>
      </c>
      <c r="BQ295" s="53">
        <v>4.82</v>
      </c>
      <c r="BR295" s="53">
        <v>5.51</v>
      </c>
      <c r="BS295" s="55">
        <v>3.81</v>
      </c>
      <c r="BT295" s="77">
        <v>14.9</v>
      </c>
      <c r="BU295" s="57">
        <v>1.8</v>
      </c>
      <c r="BV295" s="57">
        <v>3.96</v>
      </c>
      <c r="BW295" s="54"/>
      <c r="BX295" s="53">
        <v>3000.0</v>
      </c>
      <c r="BY295" s="53" t="s">
        <v>123</v>
      </c>
      <c r="BZ295" s="58">
        <v>3000.0</v>
      </c>
      <c r="CA295" s="72"/>
      <c r="CB295" s="30">
        <v>3000.0</v>
      </c>
      <c r="CC295" s="31"/>
      <c r="CD295" s="58">
        <v>3000.0</v>
      </c>
      <c r="CE295" s="59" t="e">
        <v>#REF!</v>
      </c>
      <c r="CF295" s="60"/>
      <c r="CG295" s="61">
        <v>0.0</v>
      </c>
      <c r="CH295" s="62">
        <v>0.0</v>
      </c>
      <c r="CI295" s="63">
        <v>21.0</v>
      </c>
      <c r="CJ295" s="63">
        <v>2502.0</v>
      </c>
      <c r="CK295" s="64">
        <v>-13.0</v>
      </c>
      <c r="CL295" s="63">
        <v>2489.0</v>
      </c>
      <c r="CM295" s="65">
        <v>332.0</v>
      </c>
      <c r="CN295" s="63">
        <v>0.0</v>
      </c>
      <c r="CO295" s="66">
        <v>15.8</v>
      </c>
      <c r="CP295" s="67">
        <v>0.0</v>
      </c>
      <c r="CQ295" s="63">
        <v>19.0</v>
      </c>
      <c r="CR295" s="63">
        <v>19.0</v>
      </c>
      <c r="CS295" s="63">
        <v>80.0</v>
      </c>
      <c r="CT295" s="68"/>
      <c r="CU295" s="69"/>
      <c r="CV295" s="70"/>
      <c r="CW295" s="71">
        <v>10.0</v>
      </c>
      <c r="CX295" s="71" t="s">
        <v>138</v>
      </c>
      <c r="CY295" s="71" t="s">
        <v>139</v>
      </c>
      <c r="CZ295" s="45"/>
      <c r="DA295" s="44">
        <v>3000.0</v>
      </c>
      <c r="DB295" s="44">
        <v>0.0</v>
      </c>
      <c r="DC295" s="46" t="s">
        <v>127</v>
      </c>
      <c r="DD295" s="47">
        <v>46213.0</v>
      </c>
      <c r="DE295" s="43"/>
      <c r="DF295" s="43"/>
      <c r="DG295" s="48" t="s">
        <v>128</v>
      </c>
      <c r="DH295" s="48" t="s">
        <v>128</v>
      </c>
      <c r="DI295" s="48" t="s">
        <v>128</v>
      </c>
      <c r="DJ295" s="49">
        <v>1.0</v>
      </c>
      <c r="DK295" s="48" t="b">
        <v>1</v>
      </c>
      <c r="DL295" s="50" t="s">
        <v>780</v>
      </c>
      <c r="DM295" s="50" t="s">
        <v>128</v>
      </c>
      <c r="DN295" s="50" t="s">
        <v>781</v>
      </c>
      <c r="DO295" s="49">
        <v>0.99</v>
      </c>
      <c r="DP295" s="48" t="s">
        <v>128</v>
      </c>
      <c r="DQ295" s="48" t="s">
        <v>128</v>
      </c>
      <c r="DR295" s="51"/>
      <c r="DS295" s="48" t="s">
        <v>134</v>
      </c>
    </row>
    <row r="296">
      <c r="A296" s="23" t="s">
        <v>118</v>
      </c>
      <c r="B296" s="24">
        <v>6.0</v>
      </c>
      <c r="C296" s="23" t="s">
        <v>747</v>
      </c>
      <c r="D296" s="24">
        <v>640888.0</v>
      </c>
      <c r="E296" s="23" t="s">
        <v>161</v>
      </c>
      <c r="F296" s="23" t="s">
        <v>804</v>
      </c>
      <c r="G296" s="23" t="s">
        <v>805</v>
      </c>
      <c r="H296" s="24">
        <v>33071.0</v>
      </c>
      <c r="I296" s="24">
        <v>7.0</v>
      </c>
      <c r="J296" s="24">
        <v>0.0</v>
      </c>
      <c r="K296" s="24">
        <v>0.0</v>
      </c>
      <c r="L296" s="24">
        <v>1.0</v>
      </c>
      <c r="M296" s="24">
        <v>0.0</v>
      </c>
      <c r="N296" s="24">
        <v>0.0</v>
      </c>
      <c r="O296" s="24">
        <v>0.0</v>
      </c>
      <c r="P296" s="24">
        <v>0.0</v>
      </c>
      <c r="Q296" s="24">
        <v>0.0</v>
      </c>
      <c r="R296" s="24">
        <v>1.0</v>
      </c>
      <c r="S296" s="24">
        <v>0.0</v>
      </c>
      <c r="T296" s="24">
        <v>0.0</v>
      </c>
      <c r="U296" s="24">
        <v>0.0</v>
      </c>
      <c r="V296" s="24">
        <v>0.0</v>
      </c>
      <c r="W296" s="24">
        <v>0.0</v>
      </c>
      <c r="X296" s="24">
        <v>0.0</v>
      </c>
      <c r="Y296" s="24">
        <v>1.0</v>
      </c>
      <c r="Z296" s="24">
        <v>0.0</v>
      </c>
      <c r="AA296" s="24">
        <v>0.0</v>
      </c>
      <c r="AB296" s="24">
        <v>1.0</v>
      </c>
      <c r="AC296" s="24">
        <v>0.0</v>
      </c>
      <c r="AD296" s="24">
        <v>0.0</v>
      </c>
      <c r="AE296" s="24">
        <v>1.0</v>
      </c>
      <c r="AF296" s="24">
        <v>1.0</v>
      </c>
      <c r="AG296" s="24">
        <v>0.0</v>
      </c>
      <c r="AH296" s="24">
        <v>0.0</v>
      </c>
      <c r="AI296" s="24">
        <v>0.0</v>
      </c>
      <c r="AJ296" s="24">
        <v>0.0</v>
      </c>
      <c r="AK296" s="24">
        <v>1.0</v>
      </c>
      <c r="AL296" s="24">
        <v>0.0</v>
      </c>
      <c r="AM296" s="24">
        <v>0.0</v>
      </c>
      <c r="AN296" s="24">
        <v>0.0</v>
      </c>
      <c r="AO296" s="25">
        <v>19.4</v>
      </c>
      <c r="AP296" s="26"/>
      <c r="AQ296" s="26"/>
      <c r="AR296" s="24">
        <v>25.45</v>
      </c>
      <c r="AS296" s="26"/>
      <c r="AT296" s="26"/>
      <c r="AU296" s="26"/>
      <c r="AV296" s="26"/>
      <c r="AW296" s="26"/>
      <c r="AX296" s="24">
        <v>15.98</v>
      </c>
      <c r="AY296" s="26"/>
      <c r="AZ296" s="26"/>
      <c r="BA296" s="26"/>
      <c r="BB296" s="26"/>
      <c r="BC296" s="26"/>
      <c r="BD296" s="26"/>
      <c r="BE296" s="24">
        <v>12.22</v>
      </c>
      <c r="BF296" s="26"/>
      <c r="BG296" s="26"/>
      <c r="BH296" s="24">
        <v>19.13</v>
      </c>
      <c r="BI296" s="26"/>
      <c r="BJ296" s="26"/>
      <c r="BK296" s="24">
        <v>20.62</v>
      </c>
      <c r="BL296" s="24">
        <v>13.73</v>
      </c>
      <c r="BM296" s="26"/>
      <c r="BN296" s="26"/>
      <c r="BO296" s="24">
        <v>0.48</v>
      </c>
      <c r="BP296" s="24">
        <v>1.04</v>
      </c>
      <c r="BQ296" s="24">
        <v>7.04</v>
      </c>
      <c r="BR296" s="24">
        <v>7.87</v>
      </c>
      <c r="BS296" s="55">
        <v>3.75</v>
      </c>
      <c r="BT296" s="77">
        <v>13.0</v>
      </c>
      <c r="BU296" s="57">
        <v>1.5</v>
      </c>
      <c r="BV296" s="55">
        <v>6.03</v>
      </c>
      <c r="BW296" s="26"/>
      <c r="BX296" s="24">
        <v>3000.0</v>
      </c>
      <c r="BY296" s="24" t="s">
        <v>123</v>
      </c>
      <c r="BZ296" s="28">
        <v>3000.0</v>
      </c>
      <c r="CA296" s="72"/>
      <c r="CB296" s="30">
        <v>3000.0</v>
      </c>
      <c r="CC296" s="31"/>
      <c r="CD296" s="28">
        <v>3000.0</v>
      </c>
      <c r="CE296" s="32" t="e">
        <v>#REF!</v>
      </c>
      <c r="CF296" s="33"/>
      <c r="CG296" s="34">
        <v>0.0</v>
      </c>
      <c r="CH296" s="35">
        <v>0.0</v>
      </c>
      <c r="CI296" s="36">
        <v>7.0</v>
      </c>
      <c r="CJ296" s="36">
        <v>2502.0</v>
      </c>
      <c r="CK296" s="37">
        <v>-13.0</v>
      </c>
      <c r="CL296" s="36">
        <v>2489.0</v>
      </c>
      <c r="CM296" s="38">
        <v>136.0</v>
      </c>
      <c r="CN296" s="36">
        <v>0.0</v>
      </c>
      <c r="CO296" s="39">
        <v>19.4</v>
      </c>
      <c r="CP296" s="40">
        <v>0.0</v>
      </c>
      <c r="CQ296" s="36">
        <v>7.0</v>
      </c>
      <c r="CR296" s="36">
        <v>7.0</v>
      </c>
      <c r="CS296" s="36">
        <v>26.0</v>
      </c>
      <c r="CT296" s="41"/>
      <c r="CU296" s="42"/>
      <c r="CV296" s="43"/>
      <c r="CW296" s="44">
        <v>10.0</v>
      </c>
      <c r="CX296" s="44" t="s">
        <v>138</v>
      </c>
      <c r="CY296" s="44" t="s">
        <v>139</v>
      </c>
      <c r="CZ296" s="45"/>
      <c r="DA296" s="44">
        <v>3000.0</v>
      </c>
      <c r="DB296" s="44">
        <v>0.0</v>
      </c>
      <c r="DC296" s="46" t="s">
        <v>127</v>
      </c>
      <c r="DD296" s="47">
        <v>46246.0</v>
      </c>
      <c r="DE296" s="43"/>
      <c r="DF296" s="43"/>
      <c r="DG296" s="48" t="s">
        <v>128</v>
      </c>
      <c r="DH296" s="48" t="s">
        <v>128</v>
      </c>
      <c r="DI296" s="48" t="s">
        <v>128</v>
      </c>
      <c r="DJ296" s="49">
        <v>0.0</v>
      </c>
      <c r="DK296" s="48" t="b">
        <v>0</v>
      </c>
      <c r="DL296" s="50" t="s">
        <v>780</v>
      </c>
      <c r="DM296" s="50" t="s">
        <v>128</v>
      </c>
      <c r="DN296" s="50" t="s">
        <v>781</v>
      </c>
      <c r="DO296" s="49">
        <v>0.99</v>
      </c>
      <c r="DP296" s="48" t="s">
        <v>128</v>
      </c>
      <c r="DQ296" s="48" t="s">
        <v>128</v>
      </c>
      <c r="DR296" s="51"/>
      <c r="DS296" s="48" t="s">
        <v>134</v>
      </c>
    </row>
    <row r="297">
      <c r="A297" s="52" t="s">
        <v>118</v>
      </c>
      <c r="B297" s="53">
        <v>6.0</v>
      </c>
      <c r="C297" s="52" t="s">
        <v>747</v>
      </c>
      <c r="D297" s="53">
        <v>680588.0</v>
      </c>
      <c r="E297" s="52" t="s">
        <v>251</v>
      </c>
      <c r="F297" s="52" t="s">
        <v>806</v>
      </c>
      <c r="G297" s="52" t="s">
        <v>807</v>
      </c>
      <c r="H297" s="53">
        <v>33071.0</v>
      </c>
      <c r="I297" s="53">
        <v>1.0</v>
      </c>
      <c r="J297" s="53">
        <v>0.0</v>
      </c>
      <c r="K297" s="53">
        <v>0.0</v>
      </c>
      <c r="L297" s="53">
        <v>0.0</v>
      </c>
      <c r="M297" s="53">
        <v>0.0</v>
      </c>
      <c r="N297" s="53">
        <v>0.0</v>
      </c>
      <c r="O297" s="53">
        <v>0.0</v>
      </c>
      <c r="P297" s="53">
        <v>0.0</v>
      </c>
      <c r="Q297" s="53">
        <v>0.0</v>
      </c>
      <c r="R297" s="53">
        <v>0.0</v>
      </c>
      <c r="S297" s="53">
        <v>0.0</v>
      </c>
      <c r="T297" s="53">
        <v>0.0</v>
      </c>
      <c r="U297" s="53">
        <v>1.0</v>
      </c>
      <c r="V297" s="53">
        <v>0.0</v>
      </c>
      <c r="W297" s="53">
        <v>0.0</v>
      </c>
      <c r="X297" s="53">
        <v>0.0</v>
      </c>
      <c r="Y297" s="53">
        <v>0.0</v>
      </c>
      <c r="Z297" s="53">
        <v>0.0</v>
      </c>
      <c r="AA297" s="53">
        <v>0.0</v>
      </c>
      <c r="AB297" s="53">
        <v>0.0</v>
      </c>
      <c r="AC297" s="53">
        <v>0.0</v>
      </c>
      <c r="AD297" s="53">
        <v>0.0</v>
      </c>
      <c r="AE297" s="53">
        <v>0.0</v>
      </c>
      <c r="AF297" s="53">
        <v>0.0</v>
      </c>
      <c r="AG297" s="53">
        <v>0.0</v>
      </c>
      <c r="AH297" s="53">
        <v>0.0</v>
      </c>
      <c r="AI297" s="53">
        <v>0.0</v>
      </c>
      <c r="AJ297" s="53">
        <v>0.0</v>
      </c>
      <c r="AK297" s="53">
        <v>0.0</v>
      </c>
      <c r="AL297" s="53">
        <v>0.0</v>
      </c>
      <c r="AM297" s="53">
        <v>0.0</v>
      </c>
      <c r="AN297" s="53">
        <v>0.0</v>
      </c>
      <c r="AO297" s="57">
        <v>12.5</v>
      </c>
      <c r="AP297" s="54"/>
      <c r="AQ297" s="54"/>
      <c r="AR297" s="54"/>
      <c r="AS297" s="54"/>
      <c r="AT297" s="54"/>
      <c r="AU297" s="54"/>
      <c r="AV297" s="54"/>
      <c r="AW297" s="54"/>
      <c r="AX297" s="54"/>
      <c r="AY297" s="54"/>
      <c r="AZ297" s="54"/>
      <c r="BA297" s="53">
        <v>12.45</v>
      </c>
      <c r="BB297" s="54"/>
      <c r="BC297" s="54"/>
      <c r="BD297" s="54"/>
      <c r="BE297" s="54"/>
      <c r="BF297" s="54"/>
      <c r="BG297" s="54"/>
      <c r="BH297" s="54"/>
      <c r="BI297" s="54"/>
      <c r="BJ297" s="54"/>
      <c r="BK297" s="54"/>
      <c r="BL297" s="54"/>
      <c r="BM297" s="54"/>
      <c r="BN297" s="54"/>
      <c r="BO297" s="54"/>
      <c r="BP297" s="53">
        <v>0.75</v>
      </c>
      <c r="BQ297" s="53">
        <v>2.95</v>
      </c>
      <c r="BR297" s="53">
        <v>3.52</v>
      </c>
      <c r="BS297" s="55">
        <v>3.62</v>
      </c>
      <c r="BT297" s="81"/>
      <c r="BU297" s="54"/>
      <c r="BV297" s="54"/>
      <c r="BW297" s="54"/>
      <c r="BX297" s="53">
        <v>3000.0</v>
      </c>
      <c r="BY297" s="53" t="s">
        <v>123</v>
      </c>
      <c r="BZ297" s="58">
        <v>3000.0</v>
      </c>
      <c r="CA297" s="72"/>
      <c r="CB297" s="30">
        <v>3000.0</v>
      </c>
      <c r="CC297" s="31"/>
      <c r="CD297" s="58">
        <v>3000.0</v>
      </c>
      <c r="CE297" s="59" t="e">
        <v>#REF!</v>
      </c>
      <c r="CF297" s="60"/>
      <c r="CG297" s="61">
        <v>0.0</v>
      </c>
      <c r="CH297" s="62">
        <v>0.0</v>
      </c>
      <c r="CI297" s="63">
        <v>1.0</v>
      </c>
      <c r="CJ297" s="63">
        <v>2502.0</v>
      </c>
      <c r="CK297" s="64">
        <v>-13.0</v>
      </c>
      <c r="CL297" s="63">
        <v>2489.0</v>
      </c>
      <c r="CM297" s="65">
        <v>13.0</v>
      </c>
      <c r="CN297" s="63">
        <v>0.0</v>
      </c>
      <c r="CO297" s="66">
        <v>12.5</v>
      </c>
      <c r="CP297" s="67">
        <v>0.0</v>
      </c>
      <c r="CQ297" s="63">
        <v>1.0</v>
      </c>
      <c r="CR297" s="63">
        <v>1.0</v>
      </c>
      <c r="CS297" s="63">
        <v>4.0</v>
      </c>
      <c r="CT297" s="68"/>
      <c r="CU297" s="69"/>
      <c r="CV297" s="70"/>
      <c r="CW297" s="71">
        <v>10.0</v>
      </c>
      <c r="CX297" s="71" t="s">
        <v>138</v>
      </c>
      <c r="CY297" s="71" t="s">
        <v>139</v>
      </c>
      <c r="CZ297" s="45"/>
      <c r="DA297" s="44">
        <v>3000.0</v>
      </c>
      <c r="DB297" s="44">
        <v>0.0</v>
      </c>
      <c r="DC297" s="46" t="s">
        <v>127</v>
      </c>
      <c r="DD297" s="47">
        <v>46245.0</v>
      </c>
      <c r="DE297" s="43"/>
      <c r="DF297" s="43"/>
      <c r="DG297" s="48" t="s">
        <v>128</v>
      </c>
      <c r="DH297" s="48" t="s">
        <v>128</v>
      </c>
      <c r="DI297" s="48" t="s">
        <v>129</v>
      </c>
      <c r="DJ297" s="49">
        <v>1.0</v>
      </c>
      <c r="DK297" s="48" t="b">
        <v>0</v>
      </c>
      <c r="DL297" s="50" t="s">
        <v>780</v>
      </c>
      <c r="DM297" s="50" t="s">
        <v>128</v>
      </c>
      <c r="DN297" s="50" t="s">
        <v>781</v>
      </c>
      <c r="DO297" s="49">
        <v>0.99</v>
      </c>
      <c r="DP297" s="48" t="s">
        <v>128</v>
      </c>
      <c r="DQ297" s="48" t="s">
        <v>133</v>
      </c>
      <c r="DR297" s="51"/>
      <c r="DS297" s="48" t="s">
        <v>134</v>
      </c>
    </row>
    <row r="298">
      <c r="A298" s="23" t="s">
        <v>118</v>
      </c>
      <c r="B298" s="24">
        <v>6.0</v>
      </c>
      <c r="C298" s="23" t="s">
        <v>747</v>
      </c>
      <c r="D298" s="24">
        <v>642178.0</v>
      </c>
      <c r="E298" s="23" t="s">
        <v>205</v>
      </c>
      <c r="F298" s="23" t="s">
        <v>808</v>
      </c>
      <c r="G298" s="23" t="s">
        <v>809</v>
      </c>
      <c r="H298" s="24">
        <v>33071.0</v>
      </c>
      <c r="I298" s="24">
        <v>14.0</v>
      </c>
      <c r="J298" s="24">
        <v>0.0</v>
      </c>
      <c r="K298" s="24">
        <v>0.0</v>
      </c>
      <c r="L298" s="24">
        <v>0.0</v>
      </c>
      <c r="M298" s="24">
        <v>0.0</v>
      </c>
      <c r="N298" s="24">
        <v>0.0</v>
      </c>
      <c r="O298" s="24">
        <v>0.0</v>
      </c>
      <c r="P298" s="24">
        <v>0.0</v>
      </c>
      <c r="Q298" s="24">
        <v>1.0</v>
      </c>
      <c r="R298" s="24">
        <v>1.0</v>
      </c>
      <c r="S298" s="24">
        <v>0.0</v>
      </c>
      <c r="T298" s="24">
        <v>0.0</v>
      </c>
      <c r="U298" s="24">
        <v>0.0</v>
      </c>
      <c r="V298" s="24">
        <v>0.0</v>
      </c>
      <c r="W298" s="24">
        <v>0.0</v>
      </c>
      <c r="X298" s="24">
        <v>1.0</v>
      </c>
      <c r="Y298" s="24">
        <v>2.0</v>
      </c>
      <c r="Z298" s="24">
        <v>1.0</v>
      </c>
      <c r="AA298" s="24">
        <v>0.0</v>
      </c>
      <c r="AB298" s="24">
        <v>0.0</v>
      </c>
      <c r="AC298" s="24">
        <v>0.0</v>
      </c>
      <c r="AD298" s="24">
        <v>1.0</v>
      </c>
      <c r="AE298" s="24">
        <v>3.0</v>
      </c>
      <c r="AF298" s="24">
        <v>1.0</v>
      </c>
      <c r="AG298" s="24">
        <v>2.0</v>
      </c>
      <c r="AH298" s="24">
        <v>0.0</v>
      </c>
      <c r="AI298" s="24">
        <v>0.0</v>
      </c>
      <c r="AJ298" s="24">
        <v>0.0</v>
      </c>
      <c r="AK298" s="24">
        <v>0.0</v>
      </c>
      <c r="AL298" s="24">
        <v>0.0</v>
      </c>
      <c r="AM298" s="24">
        <v>1.0</v>
      </c>
      <c r="AN298" s="24">
        <v>0.0</v>
      </c>
      <c r="AO298" s="25">
        <v>18.4</v>
      </c>
      <c r="AP298" s="26"/>
      <c r="AQ298" s="26"/>
      <c r="AR298" s="26"/>
      <c r="AS298" s="26"/>
      <c r="AT298" s="26"/>
      <c r="AU298" s="26"/>
      <c r="AV298" s="26"/>
      <c r="AW298" s="24">
        <v>16.15</v>
      </c>
      <c r="AX298" s="24">
        <v>19.27</v>
      </c>
      <c r="AY298" s="26"/>
      <c r="AZ298" s="26"/>
      <c r="BA298" s="26"/>
      <c r="BB298" s="26"/>
      <c r="BC298" s="26"/>
      <c r="BD298" s="24">
        <v>19.85</v>
      </c>
      <c r="BE298" s="24">
        <v>20.14</v>
      </c>
      <c r="BF298" s="24">
        <v>21.82</v>
      </c>
      <c r="BG298" s="26"/>
      <c r="BH298" s="26"/>
      <c r="BI298" s="26"/>
      <c r="BJ298" s="24">
        <v>10.97</v>
      </c>
      <c r="BK298" s="24">
        <v>19.15</v>
      </c>
      <c r="BL298" s="24">
        <v>16.2</v>
      </c>
      <c r="BM298" s="24">
        <v>15.8</v>
      </c>
      <c r="BN298" s="26"/>
      <c r="BO298" s="24">
        <v>0.4</v>
      </c>
      <c r="BP298" s="24">
        <v>2.46</v>
      </c>
      <c r="BQ298" s="24">
        <v>5.6</v>
      </c>
      <c r="BR298" s="24">
        <v>7.86</v>
      </c>
      <c r="BS298" s="55">
        <v>3.45</v>
      </c>
      <c r="BT298" s="56">
        <v>17.9</v>
      </c>
      <c r="BU298" s="57">
        <v>2.3</v>
      </c>
      <c r="BV298" s="57">
        <v>5.8</v>
      </c>
      <c r="BW298" s="24">
        <v>1400.0</v>
      </c>
      <c r="BX298" s="24">
        <v>3000.0</v>
      </c>
      <c r="BY298" s="24" t="s">
        <v>123</v>
      </c>
      <c r="BZ298" s="28">
        <v>3000.0</v>
      </c>
      <c r="CA298" s="72"/>
      <c r="CB298" s="30">
        <v>3000.0</v>
      </c>
      <c r="CC298" s="31"/>
      <c r="CD298" s="28">
        <v>3000.0</v>
      </c>
      <c r="CE298" s="32" t="e">
        <v>#REF!</v>
      </c>
      <c r="CF298" s="33"/>
      <c r="CG298" s="34">
        <v>0.0</v>
      </c>
      <c r="CH298" s="35">
        <v>0.0</v>
      </c>
      <c r="CI298" s="36">
        <v>14.0</v>
      </c>
      <c r="CJ298" s="36">
        <v>2502.0</v>
      </c>
      <c r="CK298" s="37">
        <v>-13.0</v>
      </c>
      <c r="CL298" s="36">
        <v>2489.0</v>
      </c>
      <c r="CM298" s="38">
        <v>258.0</v>
      </c>
      <c r="CN298" s="36">
        <v>0.0</v>
      </c>
      <c r="CO298" s="39">
        <v>18.4</v>
      </c>
      <c r="CP298" s="40">
        <v>0.0</v>
      </c>
      <c r="CQ298" s="36">
        <v>34.0</v>
      </c>
      <c r="CR298" s="36">
        <v>34.0</v>
      </c>
      <c r="CS298" s="36">
        <v>48.0</v>
      </c>
      <c r="CT298" s="41"/>
      <c r="CU298" s="42"/>
      <c r="CV298" s="43"/>
      <c r="CW298" s="44">
        <v>10.0</v>
      </c>
      <c r="CX298" s="44" t="s">
        <v>138</v>
      </c>
      <c r="CY298" s="44" t="s">
        <v>139</v>
      </c>
      <c r="CZ298" s="45"/>
      <c r="DA298" s="44">
        <v>3000.0</v>
      </c>
      <c r="DB298" s="44">
        <v>0.0</v>
      </c>
      <c r="DC298" s="46" t="s">
        <v>127</v>
      </c>
      <c r="DD298" s="47">
        <v>46228.0</v>
      </c>
      <c r="DE298" s="43"/>
      <c r="DF298" s="43"/>
      <c r="DG298" s="48" t="s">
        <v>128</v>
      </c>
      <c r="DH298" s="48" t="s">
        <v>128</v>
      </c>
      <c r="DI298" s="48" t="s">
        <v>128</v>
      </c>
      <c r="DJ298" s="49">
        <v>1.0</v>
      </c>
      <c r="DK298" s="48" t="b">
        <v>0</v>
      </c>
      <c r="DL298" s="50" t="s">
        <v>780</v>
      </c>
      <c r="DM298" s="50" t="s">
        <v>128</v>
      </c>
      <c r="DN298" s="50" t="s">
        <v>781</v>
      </c>
      <c r="DO298" s="49">
        <v>0.99</v>
      </c>
      <c r="DP298" s="48" t="s">
        <v>128</v>
      </c>
      <c r="DQ298" s="48" t="s">
        <v>128</v>
      </c>
      <c r="DR298" s="51"/>
      <c r="DS298" s="48" t="s">
        <v>134</v>
      </c>
    </row>
    <row r="299">
      <c r="A299" s="52" t="s">
        <v>118</v>
      </c>
      <c r="B299" s="53">
        <v>6.0</v>
      </c>
      <c r="C299" s="52" t="s">
        <v>747</v>
      </c>
      <c r="D299" s="53">
        <v>643373.0</v>
      </c>
      <c r="E299" s="52" t="s">
        <v>120</v>
      </c>
      <c r="F299" s="52" t="s">
        <v>810</v>
      </c>
      <c r="G299" s="52" t="s">
        <v>811</v>
      </c>
      <c r="H299" s="53">
        <v>33071.0</v>
      </c>
      <c r="I299" s="53">
        <v>6.0</v>
      </c>
      <c r="J299" s="53">
        <v>0.0</v>
      </c>
      <c r="K299" s="53">
        <v>0.0</v>
      </c>
      <c r="L299" s="53">
        <v>0.0</v>
      </c>
      <c r="M299" s="53">
        <v>0.0</v>
      </c>
      <c r="N299" s="53">
        <v>0.0</v>
      </c>
      <c r="O299" s="53">
        <v>0.0</v>
      </c>
      <c r="P299" s="53">
        <v>0.0</v>
      </c>
      <c r="Q299" s="53">
        <v>0.0</v>
      </c>
      <c r="R299" s="53">
        <v>0.0</v>
      </c>
      <c r="S299" s="53">
        <v>0.0</v>
      </c>
      <c r="T299" s="53">
        <v>0.0</v>
      </c>
      <c r="U299" s="53">
        <v>0.0</v>
      </c>
      <c r="V299" s="53">
        <v>0.0</v>
      </c>
      <c r="W299" s="53">
        <v>0.0</v>
      </c>
      <c r="X299" s="53">
        <v>0.0</v>
      </c>
      <c r="Y299" s="53">
        <v>0.0</v>
      </c>
      <c r="Z299" s="53">
        <v>0.0</v>
      </c>
      <c r="AA299" s="53">
        <v>0.0</v>
      </c>
      <c r="AB299" s="53">
        <v>1.0</v>
      </c>
      <c r="AC299" s="53">
        <v>0.0</v>
      </c>
      <c r="AD299" s="53">
        <v>0.0</v>
      </c>
      <c r="AE299" s="53">
        <v>0.0</v>
      </c>
      <c r="AF299" s="53">
        <v>2.0</v>
      </c>
      <c r="AG299" s="53">
        <v>0.0</v>
      </c>
      <c r="AH299" s="53">
        <v>0.0</v>
      </c>
      <c r="AI299" s="53">
        <v>0.0</v>
      </c>
      <c r="AJ299" s="53">
        <v>0.0</v>
      </c>
      <c r="AK299" s="53">
        <v>0.0</v>
      </c>
      <c r="AL299" s="53">
        <v>3.0</v>
      </c>
      <c r="AM299" s="53">
        <v>0.0</v>
      </c>
      <c r="AN299" s="53">
        <v>0.0</v>
      </c>
      <c r="AO299" s="57">
        <v>14.6</v>
      </c>
      <c r="AP299" s="54"/>
      <c r="AQ299" s="54"/>
      <c r="AR299" s="54"/>
      <c r="AS299" s="54"/>
      <c r="AT299" s="54"/>
      <c r="AU299" s="54"/>
      <c r="AV299" s="54"/>
      <c r="AW299" s="54"/>
      <c r="AX299" s="54"/>
      <c r="AY299" s="54"/>
      <c r="AZ299" s="54"/>
      <c r="BA299" s="54"/>
      <c r="BB299" s="54"/>
      <c r="BC299" s="54"/>
      <c r="BD299" s="54"/>
      <c r="BE299" s="54"/>
      <c r="BF299" s="54"/>
      <c r="BG299" s="54"/>
      <c r="BH299" s="53">
        <v>11.72</v>
      </c>
      <c r="BI299" s="54"/>
      <c r="BJ299" s="54"/>
      <c r="BK299" s="54"/>
      <c r="BL299" s="53">
        <v>14.43</v>
      </c>
      <c r="BM299" s="54"/>
      <c r="BN299" s="54"/>
      <c r="BO299" s="53">
        <v>0.26</v>
      </c>
      <c r="BP299" s="53">
        <v>0.63</v>
      </c>
      <c r="BQ299" s="53">
        <v>4.89</v>
      </c>
      <c r="BR299" s="53">
        <v>5.32</v>
      </c>
      <c r="BS299" s="57">
        <v>2.99</v>
      </c>
      <c r="BT299" s="91">
        <v>15.5</v>
      </c>
      <c r="BU299" s="57">
        <v>2.6</v>
      </c>
      <c r="BV299" s="55">
        <v>6.67</v>
      </c>
      <c r="BW299" s="54"/>
      <c r="BX299" s="53">
        <v>3000.0</v>
      </c>
      <c r="BY299" s="53" t="s">
        <v>123</v>
      </c>
      <c r="BZ299" s="58">
        <v>3000.0</v>
      </c>
      <c r="CA299" s="72"/>
      <c r="CB299" s="30">
        <v>3000.0</v>
      </c>
      <c r="CC299" s="31"/>
      <c r="CD299" s="58">
        <v>3000.0</v>
      </c>
      <c r="CE299" s="59" t="e">
        <v>#REF!</v>
      </c>
      <c r="CF299" s="60"/>
      <c r="CG299" s="61">
        <v>0.0</v>
      </c>
      <c r="CH299" s="62">
        <v>0.0</v>
      </c>
      <c r="CI299" s="63">
        <v>6.0</v>
      </c>
      <c r="CJ299" s="63">
        <v>2502.0</v>
      </c>
      <c r="CK299" s="64">
        <v>-13.0</v>
      </c>
      <c r="CL299" s="63">
        <v>2489.0</v>
      </c>
      <c r="CM299" s="65">
        <v>88.0</v>
      </c>
      <c r="CN299" s="63">
        <v>0.0</v>
      </c>
      <c r="CO299" s="66">
        <v>14.6</v>
      </c>
      <c r="CP299" s="67">
        <v>0.0</v>
      </c>
      <c r="CQ299" s="63">
        <v>4.0</v>
      </c>
      <c r="CR299" s="63">
        <v>4.0</v>
      </c>
      <c r="CS299" s="63">
        <v>18.0</v>
      </c>
      <c r="CT299" s="68"/>
      <c r="CU299" s="69"/>
      <c r="CV299" s="70"/>
      <c r="CW299" s="71">
        <v>10.0</v>
      </c>
      <c r="CX299" s="71" t="s">
        <v>138</v>
      </c>
      <c r="CY299" s="71" t="s">
        <v>139</v>
      </c>
      <c r="CZ299" s="45"/>
      <c r="DA299" s="44">
        <v>3000.0</v>
      </c>
      <c r="DB299" s="44">
        <v>0.0</v>
      </c>
      <c r="DC299" s="46" t="s">
        <v>127</v>
      </c>
      <c r="DD299" s="47">
        <v>46246.0</v>
      </c>
      <c r="DE299" s="43"/>
      <c r="DF299" s="43"/>
      <c r="DG299" s="48" t="s">
        <v>128</v>
      </c>
      <c r="DH299" s="48" t="s">
        <v>128</v>
      </c>
      <c r="DI299" s="48" t="s">
        <v>128</v>
      </c>
      <c r="DJ299" s="49">
        <v>0.0</v>
      </c>
      <c r="DK299" s="48" t="b">
        <v>0</v>
      </c>
      <c r="DL299" s="50" t="s">
        <v>780</v>
      </c>
      <c r="DM299" s="50" t="s">
        <v>128</v>
      </c>
      <c r="DN299" s="50" t="s">
        <v>781</v>
      </c>
      <c r="DO299" s="49">
        <v>0.99</v>
      </c>
      <c r="DP299" s="48" t="s">
        <v>128</v>
      </c>
      <c r="DQ299" s="48" t="s">
        <v>128</v>
      </c>
      <c r="DR299" s="51"/>
      <c r="DS299" s="48" t="s">
        <v>134</v>
      </c>
    </row>
    <row r="300">
      <c r="A300" s="23" t="s">
        <v>118</v>
      </c>
      <c r="B300" s="24">
        <v>6.0</v>
      </c>
      <c r="C300" s="23" t="s">
        <v>747</v>
      </c>
      <c r="D300" s="24">
        <v>648803.0</v>
      </c>
      <c r="E300" s="23" t="s">
        <v>189</v>
      </c>
      <c r="F300" s="23" t="s">
        <v>812</v>
      </c>
      <c r="G300" s="23" t="s">
        <v>813</v>
      </c>
      <c r="H300" s="24">
        <v>33071.0</v>
      </c>
      <c r="I300" s="24">
        <v>2.0</v>
      </c>
      <c r="J300" s="24">
        <v>0.0</v>
      </c>
      <c r="K300" s="24">
        <v>0.0</v>
      </c>
      <c r="L300" s="24">
        <v>0.0</v>
      </c>
      <c r="M300" s="24">
        <v>0.0</v>
      </c>
      <c r="N300" s="24">
        <v>0.0</v>
      </c>
      <c r="O300" s="24">
        <v>0.0</v>
      </c>
      <c r="P300" s="24">
        <v>0.0</v>
      </c>
      <c r="Q300" s="24">
        <v>0.0</v>
      </c>
      <c r="R300" s="24">
        <v>0.0</v>
      </c>
      <c r="S300" s="24">
        <v>0.0</v>
      </c>
      <c r="T300" s="24">
        <v>0.0</v>
      </c>
      <c r="U300" s="24">
        <v>0.0</v>
      </c>
      <c r="V300" s="24">
        <v>0.0</v>
      </c>
      <c r="W300" s="24">
        <v>0.0</v>
      </c>
      <c r="X300" s="24">
        <v>0.0</v>
      </c>
      <c r="Y300" s="24">
        <v>0.0</v>
      </c>
      <c r="Z300" s="24">
        <v>1.0</v>
      </c>
      <c r="AA300" s="24">
        <v>0.0</v>
      </c>
      <c r="AB300" s="24">
        <v>1.0</v>
      </c>
      <c r="AC300" s="24">
        <v>0.0</v>
      </c>
      <c r="AD300" s="24">
        <v>0.0</v>
      </c>
      <c r="AE300" s="24">
        <v>0.0</v>
      </c>
      <c r="AF300" s="24">
        <v>0.0</v>
      </c>
      <c r="AG300" s="24">
        <v>0.0</v>
      </c>
      <c r="AH300" s="24">
        <v>0.0</v>
      </c>
      <c r="AI300" s="24">
        <v>0.0</v>
      </c>
      <c r="AJ300" s="24">
        <v>0.0</v>
      </c>
      <c r="AK300" s="24">
        <v>0.0</v>
      </c>
      <c r="AL300" s="24">
        <v>0.0</v>
      </c>
      <c r="AM300" s="24">
        <v>0.0</v>
      </c>
      <c r="AN300" s="24">
        <v>0.0</v>
      </c>
      <c r="AO300" s="55">
        <v>16.6</v>
      </c>
      <c r="AP300" s="26"/>
      <c r="AQ300" s="26"/>
      <c r="AR300" s="26"/>
      <c r="AS300" s="26"/>
      <c r="AT300" s="26"/>
      <c r="AU300" s="26"/>
      <c r="AV300" s="26"/>
      <c r="AW300" s="26"/>
      <c r="AX300" s="26"/>
      <c r="AY300" s="26"/>
      <c r="AZ300" s="26"/>
      <c r="BA300" s="26"/>
      <c r="BB300" s="26"/>
      <c r="BC300" s="26"/>
      <c r="BD300" s="26"/>
      <c r="BE300" s="26"/>
      <c r="BF300" s="24">
        <v>13.25</v>
      </c>
      <c r="BG300" s="26"/>
      <c r="BH300" s="24">
        <v>20.0</v>
      </c>
      <c r="BI300" s="26"/>
      <c r="BJ300" s="26"/>
      <c r="BK300" s="26"/>
      <c r="BL300" s="26"/>
      <c r="BM300" s="26"/>
      <c r="BN300" s="26"/>
      <c r="BO300" s="26"/>
      <c r="BP300" s="24">
        <v>0.93</v>
      </c>
      <c r="BQ300" s="24">
        <v>7.38</v>
      </c>
      <c r="BR300" s="24">
        <v>8.13</v>
      </c>
      <c r="BS300" s="57">
        <v>2.13</v>
      </c>
      <c r="BT300" s="56">
        <v>20.0</v>
      </c>
      <c r="BU300" s="55">
        <v>3.5</v>
      </c>
      <c r="BV300" s="57">
        <v>5.53</v>
      </c>
      <c r="BW300" s="26"/>
      <c r="BX300" s="24">
        <v>3000.0</v>
      </c>
      <c r="BY300" s="24" t="s">
        <v>123</v>
      </c>
      <c r="BZ300" s="28">
        <v>3000.0</v>
      </c>
      <c r="CA300" s="72"/>
      <c r="CB300" s="30">
        <v>3000.0</v>
      </c>
      <c r="CC300" s="31"/>
      <c r="CD300" s="28">
        <v>3000.0</v>
      </c>
      <c r="CE300" s="32" t="e">
        <v>#REF!</v>
      </c>
      <c r="CF300" s="33"/>
      <c r="CG300" s="34">
        <v>0.0</v>
      </c>
      <c r="CH300" s="35">
        <v>0.0</v>
      </c>
      <c r="CI300" s="36">
        <v>2.0</v>
      </c>
      <c r="CJ300" s="36">
        <v>2502.0</v>
      </c>
      <c r="CK300" s="37">
        <v>-13.0</v>
      </c>
      <c r="CL300" s="36">
        <v>2489.0</v>
      </c>
      <c r="CM300" s="38">
        <v>33.0</v>
      </c>
      <c r="CN300" s="36">
        <v>0.0</v>
      </c>
      <c r="CO300" s="39">
        <v>16.6</v>
      </c>
      <c r="CP300" s="40">
        <v>0.0</v>
      </c>
      <c r="CQ300" s="36">
        <v>2.0</v>
      </c>
      <c r="CR300" s="36">
        <v>2.0</v>
      </c>
      <c r="CS300" s="36">
        <v>4.0</v>
      </c>
      <c r="CT300" s="41"/>
      <c r="CU300" s="42"/>
      <c r="CV300" s="43"/>
      <c r="CW300" s="44">
        <v>10.0</v>
      </c>
      <c r="CX300" s="44" t="s">
        <v>138</v>
      </c>
      <c r="CY300" s="44" t="s">
        <v>139</v>
      </c>
      <c r="CZ300" s="45"/>
      <c r="DA300" s="44">
        <v>3000.0</v>
      </c>
      <c r="DB300" s="44">
        <v>0.0</v>
      </c>
      <c r="DC300" s="46" t="s">
        <v>127</v>
      </c>
      <c r="DD300" s="47">
        <v>46231.0</v>
      </c>
      <c r="DE300" s="43"/>
      <c r="DF300" s="43"/>
      <c r="DG300" s="48" t="s">
        <v>128</v>
      </c>
      <c r="DH300" s="48" t="s">
        <v>128</v>
      </c>
      <c r="DI300" s="48" t="s">
        <v>128</v>
      </c>
      <c r="DJ300" s="49">
        <v>0.0</v>
      </c>
      <c r="DK300" s="48" t="b">
        <v>0</v>
      </c>
      <c r="DL300" s="50" t="s">
        <v>780</v>
      </c>
      <c r="DM300" s="50" t="s">
        <v>128</v>
      </c>
      <c r="DN300" s="50" t="s">
        <v>781</v>
      </c>
      <c r="DO300" s="49">
        <v>0.99</v>
      </c>
      <c r="DP300" s="48" t="s">
        <v>128</v>
      </c>
      <c r="DQ300" s="48" t="s">
        <v>128</v>
      </c>
      <c r="DR300" s="51"/>
      <c r="DS300" s="48" t="s">
        <v>134</v>
      </c>
    </row>
    <row r="301">
      <c r="A301" s="52" t="s">
        <v>118</v>
      </c>
      <c r="B301" s="53">
        <v>6.0</v>
      </c>
      <c r="C301" s="52" t="s">
        <v>747</v>
      </c>
      <c r="D301" s="53">
        <v>680909.0</v>
      </c>
      <c r="E301" s="52" t="s">
        <v>288</v>
      </c>
      <c r="F301" s="52" t="s">
        <v>814</v>
      </c>
      <c r="G301" s="52" t="s">
        <v>815</v>
      </c>
      <c r="H301" s="53">
        <v>33071.0</v>
      </c>
      <c r="I301" s="53">
        <v>1.0</v>
      </c>
      <c r="J301" s="53">
        <v>0.0</v>
      </c>
      <c r="K301" s="53">
        <v>0.0</v>
      </c>
      <c r="L301" s="53">
        <v>0.0</v>
      </c>
      <c r="M301" s="53">
        <v>0.0</v>
      </c>
      <c r="N301" s="53">
        <v>0.0</v>
      </c>
      <c r="O301" s="53">
        <v>0.0</v>
      </c>
      <c r="P301" s="53">
        <v>0.0</v>
      </c>
      <c r="Q301" s="53">
        <v>0.0</v>
      </c>
      <c r="R301" s="53">
        <v>0.0</v>
      </c>
      <c r="S301" s="53">
        <v>0.0</v>
      </c>
      <c r="T301" s="53">
        <v>0.0</v>
      </c>
      <c r="U301" s="53">
        <v>0.0</v>
      </c>
      <c r="V301" s="53">
        <v>0.0</v>
      </c>
      <c r="W301" s="53">
        <v>0.0</v>
      </c>
      <c r="X301" s="53">
        <v>0.0</v>
      </c>
      <c r="Y301" s="53">
        <v>0.0</v>
      </c>
      <c r="Z301" s="53">
        <v>0.0</v>
      </c>
      <c r="AA301" s="53">
        <v>0.0</v>
      </c>
      <c r="AB301" s="53">
        <v>0.0</v>
      </c>
      <c r="AC301" s="53">
        <v>0.0</v>
      </c>
      <c r="AD301" s="53">
        <v>0.0</v>
      </c>
      <c r="AE301" s="53">
        <v>0.0</v>
      </c>
      <c r="AF301" s="53">
        <v>0.0</v>
      </c>
      <c r="AG301" s="53">
        <v>0.0</v>
      </c>
      <c r="AH301" s="53">
        <v>0.0</v>
      </c>
      <c r="AI301" s="53">
        <v>0.0</v>
      </c>
      <c r="AJ301" s="53">
        <v>0.0</v>
      </c>
      <c r="AK301" s="53">
        <v>1.0</v>
      </c>
      <c r="AL301" s="53">
        <v>0.0</v>
      </c>
      <c r="AM301" s="53">
        <v>0.0</v>
      </c>
      <c r="AN301" s="53">
        <v>0.0</v>
      </c>
      <c r="AO301" s="55">
        <v>16.3</v>
      </c>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3">
        <v>0.27</v>
      </c>
      <c r="BP301" s="53">
        <v>0.57</v>
      </c>
      <c r="BQ301" s="53">
        <v>5.05</v>
      </c>
      <c r="BR301" s="53">
        <v>5.43</v>
      </c>
      <c r="BS301" s="57">
        <v>2.0</v>
      </c>
      <c r="BT301" s="91">
        <v>16.3</v>
      </c>
      <c r="BU301" s="57">
        <v>2.0</v>
      </c>
      <c r="BV301" s="25">
        <v>8.65</v>
      </c>
      <c r="BW301" s="54"/>
      <c r="BX301" s="53">
        <v>3000.0</v>
      </c>
      <c r="BY301" s="53" t="s">
        <v>123</v>
      </c>
      <c r="BZ301" s="58">
        <v>2700.0</v>
      </c>
      <c r="CA301" s="29" t="s">
        <v>124</v>
      </c>
      <c r="CB301" s="30">
        <v>3000.0</v>
      </c>
      <c r="CC301" s="31"/>
      <c r="CD301" s="58">
        <v>3000.0</v>
      </c>
      <c r="CE301" s="59" t="e">
        <v>#REF!</v>
      </c>
      <c r="CF301" s="60"/>
      <c r="CG301" s="61">
        <v>0.0</v>
      </c>
      <c r="CH301" s="62">
        <v>0.0</v>
      </c>
      <c r="CI301" s="63">
        <v>1.0</v>
      </c>
      <c r="CJ301" s="63">
        <v>2502.0</v>
      </c>
      <c r="CK301" s="64">
        <v>-13.0</v>
      </c>
      <c r="CL301" s="63">
        <v>2489.0</v>
      </c>
      <c r="CM301" s="65">
        <v>16.0</v>
      </c>
      <c r="CN301" s="63">
        <v>0.0</v>
      </c>
      <c r="CO301" s="66">
        <v>16.3</v>
      </c>
      <c r="CP301" s="67">
        <v>0.0</v>
      </c>
      <c r="CQ301" s="63">
        <v>1.0</v>
      </c>
      <c r="CR301" s="63">
        <v>1.0</v>
      </c>
      <c r="CS301" s="63">
        <v>2.0</v>
      </c>
      <c r="CT301" s="68"/>
      <c r="CU301" s="69"/>
      <c r="CV301" s="70"/>
      <c r="CW301" s="71">
        <v>10.0</v>
      </c>
      <c r="CX301" s="71" t="s">
        <v>138</v>
      </c>
      <c r="CY301" s="71" t="s">
        <v>139</v>
      </c>
      <c r="CZ301" s="45"/>
      <c r="DA301" s="44">
        <v>3000.0</v>
      </c>
      <c r="DB301" s="44">
        <v>0.0</v>
      </c>
      <c r="DC301" s="46" t="s">
        <v>127</v>
      </c>
      <c r="DD301" s="47">
        <v>46246.0</v>
      </c>
      <c r="DE301" s="43"/>
      <c r="DF301" s="43"/>
      <c r="DG301" s="48" t="s">
        <v>128</v>
      </c>
      <c r="DH301" s="48" t="s">
        <v>128</v>
      </c>
      <c r="DI301" s="48" t="s">
        <v>128</v>
      </c>
      <c r="DJ301" s="49">
        <v>1.0</v>
      </c>
      <c r="DK301" s="48" t="b">
        <v>0</v>
      </c>
      <c r="DL301" s="50" t="s">
        <v>780</v>
      </c>
      <c r="DM301" s="50" t="s">
        <v>128</v>
      </c>
      <c r="DN301" s="50" t="s">
        <v>781</v>
      </c>
      <c r="DO301" s="49">
        <v>0.99</v>
      </c>
      <c r="DP301" s="48" t="s">
        <v>128</v>
      </c>
      <c r="DQ301" s="48" t="s">
        <v>128</v>
      </c>
      <c r="DR301" s="51"/>
      <c r="DS301" s="48" t="s">
        <v>134</v>
      </c>
    </row>
    <row r="302">
      <c r="A302" s="23" t="s">
        <v>118</v>
      </c>
      <c r="B302" s="24">
        <v>6.0</v>
      </c>
      <c r="C302" s="23" t="s">
        <v>747</v>
      </c>
      <c r="D302" s="24">
        <v>627274.0</v>
      </c>
      <c r="E302" s="23" t="s">
        <v>173</v>
      </c>
      <c r="F302" s="23" t="s">
        <v>816</v>
      </c>
      <c r="G302" s="23" t="s">
        <v>817</v>
      </c>
      <c r="H302" s="24">
        <v>33071.0</v>
      </c>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7"/>
      <c r="BU302" s="26"/>
      <c r="BV302" s="26"/>
      <c r="BW302" s="26"/>
      <c r="BX302" s="24">
        <v>1.0</v>
      </c>
      <c r="BY302" s="24" t="s">
        <v>123</v>
      </c>
      <c r="BZ302" s="104">
        <v>1.0</v>
      </c>
      <c r="CA302" s="72"/>
      <c r="CB302" s="30">
        <v>3000.0</v>
      </c>
      <c r="CC302" s="31"/>
      <c r="CD302" s="28">
        <v>3000.0</v>
      </c>
      <c r="CE302" s="88" t="s">
        <v>185</v>
      </c>
      <c r="CF302" s="73" t="str">
        <f>+2,999</f>
        <v>#ERROR!</v>
      </c>
      <c r="CG302" s="34">
        <v>0.0</v>
      </c>
      <c r="CH302" s="89"/>
      <c r="CI302" s="36">
        <v>0.0</v>
      </c>
      <c r="CJ302" s="36">
        <v>2502.0</v>
      </c>
      <c r="CK302" s="37">
        <v>-13.0</v>
      </c>
      <c r="CL302" s="36">
        <v>2489.0</v>
      </c>
      <c r="CM302" s="38">
        <v>0.0</v>
      </c>
      <c r="CN302" s="36">
        <v>-144.0</v>
      </c>
      <c r="CO302" s="39">
        <v>0.0</v>
      </c>
      <c r="CP302" s="40">
        <v>0.0</v>
      </c>
      <c r="CQ302" s="36">
        <v>0.0</v>
      </c>
      <c r="CR302" s="36">
        <v>0.0</v>
      </c>
      <c r="CS302" s="36">
        <v>0.0</v>
      </c>
      <c r="CT302" s="41"/>
      <c r="CU302" s="42"/>
      <c r="CV302" s="43"/>
      <c r="CW302" s="44">
        <v>10.0</v>
      </c>
      <c r="CX302" s="44" t="s">
        <v>138</v>
      </c>
      <c r="CY302" s="44" t="s">
        <v>139</v>
      </c>
      <c r="CZ302" s="76" t="s">
        <v>151</v>
      </c>
      <c r="DA302" s="43"/>
      <c r="DB302" s="44">
        <v>0.0</v>
      </c>
      <c r="DC302" s="46" t="s">
        <v>127</v>
      </c>
      <c r="DD302" s="47">
        <v>46186.0</v>
      </c>
      <c r="DE302" s="43"/>
      <c r="DF302" s="43"/>
      <c r="DG302" s="48" t="s">
        <v>128</v>
      </c>
      <c r="DH302" s="48" t="s">
        <v>128</v>
      </c>
      <c r="DI302" s="85" t="str">
        <f>+ OFF 30 DIAS SIN VENTA</f>
        <v>#ERROR!</v>
      </c>
      <c r="DJ302" s="49">
        <v>1.0</v>
      </c>
      <c r="DK302" s="48" t="b">
        <v>0</v>
      </c>
      <c r="DL302" s="50" t="s">
        <v>780</v>
      </c>
      <c r="DM302" s="50" t="s">
        <v>128</v>
      </c>
      <c r="DN302" s="50" t="s">
        <v>781</v>
      </c>
      <c r="DO302" s="49">
        <v>0.99</v>
      </c>
      <c r="DP302" s="48" t="s">
        <v>128</v>
      </c>
      <c r="DQ302" s="86" t="str">
        <f>+ OFF 30 DIAS SIN VENTA</f>
        <v>#ERROR!</v>
      </c>
      <c r="DR302" s="48" t="s">
        <v>392</v>
      </c>
      <c r="DS302" s="48" t="s">
        <v>134</v>
      </c>
    </row>
    <row r="303">
      <c r="A303" s="52" t="s">
        <v>118</v>
      </c>
      <c r="B303" s="53">
        <v>6.0</v>
      </c>
      <c r="C303" s="52" t="s">
        <v>747</v>
      </c>
      <c r="D303" s="53">
        <v>536832.0</v>
      </c>
      <c r="E303" s="52" t="s">
        <v>158</v>
      </c>
      <c r="F303" s="52" t="s">
        <v>818</v>
      </c>
      <c r="G303" s="52" t="s">
        <v>819</v>
      </c>
      <c r="H303" s="53">
        <v>33071.0</v>
      </c>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81"/>
      <c r="BU303" s="54"/>
      <c r="BV303" s="54"/>
      <c r="BW303" s="54"/>
      <c r="BX303" s="53">
        <v>1.0</v>
      </c>
      <c r="BY303" s="53" t="s">
        <v>123</v>
      </c>
      <c r="BZ303" s="87">
        <v>1.0</v>
      </c>
      <c r="CA303" s="72"/>
      <c r="CB303" s="82"/>
      <c r="CC303" s="31"/>
      <c r="CD303" s="58">
        <v>1.0</v>
      </c>
      <c r="CE303" s="83" t="s">
        <v>185</v>
      </c>
      <c r="CF303" s="60"/>
      <c r="CG303" s="61">
        <v>0.0</v>
      </c>
      <c r="CH303" s="84"/>
      <c r="CI303" s="63">
        <v>0.0</v>
      </c>
      <c r="CJ303" s="63">
        <v>2502.0</v>
      </c>
      <c r="CK303" s="64">
        <v>-13.0</v>
      </c>
      <c r="CL303" s="63">
        <v>2489.0</v>
      </c>
      <c r="CM303" s="65">
        <v>0.0</v>
      </c>
      <c r="CN303" s="63">
        <v>0.0</v>
      </c>
      <c r="CO303" s="66">
        <v>0.0</v>
      </c>
      <c r="CP303" s="67">
        <v>0.0</v>
      </c>
      <c r="CQ303" s="63">
        <v>0.0</v>
      </c>
      <c r="CR303" s="63">
        <v>0.0</v>
      </c>
      <c r="CS303" s="63">
        <v>0.0</v>
      </c>
      <c r="CT303" s="68"/>
      <c r="CU303" s="69"/>
      <c r="CV303" s="70"/>
      <c r="CW303" s="71">
        <v>1.0</v>
      </c>
      <c r="CX303" s="71">
        <v>1.0</v>
      </c>
      <c r="CY303" s="71">
        <v>0.1</v>
      </c>
      <c r="CZ303" s="45"/>
      <c r="DA303" s="43"/>
      <c r="DB303" s="44">
        <v>0.0</v>
      </c>
      <c r="DC303" s="43"/>
      <c r="DD303" s="78"/>
      <c r="DE303" s="43"/>
      <c r="DF303" s="43"/>
      <c r="DG303" s="48" t="s">
        <v>128</v>
      </c>
      <c r="DH303" s="48" t="s">
        <v>131</v>
      </c>
      <c r="DI303" s="48" t="s">
        <v>188</v>
      </c>
      <c r="DJ303" s="49">
        <v>1.0</v>
      </c>
      <c r="DK303" s="48" t="b">
        <v>0</v>
      </c>
      <c r="DL303" s="50" t="s">
        <v>780</v>
      </c>
      <c r="DM303" s="50" t="s">
        <v>128</v>
      </c>
      <c r="DN303" s="50" t="s">
        <v>781</v>
      </c>
      <c r="DO303" s="49">
        <v>0.99</v>
      </c>
      <c r="DP303" s="51"/>
      <c r="DQ303" s="48" t="s">
        <v>188</v>
      </c>
      <c r="DR303" s="51"/>
      <c r="DS303" s="48" t="s">
        <v>134</v>
      </c>
    </row>
    <row r="304">
      <c r="A304" s="23" t="s">
        <v>118</v>
      </c>
      <c r="B304" s="24">
        <v>6.0</v>
      </c>
      <c r="C304" s="23" t="s">
        <v>747</v>
      </c>
      <c r="D304" s="24">
        <v>648801.0</v>
      </c>
      <c r="E304" s="23" t="s">
        <v>198</v>
      </c>
      <c r="F304" s="23" t="s">
        <v>820</v>
      </c>
      <c r="G304" s="23" t="s">
        <v>821</v>
      </c>
      <c r="H304" s="24">
        <v>33071.0</v>
      </c>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7"/>
      <c r="BU304" s="26"/>
      <c r="BV304" s="26"/>
      <c r="BW304" s="26"/>
      <c r="BX304" s="24">
        <v>3000.0</v>
      </c>
      <c r="BY304" s="24" t="s">
        <v>123</v>
      </c>
      <c r="BZ304" s="28">
        <v>3000.0</v>
      </c>
      <c r="CA304" s="72"/>
      <c r="CB304" s="82"/>
      <c r="CC304" s="31"/>
      <c r="CD304" s="28">
        <v>3000.0</v>
      </c>
      <c r="CE304" s="88" t="s">
        <v>185</v>
      </c>
      <c r="CF304" s="33"/>
      <c r="CG304" s="34">
        <v>0.0</v>
      </c>
      <c r="CH304" s="89"/>
      <c r="CI304" s="36">
        <v>0.0</v>
      </c>
      <c r="CJ304" s="36">
        <v>2502.0</v>
      </c>
      <c r="CK304" s="37">
        <v>-13.0</v>
      </c>
      <c r="CL304" s="36">
        <v>2489.0</v>
      </c>
      <c r="CM304" s="38">
        <v>0.0</v>
      </c>
      <c r="CN304" s="36">
        <v>0.0</v>
      </c>
      <c r="CO304" s="39">
        <v>0.0</v>
      </c>
      <c r="CP304" s="40">
        <v>0.0</v>
      </c>
      <c r="CQ304" s="36">
        <v>0.0</v>
      </c>
      <c r="CR304" s="36">
        <v>0.0</v>
      </c>
      <c r="CS304" s="36">
        <v>0.0</v>
      </c>
      <c r="CT304" s="41"/>
      <c r="CU304" s="42"/>
      <c r="CV304" s="43"/>
      <c r="CW304" s="44">
        <v>10.0</v>
      </c>
      <c r="CX304" s="44" t="s">
        <v>138</v>
      </c>
      <c r="CY304" s="44" t="s">
        <v>139</v>
      </c>
      <c r="CZ304" s="45"/>
      <c r="DA304" s="43"/>
      <c r="DB304" s="44">
        <v>0.0</v>
      </c>
      <c r="DC304" s="43"/>
      <c r="DD304" s="78"/>
      <c r="DE304" s="43"/>
      <c r="DF304" s="43"/>
      <c r="DG304" s="48" t="s">
        <v>128</v>
      </c>
      <c r="DH304" s="48" t="s">
        <v>128</v>
      </c>
      <c r="DI304" s="85" t="str">
        <f>+ OFF 30 DIAS SIN VENTA</f>
        <v>#ERROR!</v>
      </c>
      <c r="DJ304" s="49">
        <v>1.0</v>
      </c>
      <c r="DK304" s="48" t="b">
        <v>0</v>
      </c>
      <c r="DL304" s="50" t="s">
        <v>780</v>
      </c>
      <c r="DM304" s="50" t="s">
        <v>128</v>
      </c>
      <c r="DN304" s="50" t="s">
        <v>781</v>
      </c>
      <c r="DO304" s="49">
        <v>0.99</v>
      </c>
      <c r="DP304" s="48" t="s">
        <v>128</v>
      </c>
      <c r="DQ304" s="86" t="str">
        <f>+ OFF 30 DIAS SIN VENTA</f>
        <v>#ERROR!</v>
      </c>
      <c r="DR304" s="48" t="s">
        <v>526</v>
      </c>
      <c r="DS304" s="48" t="s">
        <v>134</v>
      </c>
    </row>
    <row r="305">
      <c r="A305" s="52" t="s">
        <v>118</v>
      </c>
      <c r="B305" s="53">
        <v>6.0</v>
      </c>
      <c r="C305" s="52" t="s">
        <v>747</v>
      </c>
      <c r="D305" s="53">
        <v>626041.0</v>
      </c>
      <c r="E305" s="52" t="s">
        <v>135</v>
      </c>
      <c r="F305" s="52" t="s">
        <v>822</v>
      </c>
      <c r="G305" s="52" t="s">
        <v>823</v>
      </c>
      <c r="H305" s="53">
        <v>33071.0</v>
      </c>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81"/>
      <c r="BU305" s="54"/>
      <c r="BV305" s="54"/>
      <c r="BW305" s="54"/>
      <c r="BX305" s="53">
        <v>3000.0</v>
      </c>
      <c r="BY305" s="53" t="s">
        <v>123</v>
      </c>
      <c r="BZ305" s="58">
        <v>3000.0</v>
      </c>
      <c r="CA305" s="72"/>
      <c r="CB305" s="82"/>
      <c r="CC305" s="31"/>
      <c r="CD305" s="58">
        <v>3000.0</v>
      </c>
      <c r="CE305" s="83" t="s">
        <v>185</v>
      </c>
      <c r="CF305" s="60"/>
      <c r="CG305" s="61">
        <v>0.0</v>
      </c>
      <c r="CH305" s="84"/>
      <c r="CI305" s="63">
        <v>0.0</v>
      </c>
      <c r="CJ305" s="63">
        <v>2502.0</v>
      </c>
      <c r="CK305" s="64">
        <v>-13.0</v>
      </c>
      <c r="CL305" s="63">
        <v>2489.0</v>
      </c>
      <c r="CM305" s="65">
        <v>0.0</v>
      </c>
      <c r="CN305" s="63">
        <v>0.0</v>
      </c>
      <c r="CO305" s="66">
        <v>0.0</v>
      </c>
      <c r="CP305" s="67">
        <v>0.0</v>
      </c>
      <c r="CQ305" s="63">
        <v>0.0</v>
      </c>
      <c r="CR305" s="63">
        <v>0.0</v>
      </c>
      <c r="CS305" s="63">
        <v>0.0</v>
      </c>
      <c r="CT305" s="68"/>
      <c r="CU305" s="69"/>
      <c r="CV305" s="70"/>
      <c r="CW305" s="71">
        <v>10.0</v>
      </c>
      <c r="CX305" s="71" t="s">
        <v>138</v>
      </c>
      <c r="CY305" s="71" t="s">
        <v>139</v>
      </c>
      <c r="CZ305" s="45"/>
      <c r="DA305" s="43"/>
      <c r="DB305" s="44">
        <v>0.0</v>
      </c>
      <c r="DC305" s="43"/>
      <c r="DD305" s="78"/>
      <c r="DE305" s="43"/>
      <c r="DF305" s="43"/>
      <c r="DG305" s="48" t="s">
        <v>128</v>
      </c>
      <c r="DH305" s="48" t="s">
        <v>128</v>
      </c>
      <c r="DI305" s="85" t="str">
        <f>+ OFF 30 DIAS SIN VENTA</f>
        <v>#ERROR!</v>
      </c>
      <c r="DJ305" s="49">
        <v>1.0</v>
      </c>
      <c r="DK305" s="48" t="b">
        <v>0</v>
      </c>
      <c r="DL305" s="50" t="s">
        <v>780</v>
      </c>
      <c r="DM305" s="50" t="s">
        <v>128</v>
      </c>
      <c r="DN305" s="50" t="s">
        <v>781</v>
      </c>
      <c r="DO305" s="49">
        <v>0.99</v>
      </c>
      <c r="DP305" s="48" t="s">
        <v>128</v>
      </c>
      <c r="DQ305" s="86" t="str">
        <f>+ OFF 30 DIAS SIN VENTA</f>
        <v>#ERROR!</v>
      </c>
      <c r="DR305" s="51"/>
      <c r="DS305" s="48" t="s">
        <v>134</v>
      </c>
    </row>
    <row r="306">
      <c r="A306" s="23" t="s">
        <v>118</v>
      </c>
      <c r="B306" s="24">
        <v>6.0</v>
      </c>
      <c r="C306" s="23" t="s">
        <v>747</v>
      </c>
      <c r="D306" s="24">
        <v>681287.0</v>
      </c>
      <c r="E306" s="23" t="s">
        <v>354</v>
      </c>
      <c r="F306" s="23" t="s">
        <v>824</v>
      </c>
      <c r="G306" s="23" t="s">
        <v>825</v>
      </c>
      <c r="H306" s="24">
        <v>33071.0</v>
      </c>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7"/>
      <c r="BU306" s="26"/>
      <c r="BV306" s="26"/>
      <c r="BW306" s="26"/>
      <c r="BX306" s="24">
        <v>3000.0</v>
      </c>
      <c r="BY306" s="24" t="s">
        <v>123</v>
      </c>
      <c r="BZ306" s="28">
        <v>3000.0</v>
      </c>
      <c r="CA306" s="72"/>
      <c r="CB306" s="82"/>
      <c r="CC306" s="31"/>
      <c r="CD306" s="28">
        <v>3000.0</v>
      </c>
      <c r="CE306" s="88" t="s">
        <v>185</v>
      </c>
      <c r="CF306" s="33"/>
      <c r="CG306" s="34">
        <v>0.0</v>
      </c>
      <c r="CH306" s="89"/>
      <c r="CI306" s="36">
        <v>0.0</v>
      </c>
      <c r="CJ306" s="36">
        <v>2502.0</v>
      </c>
      <c r="CK306" s="37">
        <v>-13.0</v>
      </c>
      <c r="CL306" s="36">
        <v>2489.0</v>
      </c>
      <c r="CM306" s="38">
        <v>0.0</v>
      </c>
      <c r="CN306" s="36">
        <v>0.0</v>
      </c>
      <c r="CO306" s="39">
        <v>0.0</v>
      </c>
      <c r="CP306" s="40">
        <v>0.0</v>
      </c>
      <c r="CQ306" s="36">
        <v>0.0</v>
      </c>
      <c r="CR306" s="36">
        <v>0.0</v>
      </c>
      <c r="CS306" s="36">
        <v>0.0</v>
      </c>
      <c r="CT306" s="41"/>
      <c r="CU306" s="42"/>
      <c r="CV306" s="43"/>
      <c r="CW306" s="44">
        <v>10.0</v>
      </c>
      <c r="CX306" s="44" t="s">
        <v>138</v>
      </c>
      <c r="CY306" s="44" t="s">
        <v>139</v>
      </c>
      <c r="CZ306" s="45"/>
      <c r="DA306" s="43"/>
      <c r="DB306" s="44">
        <v>0.0</v>
      </c>
      <c r="DC306" s="43"/>
      <c r="DD306" s="78"/>
      <c r="DE306" s="43"/>
      <c r="DF306" s="43"/>
      <c r="DG306" s="48" t="s">
        <v>128</v>
      </c>
      <c r="DH306" s="48" t="s">
        <v>128</v>
      </c>
      <c r="DI306" s="85" t="str">
        <f>+ OFF 30 DIAS SIN VENTA</f>
        <v>#ERROR!</v>
      </c>
      <c r="DJ306" s="49">
        <v>1.0</v>
      </c>
      <c r="DK306" s="48" t="b">
        <v>0</v>
      </c>
      <c r="DL306" s="50" t="s">
        <v>780</v>
      </c>
      <c r="DM306" s="50" t="s">
        <v>128</v>
      </c>
      <c r="DN306" s="50" t="s">
        <v>781</v>
      </c>
      <c r="DO306" s="49">
        <v>0.99</v>
      </c>
      <c r="DP306" s="48" t="s">
        <v>128</v>
      </c>
      <c r="DQ306" s="86" t="str">
        <f>+ OFF 30 DIAS SIN VENTA</f>
        <v>#ERROR!</v>
      </c>
      <c r="DR306" s="51"/>
      <c r="DS306" s="48" t="s">
        <v>134</v>
      </c>
    </row>
    <row r="307">
      <c r="A307" s="52" t="s">
        <v>118</v>
      </c>
      <c r="B307" s="53">
        <v>6.0</v>
      </c>
      <c r="C307" s="52" t="s">
        <v>747</v>
      </c>
      <c r="D307" s="53">
        <v>610881.0</v>
      </c>
      <c r="E307" s="52" t="s">
        <v>167</v>
      </c>
      <c r="F307" s="52" t="s">
        <v>826</v>
      </c>
      <c r="G307" s="52" t="s">
        <v>827</v>
      </c>
      <c r="H307" s="53">
        <v>33071.0</v>
      </c>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c r="BS307" s="54"/>
      <c r="BT307" s="81"/>
      <c r="BU307" s="54"/>
      <c r="BV307" s="54"/>
      <c r="BW307" s="54"/>
      <c r="BX307" s="53">
        <v>3000.0</v>
      </c>
      <c r="BY307" s="53" t="s">
        <v>123</v>
      </c>
      <c r="BZ307" s="58">
        <v>3000.0</v>
      </c>
      <c r="CA307" s="72"/>
      <c r="CB307" s="82"/>
      <c r="CC307" s="31"/>
      <c r="CD307" s="58">
        <v>3000.0</v>
      </c>
      <c r="CE307" s="83" t="s">
        <v>185</v>
      </c>
      <c r="CF307" s="60"/>
      <c r="CG307" s="61">
        <v>0.0</v>
      </c>
      <c r="CH307" s="84"/>
      <c r="CI307" s="63">
        <v>0.0</v>
      </c>
      <c r="CJ307" s="63">
        <v>2502.0</v>
      </c>
      <c r="CK307" s="64">
        <v>-13.0</v>
      </c>
      <c r="CL307" s="63">
        <v>2489.0</v>
      </c>
      <c r="CM307" s="65">
        <v>0.0</v>
      </c>
      <c r="CN307" s="63">
        <v>0.0</v>
      </c>
      <c r="CO307" s="66">
        <v>0.0</v>
      </c>
      <c r="CP307" s="67">
        <v>0.0</v>
      </c>
      <c r="CQ307" s="63">
        <v>0.0</v>
      </c>
      <c r="CR307" s="63">
        <v>0.0</v>
      </c>
      <c r="CS307" s="63">
        <v>0.0</v>
      </c>
      <c r="CT307" s="68"/>
      <c r="CU307" s="69"/>
      <c r="CV307" s="70"/>
      <c r="CW307" s="71">
        <v>10.0</v>
      </c>
      <c r="CX307" s="71" t="s">
        <v>138</v>
      </c>
      <c r="CY307" s="71" t="s">
        <v>139</v>
      </c>
      <c r="CZ307" s="45"/>
      <c r="DA307" s="43"/>
      <c r="DB307" s="44">
        <v>0.0</v>
      </c>
      <c r="DC307" s="46" t="s">
        <v>127</v>
      </c>
      <c r="DD307" s="47">
        <v>46218.0</v>
      </c>
      <c r="DE307" s="43"/>
      <c r="DF307" s="43"/>
      <c r="DG307" s="48" t="s">
        <v>128</v>
      </c>
      <c r="DH307" s="48" t="s">
        <v>128</v>
      </c>
      <c r="DI307" s="85" t="str">
        <f>+ OFF 30 DIAS SIN VENTA</f>
        <v>#ERROR!</v>
      </c>
      <c r="DJ307" s="49">
        <v>1.0</v>
      </c>
      <c r="DK307" s="48" t="b">
        <v>0</v>
      </c>
      <c r="DL307" s="50" t="s">
        <v>780</v>
      </c>
      <c r="DM307" s="50" t="s">
        <v>128</v>
      </c>
      <c r="DN307" s="50" t="s">
        <v>781</v>
      </c>
      <c r="DO307" s="49">
        <v>0.99</v>
      </c>
      <c r="DP307" s="48" t="s">
        <v>128</v>
      </c>
      <c r="DQ307" s="86" t="str">
        <f>+ OFF 30 DIAS SIN VENTA</f>
        <v>#ERROR!</v>
      </c>
      <c r="DR307" s="51"/>
      <c r="DS307" s="48" t="s">
        <v>134</v>
      </c>
    </row>
    <row r="308">
      <c r="A308" s="23" t="s">
        <v>118</v>
      </c>
      <c r="B308" s="24">
        <v>6.0</v>
      </c>
      <c r="C308" s="23" t="s">
        <v>747</v>
      </c>
      <c r="D308" s="24">
        <v>558730.0</v>
      </c>
      <c r="E308" s="23" t="s">
        <v>148</v>
      </c>
      <c r="F308" s="23" t="s">
        <v>828</v>
      </c>
      <c r="G308" s="23" t="s">
        <v>829</v>
      </c>
      <c r="H308" s="24">
        <v>33071.0</v>
      </c>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7"/>
      <c r="BU308" s="26"/>
      <c r="BV308" s="26"/>
      <c r="BW308" s="26"/>
      <c r="BX308" s="24">
        <v>3000.0</v>
      </c>
      <c r="BY308" s="24" t="s">
        <v>123</v>
      </c>
      <c r="BZ308" s="28">
        <v>3000.0</v>
      </c>
      <c r="CA308" s="72"/>
      <c r="CB308" s="82"/>
      <c r="CC308" s="31"/>
      <c r="CD308" s="28">
        <v>3000.0</v>
      </c>
      <c r="CE308" s="88" t="s">
        <v>185</v>
      </c>
      <c r="CF308" s="33"/>
      <c r="CG308" s="34">
        <v>0.0</v>
      </c>
      <c r="CH308" s="89"/>
      <c r="CI308" s="36">
        <v>0.0</v>
      </c>
      <c r="CJ308" s="36">
        <v>2502.0</v>
      </c>
      <c r="CK308" s="37">
        <v>-13.0</v>
      </c>
      <c r="CL308" s="36">
        <v>2489.0</v>
      </c>
      <c r="CM308" s="38">
        <v>0.0</v>
      </c>
      <c r="CN308" s="36">
        <v>0.0</v>
      </c>
      <c r="CO308" s="39">
        <v>0.0</v>
      </c>
      <c r="CP308" s="40">
        <v>0.0</v>
      </c>
      <c r="CQ308" s="36">
        <v>0.0</v>
      </c>
      <c r="CR308" s="36">
        <v>0.0</v>
      </c>
      <c r="CS308" s="36">
        <v>0.0</v>
      </c>
      <c r="CT308" s="41"/>
      <c r="CU308" s="42"/>
      <c r="CV308" s="43"/>
      <c r="CW308" s="44">
        <v>10.0</v>
      </c>
      <c r="CX308" s="44" t="s">
        <v>138</v>
      </c>
      <c r="CY308" s="44" t="s">
        <v>139</v>
      </c>
      <c r="CZ308" s="45"/>
      <c r="DA308" s="43"/>
      <c r="DB308" s="44">
        <v>0.0</v>
      </c>
      <c r="DC308" s="43"/>
      <c r="DD308" s="78"/>
      <c r="DE308" s="43"/>
      <c r="DF308" s="43"/>
      <c r="DG308" s="48" t="s">
        <v>128</v>
      </c>
      <c r="DH308" s="48" t="s">
        <v>128</v>
      </c>
      <c r="DI308" s="85" t="str">
        <f>+ OFF 30 DIAS SIN VENTA</f>
        <v>#ERROR!</v>
      </c>
      <c r="DJ308" s="49">
        <v>1.0</v>
      </c>
      <c r="DK308" s="48" t="b">
        <v>0</v>
      </c>
      <c r="DL308" s="50" t="s">
        <v>780</v>
      </c>
      <c r="DM308" s="50" t="s">
        <v>128</v>
      </c>
      <c r="DN308" s="50" t="s">
        <v>781</v>
      </c>
      <c r="DO308" s="49">
        <v>0.99</v>
      </c>
      <c r="DP308" s="48" t="s">
        <v>128</v>
      </c>
      <c r="DQ308" s="86" t="str">
        <f>+ OFF 30 DIAS SIN VENTA</f>
        <v>#ERROR!</v>
      </c>
      <c r="DR308" s="51"/>
      <c r="DS308" s="48" t="s">
        <v>134</v>
      </c>
    </row>
    <row r="309">
      <c r="A309" s="52" t="s">
        <v>118</v>
      </c>
      <c r="B309" s="53">
        <v>6.0</v>
      </c>
      <c r="C309" s="52" t="s">
        <v>747</v>
      </c>
      <c r="D309" s="53">
        <v>680588.0</v>
      </c>
      <c r="E309" s="52" t="s">
        <v>251</v>
      </c>
      <c r="F309" s="52" t="s">
        <v>830</v>
      </c>
      <c r="G309" s="52" t="s">
        <v>831</v>
      </c>
      <c r="H309" s="53">
        <v>45060.0</v>
      </c>
      <c r="I309" s="53">
        <v>1.0</v>
      </c>
      <c r="J309" s="53">
        <v>0.0</v>
      </c>
      <c r="K309" s="53">
        <v>0.0</v>
      </c>
      <c r="L309" s="53">
        <v>0.0</v>
      </c>
      <c r="M309" s="53">
        <v>0.0</v>
      </c>
      <c r="N309" s="53">
        <v>0.0</v>
      </c>
      <c r="O309" s="53">
        <v>0.0</v>
      </c>
      <c r="P309" s="53">
        <v>0.0</v>
      </c>
      <c r="Q309" s="53">
        <v>0.0</v>
      </c>
      <c r="R309" s="53">
        <v>0.0</v>
      </c>
      <c r="S309" s="53">
        <v>0.0</v>
      </c>
      <c r="T309" s="53">
        <v>0.0</v>
      </c>
      <c r="U309" s="53">
        <v>0.0</v>
      </c>
      <c r="V309" s="53">
        <v>0.0</v>
      </c>
      <c r="W309" s="53">
        <v>0.0</v>
      </c>
      <c r="X309" s="53">
        <v>0.0</v>
      </c>
      <c r="Y309" s="53">
        <v>0.0</v>
      </c>
      <c r="Z309" s="53">
        <v>0.0</v>
      </c>
      <c r="AA309" s="53">
        <v>0.0</v>
      </c>
      <c r="AB309" s="53">
        <v>0.0</v>
      </c>
      <c r="AC309" s="53">
        <v>0.0</v>
      </c>
      <c r="AD309" s="53">
        <v>0.0</v>
      </c>
      <c r="AE309" s="53">
        <v>0.0</v>
      </c>
      <c r="AF309" s="53">
        <v>0.0</v>
      </c>
      <c r="AG309" s="53">
        <v>0.0</v>
      </c>
      <c r="AH309" s="53">
        <v>0.0</v>
      </c>
      <c r="AI309" s="53">
        <v>0.0</v>
      </c>
      <c r="AJ309" s="53">
        <v>1.0</v>
      </c>
      <c r="AK309" s="53">
        <v>0.0</v>
      </c>
      <c r="AL309" s="53">
        <v>0.0</v>
      </c>
      <c r="AM309" s="53">
        <v>0.0</v>
      </c>
      <c r="AN309" s="53">
        <v>0.0</v>
      </c>
      <c r="AO309" s="25">
        <v>24.1</v>
      </c>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3">
        <v>0.4</v>
      </c>
      <c r="BP309" s="53">
        <v>0.55</v>
      </c>
      <c r="BQ309" s="53">
        <v>2.23</v>
      </c>
      <c r="BR309" s="53">
        <v>2.58</v>
      </c>
      <c r="BS309" s="25">
        <v>14.15</v>
      </c>
      <c r="BT309" s="56">
        <v>24.1</v>
      </c>
      <c r="BU309" s="25">
        <v>14.2</v>
      </c>
      <c r="BV309" s="57">
        <v>4.97</v>
      </c>
      <c r="BW309" s="54"/>
      <c r="BX309" s="53">
        <v>3000.0</v>
      </c>
      <c r="BY309" s="53" t="s">
        <v>123</v>
      </c>
      <c r="BZ309" s="58">
        <v>2700.0</v>
      </c>
      <c r="CA309" s="29" t="s">
        <v>124</v>
      </c>
      <c r="CB309" s="30">
        <v>3000.0</v>
      </c>
      <c r="CC309" s="31"/>
      <c r="CD309" s="58">
        <v>3000.0</v>
      </c>
      <c r="CE309" s="59" t="e">
        <v>#REF!</v>
      </c>
      <c r="CF309" s="60"/>
      <c r="CG309" s="61">
        <v>0.0</v>
      </c>
      <c r="CH309" s="62">
        <v>0.0</v>
      </c>
      <c r="CI309" s="63">
        <v>1.0</v>
      </c>
      <c r="CJ309" s="63">
        <v>3812.0</v>
      </c>
      <c r="CK309" s="64">
        <v>0.0</v>
      </c>
      <c r="CL309" s="63">
        <v>3812.0</v>
      </c>
      <c r="CM309" s="65">
        <v>24.0</v>
      </c>
      <c r="CN309" s="63">
        <v>0.0</v>
      </c>
      <c r="CO309" s="66">
        <v>24.1</v>
      </c>
      <c r="CP309" s="67">
        <v>0.0</v>
      </c>
      <c r="CQ309" s="63">
        <v>1.0</v>
      </c>
      <c r="CR309" s="63">
        <v>1.0</v>
      </c>
      <c r="CS309" s="63">
        <v>14.0</v>
      </c>
      <c r="CT309" s="68"/>
      <c r="CU309" s="69"/>
      <c r="CV309" s="70"/>
      <c r="CW309" s="71">
        <v>10.0</v>
      </c>
      <c r="CX309" s="71" t="s">
        <v>138</v>
      </c>
      <c r="CY309" s="71" t="s">
        <v>139</v>
      </c>
      <c r="CZ309" s="45"/>
      <c r="DA309" s="44">
        <v>3000.0</v>
      </c>
      <c r="DB309" s="44">
        <v>0.0</v>
      </c>
      <c r="DC309" s="43"/>
      <c r="DD309" s="78"/>
      <c r="DE309" s="43"/>
      <c r="DF309" s="43"/>
      <c r="DG309" s="48" t="s">
        <v>128</v>
      </c>
      <c r="DH309" s="48" t="s">
        <v>128</v>
      </c>
      <c r="DI309" s="48" t="s">
        <v>128</v>
      </c>
      <c r="DJ309" s="49">
        <v>1.0</v>
      </c>
      <c r="DK309" s="48" t="b">
        <v>0</v>
      </c>
      <c r="DL309" s="50" t="s">
        <v>832</v>
      </c>
      <c r="DM309" s="50" t="s">
        <v>128</v>
      </c>
      <c r="DN309" s="50" t="s">
        <v>833</v>
      </c>
      <c r="DO309" s="49">
        <v>0.93</v>
      </c>
      <c r="DP309" s="48" t="s">
        <v>128</v>
      </c>
      <c r="DQ309" s="48" t="s">
        <v>417</v>
      </c>
      <c r="DR309" s="51"/>
      <c r="DS309" s="48" t="s">
        <v>134</v>
      </c>
    </row>
    <row r="310">
      <c r="A310" s="23" t="s">
        <v>118</v>
      </c>
      <c r="B310" s="24">
        <v>6.0</v>
      </c>
      <c r="C310" s="23" t="s">
        <v>747</v>
      </c>
      <c r="D310" s="24">
        <v>648806.0</v>
      </c>
      <c r="E310" s="23" t="s">
        <v>179</v>
      </c>
      <c r="F310" s="23" t="s">
        <v>834</v>
      </c>
      <c r="G310" s="23" t="s">
        <v>835</v>
      </c>
      <c r="H310" s="24">
        <v>45060.0</v>
      </c>
      <c r="I310" s="24">
        <v>8.0</v>
      </c>
      <c r="J310" s="24">
        <v>0.0</v>
      </c>
      <c r="K310" s="24">
        <v>0.0</v>
      </c>
      <c r="L310" s="24">
        <v>0.0</v>
      </c>
      <c r="M310" s="24">
        <v>0.0</v>
      </c>
      <c r="N310" s="24">
        <v>0.0</v>
      </c>
      <c r="O310" s="24">
        <v>1.0</v>
      </c>
      <c r="P310" s="24">
        <v>0.0</v>
      </c>
      <c r="Q310" s="24">
        <v>0.0</v>
      </c>
      <c r="R310" s="24">
        <v>1.0</v>
      </c>
      <c r="S310" s="24">
        <v>1.0</v>
      </c>
      <c r="T310" s="24">
        <v>0.0</v>
      </c>
      <c r="U310" s="24">
        <v>0.0</v>
      </c>
      <c r="V310" s="24">
        <v>0.0</v>
      </c>
      <c r="W310" s="24">
        <v>1.0</v>
      </c>
      <c r="X310" s="24">
        <v>0.0</v>
      </c>
      <c r="Y310" s="24">
        <v>0.0</v>
      </c>
      <c r="Z310" s="24">
        <v>0.0</v>
      </c>
      <c r="AA310" s="24">
        <v>0.0</v>
      </c>
      <c r="AB310" s="24">
        <v>2.0</v>
      </c>
      <c r="AC310" s="24">
        <v>0.0</v>
      </c>
      <c r="AD310" s="24">
        <v>0.0</v>
      </c>
      <c r="AE310" s="24">
        <v>0.0</v>
      </c>
      <c r="AF310" s="24">
        <v>0.0</v>
      </c>
      <c r="AG310" s="24">
        <v>0.0</v>
      </c>
      <c r="AH310" s="24">
        <v>0.0</v>
      </c>
      <c r="AI310" s="24">
        <v>0.0</v>
      </c>
      <c r="AJ310" s="24">
        <v>0.0</v>
      </c>
      <c r="AK310" s="24">
        <v>1.0</v>
      </c>
      <c r="AL310" s="24">
        <v>0.0</v>
      </c>
      <c r="AM310" s="24">
        <v>1.0</v>
      </c>
      <c r="AN310" s="24">
        <v>0.0</v>
      </c>
      <c r="AO310" s="25">
        <v>22.2</v>
      </c>
      <c r="AP310" s="26"/>
      <c r="AQ310" s="26"/>
      <c r="AR310" s="26"/>
      <c r="AS310" s="26"/>
      <c r="AT310" s="26"/>
      <c r="AU310" s="24">
        <v>17.97</v>
      </c>
      <c r="AV310" s="26"/>
      <c r="AW310" s="26"/>
      <c r="AX310" s="24">
        <v>12.72</v>
      </c>
      <c r="AY310" s="24">
        <v>17.75</v>
      </c>
      <c r="AZ310" s="26"/>
      <c r="BA310" s="26"/>
      <c r="BB310" s="26"/>
      <c r="BC310" s="24">
        <v>25.05</v>
      </c>
      <c r="BD310" s="26"/>
      <c r="BE310" s="26"/>
      <c r="BF310" s="26"/>
      <c r="BG310" s="26"/>
      <c r="BH310" s="24">
        <v>19.68</v>
      </c>
      <c r="BI310" s="26"/>
      <c r="BJ310" s="26"/>
      <c r="BK310" s="26"/>
      <c r="BL310" s="26"/>
      <c r="BM310" s="26"/>
      <c r="BN310" s="26"/>
      <c r="BO310" s="24">
        <v>0.54</v>
      </c>
      <c r="BP310" s="24">
        <v>1.16</v>
      </c>
      <c r="BQ310" s="24">
        <v>2.84</v>
      </c>
      <c r="BR310" s="24">
        <v>3.8</v>
      </c>
      <c r="BS310" s="25">
        <v>11.51</v>
      </c>
      <c r="BT310" s="27"/>
      <c r="BU310" s="26"/>
      <c r="BV310" s="26"/>
      <c r="BW310" s="26"/>
      <c r="BX310" s="24">
        <v>1.0</v>
      </c>
      <c r="BY310" s="24" t="s">
        <v>123</v>
      </c>
      <c r="BZ310" s="108">
        <v>1.0</v>
      </c>
      <c r="CA310" s="72"/>
      <c r="CB310" s="30">
        <v>1.0</v>
      </c>
      <c r="CC310" s="31"/>
      <c r="CD310" s="28">
        <v>1.0</v>
      </c>
      <c r="CE310" s="32" t="e">
        <v>#REF!</v>
      </c>
      <c r="CF310" s="33"/>
      <c r="CG310" s="34">
        <v>0.0</v>
      </c>
      <c r="CH310" s="35">
        <v>0.0</v>
      </c>
      <c r="CI310" s="36">
        <v>8.0</v>
      </c>
      <c r="CJ310" s="36">
        <v>3812.0</v>
      </c>
      <c r="CK310" s="37">
        <v>0.0</v>
      </c>
      <c r="CL310" s="36">
        <v>3812.0</v>
      </c>
      <c r="CM310" s="38">
        <v>178.0</v>
      </c>
      <c r="CN310" s="36">
        <v>0.0</v>
      </c>
      <c r="CO310" s="39">
        <v>22.2</v>
      </c>
      <c r="CP310" s="40">
        <v>0.0</v>
      </c>
      <c r="CQ310" s="36">
        <v>9.0</v>
      </c>
      <c r="CR310" s="36">
        <v>9.0</v>
      </c>
      <c r="CS310" s="36">
        <v>92.0</v>
      </c>
      <c r="CT310" s="41"/>
      <c r="CU310" s="42"/>
      <c r="CV310" s="43"/>
      <c r="CW310" s="44">
        <v>1.0</v>
      </c>
      <c r="CX310" s="44">
        <v>1.0</v>
      </c>
      <c r="CY310" s="44">
        <v>0.1</v>
      </c>
      <c r="CZ310" s="45"/>
      <c r="DA310" s="44">
        <v>1.0</v>
      </c>
      <c r="DB310" s="44">
        <v>0.0</v>
      </c>
      <c r="DC310" s="46" t="s">
        <v>127</v>
      </c>
      <c r="DD310" s="47">
        <v>46197.0</v>
      </c>
      <c r="DE310" s="43"/>
      <c r="DF310" s="43"/>
      <c r="DG310" s="48" t="s">
        <v>128</v>
      </c>
      <c r="DH310" s="48" t="s">
        <v>128</v>
      </c>
      <c r="DI310" s="48" t="s">
        <v>129</v>
      </c>
      <c r="DJ310" s="49">
        <v>1.0</v>
      </c>
      <c r="DK310" s="48" t="b">
        <v>0</v>
      </c>
      <c r="DL310" s="50" t="s">
        <v>832</v>
      </c>
      <c r="DM310" s="50" t="s">
        <v>128</v>
      </c>
      <c r="DN310" s="50" t="s">
        <v>833</v>
      </c>
      <c r="DO310" s="49">
        <v>0.93</v>
      </c>
      <c r="DP310" s="48" t="s">
        <v>128</v>
      </c>
      <c r="DQ310" s="48" t="s">
        <v>417</v>
      </c>
      <c r="DR310" s="48" t="s">
        <v>526</v>
      </c>
      <c r="DS310" s="48" t="s">
        <v>134</v>
      </c>
    </row>
    <row r="311">
      <c r="A311" s="52" t="s">
        <v>118</v>
      </c>
      <c r="B311" s="53">
        <v>6.0</v>
      </c>
      <c r="C311" s="52" t="s">
        <v>747</v>
      </c>
      <c r="D311" s="53">
        <v>681287.0</v>
      </c>
      <c r="E311" s="52" t="s">
        <v>354</v>
      </c>
      <c r="F311" s="52" t="s">
        <v>836</v>
      </c>
      <c r="G311" s="52" t="s">
        <v>837</v>
      </c>
      <c r="H311" s="53">
        <v>45060.0</v>
      </c>
      <c r="I311" s="53">
        <v>1.0</v>
      </c>
      <c r="J311" s="53">
        <v>0.0</v>
      </c>
      <c r="K311" s="53">
        <v>0.0</v>
      </c>
      <c r="L311" s="53">
        <v>0.0</v>
      </c>
      <c r="M311" s="53">
        <v>0.0</v>
      </c>
      <c r="N311" s="53">
        <v>0.0</v>
      </c>
      <c r="O311" s="53">
        <v>0.0</v>
      </c>
      <c r="P311" s="53">
        <v>0.0</v>
      </c>
      <c r="Q311" s="53">
        <v>0.0</v>
      </c>
      <c r="R311" s="53">
        <v>0.0</v>
      </c>
      <c r="S311" s="53">
        <v>0.0</v>
      </c>
      <c r="T311" s="53">
        <v>0.0</v>
      </c>
      <c r="U311" s="53">
        <v>0.0</v>
      </c>
      <c r="V311" s="53">
        <v>0.0</v>
      </c>
      <c r="W311" s="53">
        <v>0.0</v>
      </c>
      <c r="X311" s="53">
        <v>0.0</v>
      </c>
      <c r="Y311" s="53">
        <v>0.0</v>
      </c>
      <c r="Z311" s="53">
        <v>0.0</v>
      </c>
      <c r="AA311" s="53">
        <v>0.0</v>
      </c>
      <c r="AB311" s="53">
        <v>1.0</v>
      </c>
      <c r="AC311" s="53">
        <v>0.0</v>
      </c>
      <c r="AD311" s="53">
        <v>0.0</v>
      </c>
      <c r="AE311" s="53">
        <v>0.0</v>
      </c>
      <c r="AF311" s="53">
        <v>0.0</v>
      </c>
      <c r="AG311" s="53">
        <v>0.0</v>
      </c>
      <c r="AH311" s="53">
        <v>0.0</v>
      </c>
      <c r="AI311" s="53">
        <v>0.0</v>
      </c>
      <c r="AJ311" s="53">
        <v>0.0</v>
      </c>
      <c r="AK311" s="53">
        <v>0.0</v>
      </c>
      <c r="AL311" s="53">
        <v>0.0</v>
      </c>
      <c r="AM311" s="53">
        <v>0.0</v>
      </c>
      <c r="AN311" s="53">
        <v>0.0</v>
      </c>
      <c r="AO311" s="25">
        <v>19.2</v>
      </c>
      <c r="AP311" s="54"/>
      <c r="AQ311" s="54"/>
      <c r="AR311" s="54"/>
      <c r="AS311" s="54"/>
      <c r="AT311" s="54"/>
      <c r="AU311" s="54"/>
      <c r="AV311" s="54"/>
      <c r="AW311" s="54"/>
      <c r="AX311" s="54"/>
      <c r="AY311" s="54"/>
      <c r="AZ311" s="54"/>
      <c r="BA311" s="54"/>
      <c r="BB311" s="54"/>
      <c r="BC311" s="54"/>
      <c r="BD311" s="54"/>
      <c r="BE311" s="54"/>
      <c r="BF311" s="54"/>
      <c r="BG311" s="54"/>
      <c r="BH311" s="53">
        <v>19.2</v>
      </c>
      <c r="BI311" s="54"/>
      <c r="BJ311" s="54"/>
      <c r="BK311" s="54"/>
      <c r="BL311" s="54"/>
      <c r="BM311" s="54"/>
      <c r="BN311" s="54"/>
      <c r="BO311" s="54"/>
      <c r="BP311" s="53">
        <v>0.68</v>
      </c>
      <c r="BQ311" s="53">
        <v>0.63</v>
      </c>
      <c r="BR311" s="53">
        <v>1.12</v>
      </c>
      <c r="BS311" s="25">
        <v>10.2</v>
      </c>
      <c r="BT311" s="81"/>
      <c r="BU311" s="54"/>
      <c r="BV311" s="54"/>
      <c r="BW311" s="54"/>
      <c r="BX311" s="53">
        <v>3000.0</v>
      </c>
      <c r="BY311" s="53" t="s">
        <v>123</v>
      </c>
      <c r="BZ311" s="58">
        <v>2700.0</v>
      </c>
      <c r="CA311" s="29" t="s">
        <v>124</v>
      </c>
      <c r="CB311" s="30">
        <v>3000.0</v>
      </c>
      <c r="CC311" s="31"/>
      <c r="CD311" s="58">
        <v>3000.0</v>
      </c>
      <c r="CE311" s="59" t="e">
        <v>#REF!</v>
      </c>
      <c r="CF311" s="60"/>
      <c r="CG311" s="61">
        <v>0.0</v>
      </c>
      <c r="CH311" s="62">
        <v>0.0</v>
      </c>
      <c r="CI311" s="63">
        <v>1.0</v>
      </c>
      <c r="CJ311" s="63">
        <v>3812.0</v>
      </c>
      <c r="CK311" s="64">
        <v>0.0</v>
      </c>
      <c r="CL311" s="63">
        <v>3812.0</v>
      </c>
      <c r="CM311" s="65">
        <v>19.0</v>
      </c>
      <c r="CN311" s="63">
        <v>0.0</v>
      </c>
      <c r="CO311" s="66">
        <v>19.2</v>
      </c>
      <c r="CP311" s="67">
        <v>0.0</v>
      </c>
      <c r="CQ311" s="63">
        <v>1.0</v>
      </c>
      <c r="CR311" s="63">
        <v>1.0</v>
      </c>
      <c r="CS311" s="63">
        <v>10.0</v>
      </c>
      <c r="CT311" s="68"/>
      <c r="CU311" s="69"/>
      <c r="CV311" s="70"/>
      <c r="CW311" s="71">
        <v>10.0</v>
      </c>
      <c r="CX311" s="71" t="s">
        <v>138</v>
      </c>
      <c r="CY311" s="71" t="s">
        <v>139</v>
      </c>
      <c r="CZ311" s="45"/>
      <c r="DA311" s="44">
        <v>3000.0</v>
      </c>
      <c r="DB311" s="44">
        <v>0.0</v>
      </c>
      <c r="DC311" s="43"/>
      <c r="DD311" s="78"/>
      <c r="DE311" s="43"/>
      <c r="DF311" s="43"/>
      <c r="DG311" s="48" t="s">
        <v>128</v>
      </c>
      <c r="DH311" s="48" t="s">
        <v>128</v>
      </c>
      <c r="DI311" s="48" t="s">
        <v>129</v>
      </c>
      <c r="DJ311" s="49">
        <v>1.0</v>
      </c>
      <c r="DK311" s="48" t="b">
        <v>0</v>
      </c>
      <c r="DL311" s="50" t="s">
        <v>832</v>
      </c>
      <c r="DM311" s="50" t="s">
        <v>128</v>
      </c>
      <c r="DN311" s="50" t="s">
        <v>833</v>
      </c>
      <c r="DO311" s="49">
        <v>0.93</v>
      </c>
      <c r="DP311" s="48" t="s">
        <v>128</v>
      </c>
      <c r="DQ311" s="48" t="s">
        <v>417</v>
      </c>
      <c r="DR311" s="51"/>
      <c r="DS311" s="48" t="s">
        <v>134</v>
      </c>
    </row>
    <row r="312">
      <c r="A312" s="23" t="s">
        <v>118</v>
      </c>
      <c r="B312" s="24">
        <v>6.0</v>
      </c>
      <c r="C312" s="23" t="s">
        <v>747</v>
      </c>
      <c r="D312" s="24">
        <v>626041.0</v>
      </c>
      <c r="E312" s="23" t="s">
        <v>135</v>
      </c>
      <c r="F312" s="23" t="s">
        <v>838</v>
      </c>
      <c r="G312" s="23" t="s">
        <v>839</v>
      </c>
      <c r="H312" s="24">
        <v>45060.0</v>
      </c>
      <c r="I312" s="24">
        <v>3.0</v>
      </c>
      <c r="J312" s="24">
        <v>0.0</v>
      </c>
      <c r="K312" s="24">
        <v>0.0</v>
      </c>
      <c r="L312" s="24">
        <v>0.0</v>
      </c>
      <c r="M312" s="24">
        <v>0.0</v>
      </c>
      <c r="N312" s="24">
        <v>0.0</v>
      </c>
      <c r="O312" s="24">
        <v>0.0</v>
      </c>
      <c r="P312" s="24">
        <v>0.0</v>
      </c>
      <c r="Q312" s="24">
        <v>0.0</v>
      </c>
      <c r="R312" s="24">
        <v>0.0</v>
      </c>
      <c r="S312" s="24">
        <v>0.0</v>
      </c>
      <c r="T312" s="24">
        <v>0.0</v>
      </c>
      <c r="U312" s="24">
        <v>1.0</v>
      </c>
      <c r="V312" s="24">
        <v>0.0</v>
      </c>
      <c r="W312" s="24">
        <v>0.0</v>
      </c>
      <c r="X312" s="24">
        <v>0.0</v>
      </c>
      <c r="Y312" s="24">
        <v>2.0</v>
      </c>
      <c r="Z312" s="24">
        <v>0.0</v>
      </c>
      <c r="AA312" s="24">
        <v>0.0</v>
      </c>
      <c r="AB312" s="24">
        <v>0.0</v>
      </c>
      <c r="AC312" s="24">
        <v>0.0</v>
      </c>
      <c r="AD312" s="24">
        <v>0.0</v>
      </c>
      <c r="AE312" s="24">
        <v>0.0</v>
      </c>
      <c r="AF312" s="24">
        <v>0.0</v>
      </c>
      <c r="AG312" s="24">
        <v>0.0</v>
      </c>
      <c r="AH312" s="24">
        <v>0.0</v>
      </c>
      <c r="AI312" s="24">
        <v>0.0</v>
      </c>
      <c r="AJ312" s="24">
        <v>0.0</v>
      </c>
      <c r="AK312" s="24">
        <v>0.0</v>
      </c>
      <c r="AL312" s="24">
        <v>0.0</v>
      </c>
      <c r="AM312" s="24">
        <v>0.0</v>
      </c>
      <c r="AN312" s="24">
        <v>0.0</v>
      </c>
      <c r="AO312" s="25">
        <v>19.3</v>
      </c>
      <c r="AP312" s="26"/>
      <c r="AQ312" s="26"/>
      <c r="AR312" s="26"/>
      <c r="AS312" s="26"/>
      <c r="AT312" s="26"/>
      <c r="AU312" s="26"/>
      <c r="AV312" s="26"/>
      <c r="AW312" s="26"/>
      <c r="AX312" s="26"/>
      <c r="AY312" s="26"/>
      <c r="AZ312" s="26"/>
      <c r="BA312" s="24">
        <v>16.07</v>
      </c>
      <c r="BB312" s="26"/>
      <c r="BC312" s="26"/>
      <c r="BD312" s="26"/>
      <c r="BE312" s="24">
        <v>20.88</v>
      </c>
      <c r="BF312" s="26"/>
      <c r="BG312" s="26"/>
      <c r="BH312" s="26"/>
      <c r="BI312" s="26"/>
      <c r="BJ312" s="26"/>
      <c r="BK312" s="26"/>
      <c r="BL312" s="26"/>
      <c r="BM312" s="26"/>
      <c r="BN312" s="26"/>
      <c r="BO312" s="26"/>
      <c r="BP312" s="24">
        <v>1.12</v>
      </c>
      <c r="BQ312" s="24">
        <v>3.39</v>
      </c>
      <c r="BR312" s="24">
        <v>4.27</v>
      </c>
      <c r="BS312" s="25">
        <v>9.71</v>
      </c>
      <c r="BT312" s="56">
        <v>18.7</v>
      </c>
      <c r="BU312" s="25">
        <v>8.4</v>
      </c>
      <c r="BV312" s="57">
        <v>4.97</v>
      </c>
      <c r="BW312" s="26"/>
      <c r="BX312" s="24">
        <v>3000.0</v>
      </c>
      <c r="BY312" s="24" t="s">
        <v>123</v>
      </c>
      <c r="BZ312" s="28">
        <v>2700.0</v>
      </c>
      <c r="CA312" s="29" t="s">
        <v>124</v>
      </c>
      <c r="CB312" s="30">
        <v>3000.0</v>
      </c>
      <c r="CC312" s="31"/>
      <c r="CD312" s="28">
        <v>3000.0</v>
      </c>
      <c r="CE312" s="32" t="e">
        <v>#REF!</v>
      </c>
      <c r="CF312" s="33"/>
      <c r="CG312" s="34">
        <v>0.0</v>
      </c>
      <c r="CH312" s="35">
        <v>0.0</v>
      </c>
      <c r="CI312" s="36">
        <v>3.0</v>
      </c>
      <c r="CJ312" s="36">
        <v>3812.0</v>
      </c>
      <c r="CK312" s="37">
        <v>0.0</v>
      </c>
      <c r="CL312" s="36">
        <v>3812.0</v>
      </c>
      <c r="CM312" s="38">
        <v>58.0</v>
      </c>
      <c r="CN312" s="36">
        <v>0.0</v>
      </c>
      <c r="CO312" s="39">
        <v>19.3</v>
      </c>
      <c r="CP312" s="40">
        <v>0.0</v>
      </c>
      <c r="CQ312" s="36">
        <v>3.0</v>
      </c>
      <c r="CR312" s="36">
        <v>3.0</v>
      </c>
      <c r="CS312" s="36">
        <v>29.0</v>
      </c>
      <c r="CT312" s="41"/>
      <c r="CU312" s="42"/>
      <c r="CV312" s="43"/>
      <c r="CW312" s="44">
        <v>10.0</v>
      </c>
      <c r="CX312" s="44" t="s">
        <v>138</v>
      </c>
      <c r="CY312" s="44" t="s">
        <v>139</v>
      </c>
      <c r="CZ312" s="45"/>
      <c r="DA312" s="44">
        <v>2700.0</v>
      </c>
      <c r="DB312" s="44">
        <v>0.0</v>
      </c>
      <c r="DC312" s="46" t="s">
        <v>127</v>
      </c>
      <c r="DD312" s="47">
        <v>46218.0</v>
      </c>
      <c r="DE312" s="43"/>
      <c r="DF312" s="43"/>
      <c r="DG312" s="48" t="s">
        <v>128</v>
      </c>
      <c r="DH312" s="48" t="s">
        <v>128</v>
      </c>
      <c r="DI312" s="48" t="s">
        <v>128</v>
      </c>
      <c r="DJ312" s="49">
        <v>1.0</v>
      </c>
      <c r="DK312" s="48" t="b">
        <v>0</v>
      </c>
      <c r="DL312" s="50" t="s">
        <v>832</v>
      </c>
      <c r="DM312" s="50" t="s">
        <v>128</v>
      </c>
      <c r="DN312" s="50" t="s">
        <v>833</v>
      </c>
      <c r="DO312" s="49">
        <v>0.93</v>
      </c>
      <c r="DP312" s="48" t="s">
        <v>128</v>
      </c>
      <c r="DQ312" s="48" t="s">
        <v>128</v>
      </c>
      <c r="DR312" s="51"/>
      <c r="DS312" s="48" t="s">
        <v>134</v>
      </c>
    </row>
    <row r="313">
      <c r="A313" s="52" t="s">
        <v>118</v>
      </c>
      <c r="B313" s="53">
        <v>6.0</v>
      </c>
      <c r="C313" s="52" t="s">
        <v>747</v>
      </c>
      <c r="D313" s="53">
        <v>641892.0</v>
      </c>
      <c r="E313" s="52" t="s">
        <v>170</v>
      </c>
      <c r="F313" s="52" t="s">
        <v>840</v>
      </c>
      <c r="G313" s="52" t="s">
        <v>841</v>
      </c>
      <c r="H313" s="53">
        <v>45060.0</v>
      </c>
      <c r="I313" s="53">
        <v>4.0</v>
      </c>
      <c r="J313" s="53">
        <v>0.0</v>
      </c>
      <c r="K313" s="53">
        <v>0.0</v>
      </c>
      <c r="L313" s="53">
        <v>0.0</v>
      </c>
      <c r="M313" s="53">
        <v>1.0</v>
      </c>
      <c r="N313" s="53">
        <v>0.0</v>
      </c>
      <c r="O313" s="53">
        <v>1.0</v>
      </c>
      <c r="P313" s="53">
        <v>0.0</v>
      </c>
      <c r="Q313" s="53">
        <v>0.0</v>
      </c>
      <c r="R313" s="53">
        <v>0.0</v>
      </c>
      <c r="S313" s="53">
        <v>0.0</v>
      </c>
      <c r="T313" s="53">
        <v>0.0</v>
      </c>
      <c r="U313" s="53">
        <v>0.0</v>
      </c>
      <c r="V313" s="53">
        <v>1.0</v>
      </c>
      <c r="W313" s="53">
        <v>0.0</v>
      </c>
      <c r="X313" s="53">
        <v>1.0</v>
      </c>
      <c r="Y313" s="53">
        <v>0.0</v>
      </c>
      <c r="Z313" s="53">
        <v>0.0</v>
      </c>
      <c r="AA313" s="53">
        <v>0.0</v>
      </c>
      <c r="AB313" s="53">
        <v>0.0</v>
      </c>
      <c r="AC313" s="53">
        <v>0.0</v>
      </c>
      <c r="AD313" s="53">
        <v>0.0</v>
      </c>
      <c r="AE313" s="53">
        <v>0.0</v>
      </c>
      <c r="AF313" s="53">
        <v>0.0</v>
      </c>
      <c r="AG313" s="53">
        <v>0.0</v>
      </c>
      <c r="AH313" s="53">
        <v>0.0</v>
      </c>
      <c r="AI313" s="53">
        <v>0.0</v>
      </c>
      <c r="AJ313" s="53">
        <v>0.0</v>
      </c>
      <c r="AK313" s="53">
        <v>0.0</v>
      </c>
      <c r="AL313" s="53">
        <v>0.0</v>
      </c>
      <c r="AM313" s="53">
        <v>0.0</v>
      </c>
      <c r="AN313" s="53">
        <v>0.0</v>
      </c>
      <c r="AO313" s="25">
        <v>18.3</v>
      </c>
      <c r="AP313" s="54"/>
      <c r="AQ313" s="54"/>
      <c r="AR313" s="54"/>
      <c r="AS313" s="53">
        <v>22.57</v>
      </c>
      <c r="AT313" s="54"/>
      <c r="AU313" s="53">
        <v>15.87</v>
      </c>
      <c r="AV313" s="54"/>
      <c r="AW313" s="54"/>
      <c r="AX313" s="54"/>
      <c r="AY313" s="54"/>
      <c r="AZ313" s="54"/>
      <c r="BA313" s="54"/>
      <c r="BB313" s="53">
        <v>13.4</v>
      </c>
      <c r="BC313" s="54"/>
      <c r="BD313" s="53">
        <v>21.18</v>
      </c>
      <c r="BE313" s="54"/>
      <c r="BF313" s="54"/>
      <c r="BG313" s="54"/>
      <c r="BH313" s="54"/>
      <c r="BI313" s="54"/>
      <c r="BJ313" s="54"/>
      <c r="BK313" s="54"/>
      <c r="BL313" s="54"/>
      <c r="BM313" s="54"/>
      <c r="BN313" s="54"/>
      <c r="BO313" s="54"/>
      <c r="BP313" s="53">
        <v>0.99</v>
      </c>
      <c r="BQ313" s="53">
        <v>4.92</v>
      </c>
      <c r="BR313" s="53">
        <v>5.72</v>
      </c>
      <c r="BS313" s="25">
        <v>8.87</v>
      </c>
      <c r="BT313" s="77">
        <v>14.6</v>
      </c>
      <c r="BU313" s="25">
        <v>7.1</v>
      </c>
      <c r="BV313" s="57">
        <v>2.53</v>
      </c>
      <c r="BW313" s="54"/>
      <c r="BX313" s="53">
        <v>3000.0</v>
      </c>
      <c r="BY313" s="53" t="s">
        <v>123</v>
      </c>
      <c r="BZ313" s="58">
        <v>2700.0</v>
      </c>
      <c r="CA313" s="29" t="s">
        <v>124</v>
      </c>
      <c r="CB313" s="30">
        <v>3000.0</v>
      </c>
      <c r="CC313" s="31"/>
      <c r="CD313" s="58">
        <v>3000.0</v>
      </c>
      <c r="CE313" s="59" t="e">
        <v>#REF!</v>
      </c>
      <c r="CF313" s="60"/>
      <c r="CG313" s="61">
        <v>0.0</v>
      </c>
      <c r="CH313" s="62">
        <v>0.0</v>
      </c>
      <c r="CI313" s="63">
        <v>4.0</v>
      </c>
      <c r="CJ313" s="63">
        <v>3812.0</v>
      </c>
      <c r="CK313" s="64">
        <v>0.0</v>
      </c>
      <c r="CL313" s="63">
        <v>3812.0</v>
      </c>
      <c r="CM313" s="65">
        <v>73.0</v>
      </c>
      <c r="CN313" s="63">
        <v>0.0</v>
      </c>
      <c r="CO313" s="66">
        <v>18.3</v>
      </c>
      <c r="CP313" s="67">
        <v>0.0</v>
      </c>
      <c r="CQ313" s="63">
        <v>4.0</v>
      </c>
      <c r="CR313" s="63">
        <v>4.0</v>
      </c>
      <c r="CS313" s="63">
        <v>35.0</v>
      </c>
      <c r="CT313" s="68"/>
      <c r="CU313" s="69"/>
      <c r="CV313" s="70"/>
      <c r="CW313" s="71">
        <v>10.0</v>
      </c>
      <c r="CX313" s="71" t="s">
        <v>138</v>
      </c>
      <c r="CY313" s="71" t="s">
        <v>139</v>
      </c>
      <c r="CZ313" s="45"/>
      <c r="DA313" s="44">
        <v>3000.0</v>
      </c>
      <c r="DB313" s="44">
        <v>0.0</v>
      </c>
      <c r="DC313" s="43"/>
      <c r="DD313" s="78"/>
      <c r="DE313" s="43"/>
      <c r="DF313" s="43"/>
      <c r="DG313" s="48" t="s">
        <v>128</v>
      </c>
      <c r="DH313" s="48" t="s">
        <v>128</v>
      </c>
      <c r="DI313" s="48" t="s">
        <v>128</v>
      </c>
      <c r="DJ313" s="49">
        <v>0.0</v>
      </c>
      <c r="DK313" s="48" t="b">
        <v>0</v>
      </c>
      <c r="DL313" s="50" t="s">
        <v>832</v>
      </c>
      <c r="DM313" s="50" t="s">
        <v>128</v>
      </c>
      <c r="DN313" s="50" t="s">
        <v>833</v>
      </c>
      <c r="DO313" s="49">
        <v>0.93</v>
      </c>
      <c r="DP313" s="48" t="s">
        <v>128</v>
      </c>
      <c r="DQ313" s="48" t="s">
        <v>128</v>
      </c>
      <c r="DR313" s="48" t="s">
        <v>526</v>
      </c>
      <c r="DS313" s="48" t="s">
        <v>134</v>
      </c>
    </row>
    <row r="314">
      <c r="A314" s="23" t="s">
        <v>118</v>
      </c>
      <c r="B314" s="24">
        <v>6.0</v>
      </c>
      <c r="C314" s="23" t="s">
        <v>747</v>
      </c>
      <c r="D314" s="24">
        <v>648803.0</v>
      </c>
      <c r="E314" s="23" t="s">
        <v>189</v>
      </c>
      <c r="F314" s="23" t="s">
        <v>842</v>
      </c>
      <c r="G314" s="23" t="s">
        <v>843</v>
      </c>
      <c r="H314" s="24">
        <v>45060.0</v>
      </c>
      <c r="I314" s="24">
        <v>3.0</v>
      </c>
      <c r="J314" s="24">
        <v>0.0</v>
      </c>
      <c r="K314" s="24">
        <v>0.0</v>
      </c>
      <c r="L314" s="24">
        <v>0.0</v>
      </c>
      <c r="M314" s="24">
        <v>1.0</v>
      </c>
      <c r="N314" s="24">
        <v>0.0</v>
      </c>
      <c r="O314" s="24">
        <v>0.0</v>
      </c>
      <c r="P314" s="24">
        <v>0.0</v>
      </c>
      <c r="Q314" s="24">
        <v>0.0</v>
      </c>
      <c r="R314" s="24">
        <v>0.0</v>
      </c>
      <c r="S314" s="24">
        <v>1.0</v>
      </c>
      <c r="T314" s="24">
        <v>0.0</v>
      </c>
      <c r="U314" s="24">
        <v>0.0</v>
      </c>
      <c r="V314" s="24">
        <v>0.0</v>
      </c>
      <c r="W314" s="24">
        <v>0.0</v>
      </c>
      <c r="X314" s="24">
        <v>1.0</v>
      </c>
      <c r="Y314" s="24">
        <v>0.0</v>
      </c>
      <c r="Z314" s="24">
        <v>0.0</v>
      </c>
      <c r="AA314" s="24">
        <v>0.0</v>
      </c>
      <c r="AB314" s="24">
        <v>0.0</v>
      </c>
      <c r="AC314" s="24">
        <v>0.0</v>
      </c>
      <c r="AD314" s="24">
        <v>0.0</v>
      </c>
      <c r="AE314" s="24">
        <v>0.0</v>
      </c>
      <c r="AF314" s="24">
        <v>0.0</v>
      </c>
      <c r="AG314" s="24">
        <v>0.0</v>
      </c>
      <c r="AH314" s="24">
        <v>0.0</v>
      </c>
      <c r="AI314" s="24">
        <v>0.0</v>
      </c>
      <c r="AJ314" s="24">
        <v>0.0</v>
      </c>
      <c r="AK314" s="24">
        <v>0.0</v>
      </c>
      <c r="AL314" s="24">
        <v>0.0</v>
      </c>
      <c r="AM314" s="24">
        <v>0.0</v>
      </c>
      <c r="AN314" s="24">
        <v>0.0</v>
      </c>
      <c r="AO314" s="25">
        <v>21.1</v>
      </c>
      <c r="AP314" s="26"/>
      <c r="AQ314" s="26"/>
      <c r="AR314" s="26"/>
      <c r="AS314" s="24">
        <v>15.9</v>
      </c>
      <c r="AT314" s="26"/>
      <c r="AU314" s="26"/>
      <c r="AV314" s="26"/>
      <c r="AW314" s="26"/>
      <c r="AX314" s="26"/>
      <c r="AY314" s="24">
        <v>23.7</v>
      </c>
      <c r="AZ314" s="26"/>
      <c r="BA314" s="26"/>
      <c r="BB314" s="26"/>
      <c r="BC314" s="26"/>
      <c r="BD314" s="24">
        <v>23.58</v>
      </c>
      <c r="BE314" s="26"/>
      <c r="BF314" s="26"/>
      <c r="BG314" s="26"/>
      <c r="BH314" s="26"/>
      <c r="BI314" s="26"/>
      <c r="BJ314" s="26"/>
      <c r="BK314" s="26"/>
      <c r="BL314" s="26"/>
      <c r="BM314" s="26"/>
      <c r="BN314" s="26"/>
      <c r="BO314" s="26"/>
      <c r="BP314" s="24">
        <v>0.83</v>
      </c>
      <c r="BQ314" s="24">
        <v>5.14</v>
      </c>
      <c r="BR314" s="24">
        <v>5.78</v>
      </c>
      <c r="BS314" s="25">
        <v>8.86</v>
      </c>
      <c r="BT314" s="91">
        <v>15.9</v>
      </c>
      <c r="BU314" s="25">
        <v>6.5</v>
      </c>
      <c r="BV314" s="57">
        <v>2.77</v>
      </c>
      <c r="BW314" s="26"/>
      <c r="BX314" s="24">
        <v>3000.0</v>
      </c>
      <c r="BY314" s="24" t="s">
        <v>123</v>
      </c>
      <c r="BZ314" s="28">
        <v>2700.0</v>
      </c>
      <c r="CA314" s="29" t="s">
        <v>124</v>
      </c>
      <c r="CB314" s="30">
        <v>3000.0</v>
      </c>
      <c r="CC314" s="31"/>
      <c r="CD314" s="28">
        <v>3000.0</v>
      </c>
      <c r="CE314" s="32" t="e">
        <v>#REF!</v>
      </c>
      <c r="CF314" s="33"/>
      <c r="CG314" s="34">
        <v>0.0</v>
      </c>
      <c r="CH314" s="35">
        <v>0.0</v>
      </c>
      <c r="CI314" s="36">
        <v>3.0</v>
      </c>
      <c r="CJ314" s="36">
        <v>3812.0</v>
      </c>
      <c r="CK314" s="37">
        <v>0.0</v>
      </c>
      <c r="CL314" s="36">
        <v>3812.0</v>
      </c>
      <c r="CM314" s="38">
        <v>63.0</v>
      </c>
      <c r="CN314" s="36">
        <v>0.0</v>
      </c>
      <c r="CO314" s="39">
        <v>21.1</v>
      </c>
      <c r="CP314" s="40">
        <v>0.0</v>
      </c>
      <c r="CQ314" s="36">
        <v>2.0</v>
      </c>
      <c r="CR314" s="36">
        <v>2.0</v>
      </c>
      <c r="CS314" s="36">
        <v>27.0</v>
      </c>
      <c r="CT314" s="41"/>
      <c r="CU314" s="42"/>
      <c r="CV314" s="43"/>
      <c r="CW314" s="44">
        <v>10.0</v>
      </c>
      <c r="CX314" s="44" t="s">
        <v>138</v>
      </c>
      <c r="CY314" s="44" t="s">
        <v>139</v>
      </c>
      <c r="CZ314" s="45"/>
      <c r="DA314" s="44">
        <v>3000.0</v>
      </c>
      <c r="DB314" s="44">
        <v>0.0</v>
      </c>
      <c r="DC314" s="43"/>
      <c r="DD314" s="78"/>
      <c r="DE314" s="43"/>
      <c r="DF314" s="43"/>
      <c r="DG314" s="48" t="s">
        <v>128</v>
      </c>
      <c r="DH314" s="48" t="s">
        <v>128</v>
      </c>
      <c r="DI314" s="48" t="s">
        <v>128</v>
      </c>
      <c r="DJ314" s="49">
        <v>0.0</v>
      </c>
      <c r="DK314" s="48" t="b">
        <v>0</v>
      </c>
      <c r="DL314" s="50" t="s">
        <v>832</v>
      </c>
      <c r="DM314" s="50" t="s">
        <v>128</v>
      </c>
      <c r="DN314" s="50" t="s">
        <v>833</v>
      </c>
      <c r="DO314" s="49">
        <v>0.93</v>
      </c>
      <c r="DP314" s="48" t="s">
        <v>128</v>
      </c>
      <c r="DQ314" s="48" t="s">
        <v>128</v>
      </c>
      <c r="DR314" s="51"/>
      <c r="DS314" s="48" t="s">
        <v>134</v>
      </c>
    </row>
    <row r="315">
      <c r="A315" s="52" t="s">
        <v>118</v>
      </c>
      <c r="B315" s="53">
        <v>6.0</v>
      </c>
      <c r="C315" s="52" t="s">
        <v>747</v>
      </c>
      <c r="D315" s="53">
        <v>558730.0</v>
      </c>
      <c r="E315" s="52" t="s">
        <v>148</v>
      </c>
      <c r="F315" s="52" t="s">
        <v>844</v>
      </c>
      <c r="G315" s="52" t="s">
        <v>845</v>
      </c>
      <c r="H315" s="53">
        <v>45060.0</v>
      </c>
      <c r="I315" s="53">
        <v>2.0</v>
      </c>
      <c r="J315" s="53">
        <v>0.0</v>
      </c>
      <c r="K315" s="53">
        <v>0.0</v>
      </c>
      <c r="L315" s="53">
        <v>0.0</v>
      </c>
      <c r="M315" s="53">
        <v>0.0</v>
      </c>
      <c r="N315" s="53">
        <v>0.0</v>
      </c>
      <c r="O315" s="53">
        <v>0.0</v>
      </c>
      <c r="P315" s="53">
        <v>0.0</v>
      </c>
      <c r="Q315" s="53">
        <v>0.0</v>
      </c>
      <c r="R315" s="53">
        <v>1.0</v>
      </c>
      <c r="S315" s="53">
        <v>0.0</v>
      </c>
      <c r="T315" s="53">
        <v>0.0</v>
      </c>
      <c r="U315" s="53">
        <v>0.0</v>
      </c>
      <c r="V315" s="53">
        <v>0.0</v>
      </c>
      <c r="W315" s="53">
        <v>0.0</v>
      </c>
      <c r="X315" s="53">
        <v>0.0</v>
      </c>
      <c r="Y315" s="53">
        <v>0.0</v>
      </c>
      <c r="Z315" s="53">
        <v>0.0</v>
      </c>
      <c r="AA315" s="53">
        <v>0.0</v>
      </c>
      <c r="AB315" s="53">
        <v>0.0</v>
      </c>
      <c r="AC315" s="53">
        <v>0.0</v>
      </c>
      <c r="AD315" s="53">
        <v>0.0</v>
      </c>
      <c r="AE315" s="53">
        <v>0.0</v>
      </c>
      <c r="AF315" s="53">
        <v>0.0</v>
      </c>
      <c r="AG315" s="53">
        <v>0.0</v>
      </c>
      <c r="AH315" s="53">
        <v>0.0</v>
      </c>
      <c r="AI315" s="53">
        <v>0.0</v>
      </c>
      <c r="AJ315" s="53">
        <v>0.0</v>
      </c>
      <c r="AK315" s="53">
        <v>0.0</v>
      </c>
      <c r="AL315" s="53">
        <v>0.0</v>
      </c>
      <c r="AM315" s="53">
        <v>1.0</v>
      </c>
      <c r="AN315" s="53">
        <v>0.0</v>
      </c>
      <c r="AO315" s="25">
        <v>26.8</v>
      </c>
      <c r="AP315" s="54"/>
      <c r="AQ315" s="54"/>
      <c r="AR315" s="54"/>
      <c r="AS315" s="54"/>
      <c r="AT315" s="54"/>
      <c r="AU315" s="54"/>
      <c r="AV315" s="54"/>
      <c r="AW315" s="54"/>
      <c r="AX315" s="53">
        <v>13.38</v>
      </c>
      <c r="AY315" s="54"/>
      <c r="AZ315" s="54"/>
      <c r="BA315" s="54"/>
      <c r="BB315" s="54"/>
      <c r="BC315" s="54"/>
      <c r="BD315" s="54"/>
      <c r="BE315" s="54"/>
      <c r="BF315" s="54"/>
      <c r="BG315" s="54"/>
      <c r="BH315" s="54"/>
      <c r="BI315" s="54"/>
      <c r="BJ315" s="54"/>
      <c r="BK315" s="54"/>
      <c r="BL315" s="54"/>
      <c r="BM315" s="54"/>
      <c r="BN315" s="54"/>
      <c r="BO315" s="53">
        <v>0.67</v>
      </c>
      <c r="BP315" s="53">
        <v>1.06</v>
      </c>
      <c r="BQ315" s="53">
        <v>8.29</v>
      </c>
      <c r="BR315" s="53">
        <v>9.17</v>
      </c>
      <c r="BS315" s="25">
        <v>8.43</v>
      </c>
      <c r="BT315" s="81"/>
      <c r="BU315" s="54"/>
      <c r="BV315" s="54"/>
      <c r="BW315" s="54"/>
      <c r="BX315" s="53">
        <v>3000.0</v>
      </c>
      <c r="BY315" s="52" t="s">
        <v>123</v>
      </c>
      <c r="BZ315" s="58">
        <v>2700.0</v>
      </c>
      <c r="CA315" s="29" t="s">
        <v>124</v>
      </c>
      <c r="CB315" s="30">
        <v>3000.0</v>
      </c>
      <c r="CC315" s="31"/>
      <c r="CD315" s="58">
        <v>3000.0</v>
      </c>
      <c r="CE315" s="59" t="e">
        <v>#REF!</v>
      </c>
      <c r="CF315" s="60"/>
      <c r="CG315" s="61">
        <v>0.0</v>
      </c>
      <c r="CH315" s="62">
        <v>0.0</v>
      </c>
      <c r="CI315" s="63">
        <v>2.0</v>
      </c>
      <c r="CJ315" s="63">
        <v>3812.0</v>
      </c>
      <c r="CK315" s="64">
        <v>0.0</v>
      </c>
      <c r="CL315" s="63">
        <v>3812.0</v>
      </c>
      <c r="CM315" s="65">
        <v>54.0</v>
      </c>
      <c r="CN315" s="63">
        <v>0.0</v>
      </c>
      <c r="CO315" s="66">
        <v>26.8</v>
      </c>
      <c r="CP315" s="67">
        <v>0.0</v>
      </c>
      <c r="CQ315" s="63">
        <v>2.0</v>
      </c>
      <c r="CR315" s="63">
        <v>2.0</v>
      </c>
      <c r="CS315" s="63">
        <v>17.0</v>
      </c>
      <c r="CT315" s="68"/>
      <c r="CU315" s="69"/>
      <c r="CV315" s="70"/>
      <c r="CW315" s="71">
        <v>10.0</v>
      </c>
      <c r="CX315" s="71" t="s">
        <v>138</v>
      </c>
      <c r="CY315" s="71" t="s">
        <v>139</v>
      </c>
      <c r="CZ315" s="45"/>
      <c r="DA315" s="44">
        <v>2700.0</v>
      </c>
      <c r="DB315" s="44">
        <v>0.0</v>
      </c>
      <c r="DC315" s="46" t="s">
        <v>127</v>
      </c>
      <c r="DD315" s="47">
        <v>46240.0</v>
      </c>
      <c r="DE315" s="43"/>
      <c r="DF315" s="43"/>
      <c r="DG315" s="48" t="s">
        <v>128</v>
      </c>
      <c r="DH315" s="48" t="s">
        <v>128</v>
      </c>
      <c r="DI315" s="48" t="s">
        <v>129</v>
      </c>
      <c r="DJ315" s="49">
        <v>1.0</v>
      </c>
      <c r="DK315" s="48" t="b">
        <v>0</v>
      </c>
      <c r="DL315" s="50" t="s">
        <v>832</v>
      </c>
      <c r="DM315" s="50" t="s">
        <v>128</v>
      </c>
      <c r="DN315" s="50" t="s">
        <v>833</v>
      </c>
      <c r="DO315" s="49">
        <v>0.93</v>
      </c>
      <c r="DP315" s="48" t="s">
        <v>128</v>
      </c>
      <c r="DQ315" s="48" t="s">
        <v>133</v>
      </c>
      <c r="DR315" s="51"/>
      <c r="DS315" s="48" t="s">
        <v>134</v>
      </c>
    </row>
    <row r="316">
      <c r="A316" s="23" t="s">
        <v>118</v>
      </c>
      <c r="B316" s="24">
        <v>6.0</v>
      </c>
      <c r="C316" s="23" t="s">
        <v>747</v>
      </c>
      <c r="D316" s="24">
        <v>536832.0</v>
      </c>
      <c r="E316" s="23" t="s">
        <v>158</v>
      </c>
      <c r="F316" s="23" t="s">
        <v>846</v>
      </c>
      <c r="G316" s="23" t="s">
        <v>847</v>
      </c>
      <c r="H316" s="24">
        <v>45060.0</v>
      </c>
      <c r="I316" s="24">
        <v>23.0</v>
      </c>
      <c r="J316" s="24">
        <v>0.0</v>
      </c>
      <c r="K316" s="24">
        <v>0.0</v>
      </c>
      <c r="L316" s="24">
        <v>0.0</v>
      </c>
      <c r="M316" s="24">
        <v>1.0</v>
      </c>
      <c r="N316" s="24">
        <v>1.0</v>
      </c>
      <c r="O316" s="24">
        <v>0.0</v>
      </c>
      <c r="P316" s="24">
        <v>0.0</v>
      </c>
      <c r="Q316" s="24">
        <v>0.0</v>
      </c>
      <c r="R316" s="24">
        <v>0.0</v>
      </c>
      <c r="S316" s="24">
        <v>2.0</v>
      </c>
      <c r="T316" s="24">
        <v>0.0</v>
      </c>
      <c r="U316" s="24">
        <v>1.0</v>
      </c>
      <c r="V316" s="24">
        <v>4.0</v>
      </c>
      <c r="W316" s="24">
        <v>0.0</v>
      </c>
      <c r="X316" s="24">
        <v>2.0</v>
      </c>
      <c r="Y316" s="24">
        <v>1.0</v>
      </c>
      <c r="Z316" s="24">
        <v>0.0</v>
      </c>
      <c r="AA316" s="24">
        <v>2.0</v>
      </c>
      <c r="AB316" s="24">
        <v>0.0</v>
      </c>
      <c r="AC316" s="24">
        <v>0.0</v>
      </c>
      <c r="AD316" s="24">
        <v>2.0</v>
      </c>
      <c r="AE316" s="24">
        <v>1.0</v>
      </c>
      <c r="AF316" s="24">
        <v>0.0</v>
      </c>
      <c r="AG316" s="24">
        <v>0.0</v>
      </c>
      <c r="AH316" s="24">
        <v>1.0</v>
      </c>
      <c r="AI316" s="24">
        <v>0.0</v>
      </c>
      <c r="AJ316" s="24">
        <v>0.0</v>
      </c>
      <c r="AK316" s="24">
        <v>0.0</v>
      </c>
      <c r="AL316" s="24">
        <v>0.0</v>
      </c>
      <c r="AM316" s="24">
        <v>1.0</v>
      </c>
      <c r="AN316" s="24">
        <v>4.0</v>
      </c>
      <c r="AO316" s="25">
        <v>20.3</v>
      </c>
      <c r="AP316" s="26"/>
      <c r="AQ316" s="26"/>
      <c r="AR316" s="26"/>
      <c r="AS316" s="24">
        <v>16.98</v>
      </c>
      <c r="AT316" s="24">
        <v>11.83</v>
      </c>
      <c r="AU316" s="26"/>
      <c r="AV316" s="26"/>
      <c r="AW316" s="26"/>
      <c r="AX316" s="26"/>
      <c r="AY316" s="24">
        <v>30.65</v>
      </c>
      <c r="AZ316" s="26"/>
      <c r="BA316" s="24">
        <v>15.33</v>
      </c>
      <c r="BB316" s="24">
        <v>17.5</v>
      </c>
      <c r="BC316" s="26"/>
      <c r="BD316" s="24">
        <v>20.72</v>
      </c>
      <c r="BE316" s="24">
        <v>28.77</v>
      </c>
      <c r="BF316" s="26"/>
      <c r="BG316" s="24">
        <v>19.79</v>
      </c>
      <c r="BH316" s="26"/>
      <c r="BI316" s="26"/>
      <c r="BJ316" s="24">
        <v>18.34</v>
      </c>
      <c r="BK316" s="24">
        <v>19.72</v>
      </c>
      <c r="BL316" s="26"/>
      <c r="BM316" s="26"/>
      <c r="BN316" s="24">
        <v>27.35</v>
      </c>
      <c r="BO316" s="24">
        <v>0.33</v>
      </c>
      <c r="BP316" s="24">
        <v>1.28</v>
      </c>
      <c r="BQ316" s="24">
        <v>4.46</v>
      </c>
      <c r="BR316" s="24">
        <v>5.53</v>
      </c>
      <c r="BS316" s="25">
        <v>7.7</v>
      </c>
      <c r="BT316" s="56">
        <v>20.4</v>
      </c>
      <c r="BU316" s="25">
        <v>9.5</v>
      </c>
      <c r="BV316" s="57">
        <v>5.2</v>
      </c>
      <c r="BW316" s="26"/>
      <c r="BX316" s="24">
        <v>3000.0</v>
      </c>
      <c r="BY316" s="24" t="s">
        <v>123</v>
      </c>
      <c r="BZ316" s="28">
        <v>2700.0</v>
      </c>
      <c r="CA316" s="29" t="s">
        <v>124</v>
      </c>
      <c r="CB316" s="30">
        <v>3000.0</v>
      </c>
      <c r="CC316" s="31"/>
      <c r="CD316" s="28">
        <v>3000.0</v>
      </c>
      <c r="CE316" s="32" t="e">
        <v>#REF!</v>
      </c>
      <c r="CF316" s="33"/>
      <c r="CG316" s="34">
        <v>0.0</v>
      </c>
      <c r="CH316" s="35">
        <v>0.0</v>
      </c>
      <c r="CI316" s="36">
        <v>23.0</v>
      </c>
      <c r="CJ316" s="36">
        <v>3812.0</v>
      </c>
      <c r="CK316" s="37">
        <v>0.0</v>
      </c>
      <c r="CL316" s="36">
        <v>3812.0</v>
      </c>
      <c r="CM316" s="38">
        <v>467.0</v>
      </c>
      <c r="CN316" s="36">
        <v>0.0</v>
      </c>
      <c r="CO316" s="39">
        <v>20.3</v>
      </c>
      <c r="CP316" s="40">
        <v>0.0</v>
      </c>
      <c r="CQ316" s="36">
        <v>29.0</v>
      </c>
      <c r="CR316" s="36">
        <v>29.0</v>
      </c>
      <c r="CS316" s="36">
        <v>177.0</v>
      </c>
      <c r="CT316" s="41"/>
      <c r="CU316" s="42"/>
      <c r="CV316" s="43"/>
      <c r="CW316" s="44">
        <v>10.0</v>
      </c>
      <c r="CX316" s="44" t="s">
        <v>138</v>
      </c>
      <c r="CY316" s="44" t="s">
        <v>139</v>
      </c>
      <c r="CZ316" s="45"/>
      <c r="DA316" s="44">
        <v>2700.0</v>
      </c>
      <c r="DB316" s="44">
        <v>0.0</v>
      </c>
      <c r="DC316" s="46" t="s">
        <v>127</v>
      </c>
      <c r="DD316" s="47">
        <v>46213.0</v>
      </c>
      <c r="DE316" s="43"/>
      <c r="DF316" s="43"/>
      <c r="DG316" s="48" t="s">
        <v>128</v>
      </c>
      <c r="DH316" s="48" t="s">
        <v>128</v>
      </c>
      <c r="DI316" s="48" t="s">
        <v>128</v>
      </c>
      <c r="DJ316" s="49">
        <v>1.0</v>
      </c>
      <c r="DK316" s="48" t="b">
        <v>0</v>
      </c>
      <c r="DL316" s="50" t="s">
        <v>832</v>
      </c>
      <c r="DM316" s="50" t="s">
        <v>128</v>
      </c>
      <c r="DN316" s="50" t="s">
        <v>833</v>
      </c>
      <c r="DO316" s="49">
        <v>0.93</v>
      </c>
      <c r="DP316" s="48" t="s">
        <v>128</v>
      </c>
      <c r="DQ316" s="48" t="s">
        <v>128</v>
      </c>
      <c r="DR316" s="51"/>
      <c r="DS316" s="48" t="s">
        <v>134</v>
      </c>
    </row>
    <row r="317">
      <c r="A317" s="52" t="s">
        <v>118</v>
      </c>
      <c r="B317" s="53">
        <v>6.0</v>
      </c>
      <c r="C317" s="52" t="s">
        <v>747</v>
      </c>
      <c r="D317" s="53">
        <v>680607.0</v>
      </c>
      <c r="E317" s="52" t="s">
        <v>246</v>
      </c>
      <c r="F317" s="52" t="s">
        <v>848</v>
      </c>
      <c r="G317" s="52" t="s">
        <v>849</v>
      </c>
      <c r="H317" s="53">
        <v>45060.0</v>
      </c>
      <c r="I317" s="53">
        <v>4.0</v>
      </c>
      <c r="J317" s="53">
        <v>0.0</v>
      </c>
      <c r="K317" s="53">
        <v>0.0</v>
      </c>
      <c r="L317" s="53">
        <v>0.0</v>
      </c>
      <c r="M317" s="53">
        <v>0.0</v>
      </c>
      <c r="N317" s="53">
        <v>2.0</v>
      </c>
      <c r="O317" s="53">
        <v>0.0</v>
      </c>
      <c r="P317" s="53">
        <v>0.0</v>
      </c>
      <c r="Q317" s="53">
        <v>0.0</v>
      </c>
      <c r="R317" s="53">
        <v>0.0</v>
      </c>
      <c r="S317" s="53">
        <v>0.0</v>
      </c>
      <c r="T317" s="53">
        <v>0.0</v>
      </c>
      <c r="U317" s="53">
        <v>0.0</v>
      </c>
      <c r="V317" s="53">
        <v>0.0</v>
      </c>
      <c r="W317" s="53">
        <v>0.0</v>
      </c>
      <c r="X317" s="53">
        <v>0.0</v>
      </c>
      <c r="Y317" s="53">
        <v>0.0</v>
      </c>
      <c r="Z317" s="53">
        <v>0.0</v>
      </c>
      <c r="AA317" s="53">
        <v>1.0</v>
      </c>
      <c r="AB317" s="53">
        <v>0.0</v>
      </c>
      <c r="AC317" s="53">
        <v>0.0</v>
      </c>
      <c r="AD317" s="53">
        <v>0.0</v>
      </c>
      <c r="AE317" s="53">
        <v>0.0</v>
      </c>
      <c r="AF317" s="53">
        <v>0.0</v>
      </c>
      <c r="AG317" s="53">
        <v>0.0</v>
      </c>
      <c r="AH317" s="53">
        <v>1.0</v>
      </c>
      <c r="AI317" s="53">
        <v>0.0</v>
      </c>
      <c r="AJ317" s="53">
        <v>0.0</v>
      </c>
      <c r="AK317" s="53">
        <v>0.0</v>
      </c>
      <c r="AL317" s="53">
        <v>0.0</v>
      </c>
      <c r="AM317" s="53">
        <v>0.0</v>
      </c>
      <c r="AN317" s="53">
        <v>0.0</v>
      </c>
      <c r="AO317" s="25">
        <v>18.9</v>
      </c>
      <c r="AP317" s="54"/>
      <c r="AQ317" s="54"/>
      <c r="AR317" s="54"/>
      <c r="AS317" s="54"/>
      <c r="AT317" s="53">
        <v>0.0</v>
      </c>
      <c r="AU317" s="54"/>
      <c r="AV317" s="54"/>
      <c r="AW317" s="54"/>
      <c r="AX317" s="54"/>
      <c r="AY317" s="54"/>
      <c r="AZ317" s="54"/>
      <c r="BA317" s="54"/>
      <c r="BB317" s="54"/>
      <c r="BC317" s="54"/>
      <c r="BD317" s="54"/>
      <c r="BE317" s="54"/>
      <c r="BF317" s="54"/>
      <c r="BG317" s="53">
        <v>20.27</v>
      </c>
      <c r="BH317" s="54"/>
      <c r="BI317" s="54"/>
      <c r="BJ317" s="54"/>
      <c r="BK317" s="54"/>
      <c r="BL317" s="54"/>
      <c r="BM317" s="54"/>
      <c r="BN317" s="53">
        <v>16.73</v>
      </c>
      <c r="BO317" s="54"/>
      <c r="BP317" s="53">
        <v>1.89</v>
      </c>
      <c r="BQ317" s="53">
        <v>4.32</v>
      </c>
      <c r="BR317" s="53">
        <v>6.01</v>
      </c>
      <c r="BS317" s="25">
        <v>7.55</v>
      </c>
      <c r="BT317" s="56">
        <v>18.5</v>
      </c>
      <c r="BU317" s="25">
        <v>7.7</v>
      </c>
      <c r="BV317" s="57">
        <v>5.72</v>
      </c>
      <c r="BW317" s="54"/>
      <c r="BX317" s="53">
        <v>3000.0</v>
      </c>
      <c r="BY317" s="53" t="s">
        <v>123</v>
      </c>
      <c r="BZ317" s="58">
        <v>2700.0</v>
      </c>
      <c r="CA317" s="29" t="s">
        <v>124</v>
      </c>
      <c r="CB317" s="30">
        <v>3000.0</v>
      </c>
      <c r="CC317" s="31"/>
      <c r="CD317" s="58">
        <v>3000.0</v>
      </c>
      <c r="CE317" s="59" t="e">
        <v>#REF!</v>
      </c>
      <c r="CF317" s="60"/>
      <c r="CG317" s="61">
        <v>0.0</v>
      </c>
      <c r="CH317" s="62">
        <v>0.0</v>
      </c>
      <c r="CI317" s="63">
        <v>4.0</v>
      </c>
      <c r="CJ317" s="63">
        <v>3812.0</v>
      </c>
      <c r="CK317" s="64">
        <v>0.0</v>
      </c>
      <c r="CL317" s="63">
        <v>3812.0</v>
      </c>
      <c r="CM317" s="65">
        <v>76.0</v>
      </c>
      <c r="CN317" s="63">
        <v>0.0</v>
      </c>
      <c r="CO317" s="66">
        <v>18.9</v>
      </c>
      <c r="CP317" s="67">
        <v>0.0</v>
      </c>
      <c r="CQ317" s="63">
        <v>8.0</v>
      </c>
      <c r="CR317" s="63">
        <v>8.0</v>
      </c>
      <c r="CS317" s="63">
        <v>30.0</v>
      </c>
      <c r="CT317" s="68"/>
      <c r="CU317" s="69"/>
      <c r="CV317" s="70"/>
      <c r="CW317" s="71">
        <v>10.0</v>
      </c>
      <c r="CX317" s="71" t="s">
        <v>138</v>
      </c>
      <c r="CY317" s="71" t="s">
        <v>139</v>
      </c>
      <c r="CZ317" s="45"/>
      <c r="DA317" s="44">
        <v>3000.0</v>
      </c>
      <c r="DB317" s="44">
        <v>0.0</v>
      </c>
      <c r="DC317" s="43"/>
      <c r="DD317" s="78"/>
      <c r="DE317" s="43"/>
      <c r="DF317" s="43"/>
      <c r="DG317" s="48" t="s">
        <v>128</v>
      </c>
      <c r="DH317" s="48" t="s">
        <v>128</v>
      </c>
      <c r="DI317" s="48" t="s">
        <v>128</v>
      </c>
      <c r="DJ317" s="49">
        <v>0.0</v>
      </c>
      <c r="DK317" s="48" t="b">
        <v>0</v>
      </c>
      <c r="DL317" s="50" t="s">
        <v>832</v>
      </c>
      <c r="DM317" s="50" t="s">
        <v>128</v>
      </c>
      <c r="DN317" s="50" t="s">
        <v>833</v>
      </c>
      <c r="DO317" s="49">
        <v>0.93</v>
      </c>
      <c r="DP317" s="48" t="s">
        <v>128</v>
      </c>
      <c r="DQ317" s="48" t="s">
        <v>128</v>
      </c>
      <c r="DR317" s="51"/>
      <c r="DS317" s="48" t="s">
        <v>134</v>
      </c>
    </row>
    <row r="318">
      <c r="A318" s="23" t="s">
        <v>118</v>
      </c>
      <c r="B318" s="24">
        <v>6.0</v>
      </c>
      <c r="C318" s="23" t="s">
        <v>747</v>
      </c>
      <c r="D318" s="24">
        <v>669823.0</v>
      </c>
      <c r="E318" s="23" t="s">
        <v>214</v>
      </c>
      <c r="F318" s="23" t="s">
        <v>850</v>
      </c>
      <c r="G318" s="23" t="s">
        <v>851</v>
      </c>
      <c r="H318" s="24">
        <v>45060.0</v>
      </c>
      <c r="I318" s="24">
        <v>12.0</v>
      </c>
      <c r="J318" s="24">
        <v>0.0</v>
      </c>
      <c r="K318" s="24">
        <v>0.0</v>
      </c>
      <c r="L318" s="24">
        <v>0.0</v>
      </c>
      <c r="M318" s="24">
        <v>0.0</v>
      </c>
      <c r="N318" s="24">
        <v>0.0</v>
      </c>
      <c r="O318" s="24">
        <v>0.0</v>
      </c>
      <c r="P318" s="24">
        <v>0.0</v>
      </c>
      <c r="Q318" s="24">
        <v>0.0</v>
      </c>
      <c r="R318" s="24">
        <v>0.0</v>
      </c>
      <c r="S318" s="24">
        <v>0.0</v>
      </c>
      <c r="T318" s="24">
        <v>1.0</v>
      </c>
      <c r="U318" s="24">
        <v>0.0</v>
      </c>
      <c r="V318" s="24">
        <v>0.0</v>
      </c>
      <c r="W318" s="24">
        <v>0.0</v>
      </c>
      <c r="X318" s="24">
        <v>0.0</v>
      </c>
      <c r="Y318" s="24">
        <v>0.0</v>
      </c>
      <c r="Z318" s="24">
        <v>1.0</v>
      </c>
      <c r="AA318" s="24">
        <v>1.0</v>
      </c>
      <c r="AB318" s="24">
        <v>0.0</v>
      </c>
      <c r="AC318" s="24">
        <v>1.0</v>
      </c>
      <c r="AD318" s="24">
        <v>0.0</v>
      </c>
      <c r="AE318" s="24">
        <v>0.0</v>
      </c>
      <c r="AF318" s="24">
        <v>0.0</v>
      </c>
      <c r="AG318" s="24">
        <v>0.0</v>
      </c>
      <c r="AH318" s="24">
        <v>2.0</v>
      </c>
      <c r="AI318" s="24">
        <v>2.0</v>
      </c>
      <c r="AJ318" s="24">
        <v>2.0</v>
      </c>
      <c r="AK318" s="24">
        <v>1.0</v>
      </c>
      <c r="AL318" s="24">
        <v>1.0</v>
      </c>
      <c r="AM318" s="24">
        <v>0.0</v>
      </c>
      <c r="AN318" s="24">
        <v>0.0</v>
      </c>
      <c r="AO318" s="25">
        <v>18.0</v>
      </c>
      <c r="AP318" s="26"/>
      <c r="AQ318" s="26"/>
      <c r="AR318" s="26"/>
      <c r="AS318" s="26"/>
      <c r="AT318" s="26"/>
      <c r="AU318" s="26"/>
      <c r="AV318" s="26"/>
      <c r="AW318" s="26"/>
      <c r="AX318" s="26"/>
      <c r="AY318" s="26"/>
      <c r="AZ318" s="24">
        <v>11.02</v>
      </c>
      <c r="BA318" s="26"/>
      <c r="BB318" s="26"/>
      <c r="BC318" s="26"/>
      <c r="BD318" s="26"/>
      <c r="BE318" s="26"/>
      <c r="BF318" s="24">
        <v>18.68</v>
      </c>
      <c r="BG318" s="24">
        <v>12.82</v>
      </c>
      <c r="BH318" s="26"/>
      <c r="BI318" s="24">
        <v>15.8</v>
      </c>
      <c r="BJ318" s="26"/>
      <c r="BK318" s="26"/>
      <c r="BL318" s="26"/>
      <c r="BM318" s="26"/>
      <c r="BN318" s="24">
        <v>19.66</v>
      </c>
      <c r="BO318" s="24">
        <v>0.33</v>
      </c>
      <c r="BP318" s="24">
        <v>1.35</v>
      </c>
      <c r="BQ318" s="24">
        <v>2.77</v>
      </c>
      <c r="BR318" s="24">
        <v>3.92</v>
      </c>
      <c r="BS318" s="25">
        <v>7.35</v>
      </c>
      <c r="BT318" s="91">
        <v>15.8</v>
      </c>
      <c r="BU318" s="25">
        <v>4.1</v>
      </c>
      <c r="BV318" s="57">
        <v>5.55</v>
      </c>
      <c r="BW318" s="26"/>
      <c r="BX318" s="24">
        <v>3000.0</v>
      </c>
      <c r="BY318" s="24" t="s">
        <v>123</v>
      </c>
      <c r="BZ318" s="28">
        <v>2700.0</v>
      </c>
      <c r="CA318" s="29" t="s">
        <v>124</v>
      </c>
      <c r="CB318" s="30">
        <v>3000.0</v>
      </c>
      <c r="CC318" s="31"/>
      <c r="CD318" s="28">
        <v>3000.0</v>
      </c>
      <c r="CE318" s="32" t="e">
        <v>#REF!</v>
      </c>
      <c r="CF318" s="33"/>
      <c r="CG318" s="34">
        <v>0.0</v>
      </c>
      <c r="CH318" s="35">
        <v>0.0</v>
      </c>
      <c r="CI318" s="36">
        <v>12.0</v>
      </c>
      <c r="CJ318" s="36">
        <v>3812.0</v>
      </c>
      <c r="CK318" s="37">
        <v>0.0</v>
      </c>
      <c r="CL318" s="36">
        <v>3812.0</v>
      </c>
      <c r="CM318" s="38">
        <v>216.0</v>
      </c>
      <c r="CN318" s="36">
        <v>0.0</v>
      </c>
      <c r="CO318" s="39">
        <v>18.0</v>
      </c>
      <c r="CP318" s="40">
        <v>0.0</v>
      </c>
      <c r="CQ318" s="36">
        <v>16.0</v>
      </c>
      <c r="CR318" s="36">
        <v>16.0</v>
      </c>
      <c r="CS318" s="36">
        <v>88.0</v>
      </c>
      <c r="CT318" s="41"/>
      <c r="CU318" s="42"/>
      <c r="CV318" s="43"/>
      <c r="CW318" s="44">
        <v>10.0</v>
      </c>
      <c r="CX318" s="44" t="s">
        <v>138</v>
      </c>
      <c r="CY318" s="44" t="s">
        <v>139</v>
      </c>
      <c r="CZ318" s="45"/>
      <c r="DA318" s="44">
        <v>3000.0</v>
      </c>
      <c r="DB318" s="44">
        <v>0.0</v>
      </c>
      <c r="DC318" s="46" t="s">
        <v>127</v>
      </c>
      <c r="DD318" s="47">
        <v>46213.0</v>
      </c>
      <c r="DE318" s="43"/>
      <c r="DF318" s="43"/>
      <c r="DG318" s="48" t="s">
        <v>128</v>
      </c>
      <c r="DH318" s="48" t="s">
        <v>128</v>
      </c>
      <c r="DI318" s="48" t="s">
        <v>128</v>
      </c>
      <c r="DJ318" s="49">
        <v>1.0</v>
      </c>
      <c r="DK318" s="48" t="b">
        <v>1</v>
      </c>
      <c r="DL318" s="50" t="s">
        <v>832</v>
      </c>
      <c r="DM318" s="50" t="s">
        <v>128</v>
      </c>
      <c r="DN318" s="50" t="s">
        <v>833</v>
      </c>
      <c r="DO318" s="49">
        <v>0.93</v>
      </c>
      <c r="DP318" s="48" t="s">
        <v>128</v>
      </c>
      <c r="DQ318" s="48" t="s">
        <v>128</v>
      </c>
      <c r="DR318" s="51"/>
      <c r="DS318" s="48" t="s">
        <v>134</v>
      </c>
    </row>
    <row r="319">
      <c r="A319" s="52" t="s">
        <v>118</v>
      </c>
      <c r="B319" s="53">
        <v>6.0</v>
      </c>
      <c r="C319" s="52" t="s">
        <v>747</v>
      </c>
      <c r="D319" s="53">
        <v>588071.0</v>
      </c>
      <c r="E319" s="52" t="s">
        <v>152</v>
      </c>
      <c r="F319" s="52" t="s">
        <v>852</v>
      </c>
      <c r="G319" s="52" t="s">
        <v>853</v>
      </c>
      <c r="H319" s="53">
        <v>45060.0</v>
      </c>
      <c r="I319" s="53">
        <v>10.0</v>
      </c>
      <c r="J319" s="53">
        <v>0.0</v>
      </c>
      <c r="K319" s="53">
        <v>0.0</v>
      </c>
      <c r="L319" s="53">
        <v>0.0</v>
      </c>
      <c r="M319" s="53">
        <v>0.0</v>
      </c>
      <c r="N319" s="53">
        <v>1.0</v>
      </c>
      <c r="O319" s="53">
        <v>1.0</v>
      </c>
      <c r="P319" s="53">
        <v>1.0</v>
      </c>
      <c r="Q319" s="53">
        <v>0.0</v>
      </c>
      <c r="R319" s="53">
        <v>1.0</v>
      </c>
      <c r="S319" s="53">
        <v>0.0</v>
      </c>
      <c r="T319" s="53">
        <v>0.0</v>
      </c>
      <c r="U319" s="53">
        <v>1.0</v>
      </c>
      <c r="V319" s="53">
        <v>0.0</v>
      </c>
      <c r="W319" s="53">
        <v>0.0</v>
      </c>
      <c r="X319" s="53">
        <v>0.0</v>
      </c>
      <c r="Y319" s="53">
        <v>0.0</v>
      </c>
      <c r="Z319" s="53">
        <v>1.0</v>
      </c>
      <c r="AA319" s="53">
        <v>0.0</v>
      </c>
      <c r="AB319" s="53">
        <v>0.0</v>
      </c>
      <c r="AC319" s="53">
        <v>3.0</v>
      </c>
      <c r="AD319" s="53">
        <v>0.0</v>
      </c>
      <c r="AE319" s="53">
        <v>0.0</v>
      </c>
      <c r="AF319" s="53">
        <v>0.0</v>
      </c>
      <c r="AG319" s="53">
        <v>0.0</v>
      </c>
      <c r="AH319" s="53">
        <v>0.0</v>
      </c>
      <c r="AI319" s="53">
        <v>0.0</v>
      </c>
      <c r="AJ319" s="53">
        <v>0.0</v>
      </c>
      <c r="AK319" s="53">
        <v>0.0</v>
      </c>
      <c r="AL319" s="53">
        <v>1.0</v>
      </c>
      <c r="AM319" s="53">
        <v>0.0</v>
      </c>
      <c r="AN319" s="53">
        <v>0.0</v>
      </c>
      <c r="AO319" s="55">
        <v>16.6</v>
      </c>
      <c r="AP319" s="54"/>
      <c r="AQ319" s="54"/>
      <c r="AR319" s="54"/>
      <c r="AS319" s="54"/>
      <c r="AT319" s="53">
        <v>0.0</v>
      </c>
      <c r="AU319" s="53">
        <v>14.08</v>
      </c>
      <c r="AV319" s="53">
        <v>16.93</v>
      </c>
      <c r="AW319" s="54"/>
      <c r="AX319" s="53">
        <v>14.87</v>
      </c>
      <c r="AY319" s="54"/>
      <c r="AZ319" s="54"/>
      <c r="BA319" s="53">
        <v>11.38</v>
      </c>
      <c r="BB319" s="54"/>
      <c r="BC319" s="54"/>
      <c r="BD319" s="54"/>
      <c r="BE319" s="54"/>
      <c r="BF319" s="53">
        <v>12.13</v>
      </c>
      <c r="BG319" s="54"/>
      <c r="BH319" s="54"/>
      <c r="BI319" s="53">
        <v>17.52</v>
      </c>
      <c r="BJ319" s="54"/>
      <c r="BK319" s="54"/>
      <c r="BL319" s="54"/>
      <c r="BM319" s="54"/>
      <c r="BN319" s="54"/>
      <c r="BO319" s="53">
        <v>0.37</v>
      </c>
      <c r="BP319" s="53">
        <v>0.96</v>
      </c>
      <c r="BQ319" s="53">
        <v>3.4</v>
      </c>
      <c r="BR319" s="53">
        <v>4.17</v>
      </c>
      <c r="BS319" s="25">
        <v>7.24</v>
      </c>
      <c r="BT319" s="56">
        <v>17.7</v>
      </c>
      <c r="BU319" s="25">
        <v>8.2</v>
      </c>
      <c r="BV319" s="57">
        <v>4.41</v>
      </c>
      <c r="BW319" s="54"/>
      <c r="BX319" s="53">
        <v>3000.0</v>
      </c>
      <c r="BY319" s="53" t="s">
        <v>123</v>
      </c>
      <c r="BZ319" s="58">
        <v>2700.0</v>
      </c>
      <c r="CA319" s="29" t="s">
        <v>124</v>
      </c>
      <c r="CB319" s="30">
        <v>3000.0</v>
      </c>
      <c r="CC319" s="31"/>
      <c r="CD319" s="58">
        <v>3000.0</v>
      </c>
      <c r="CE319" s="59" t="e">
        <v>#REF!</v>
      </c>
      <c r="CF319" s="60"/>
      <c r="CG319" s="61">
        <v>0.0</v>
      </c>
      <c r="CH319" s="62">
        <v>0.0</v>
      </c>
      <c r="CI319" s="63">
        <v>10.0</v>
      </c>
      <c r="CJ319" s="63">
        <v>3812.0</v>
      </c>
      <c r="CK319" s="64">
        <v>0.0</v>
      </c>
      <c r="CL319" s="63">
        <v>3812.0</v>
      </c>
      <c r="CM319" s="65">
        <v>166.0</v>
      </c>
      <c r="CN319" s="63">
        <v>0.0</v>
      </c>
      <c r="CO319" s="66">
        <v>16.6</v>
      </c>
      <c r="CP319" s="67">
        <v>0.0</v>
      </c>
      <c r="CQ319" s="63">
        <v>10.0</v>
      </c>
      <c r="CR319" s="63">
        <v>10.0</v>
      </c>
      <c r="CS319" s="63">
        <v>72.0</v>
      </c>
      <c r="CT319" s="68"/>
      <c r="CU319" s="69"/>
      <c r="CV319" s="70"/>
      <c r="CW319" s="71">
        <v>10.0</v>
      </c>
      <c r="CX319" s="71" t="s">
        <v>138</v>
      </c>
      <c r="CY319" s="71" t="s">
        <v>139</v>
      </c>
      <c r="CZ319" s="45"/>
      <c r="DA319" s="44">
        <v>3000.0</v>
      </c>
      <c r="DB319" s="44">
        <v>0.0</v>
      </c>
      <c r="DC319" s="46" t="s">
        <v>127</v>
      </c>
      <c r="DD319" s="47">
        <v>46233.0</v>
      </c>
      <c r="DE319" s="43"/>
      <c r="DF319" s="43"/>
      <c r="DG319" s="48" t="s">
        <v>128</v>
      </c>
      <c r="DH319" s="48" t="s">
        <v>128</v>
      </c>
      <c r="DI319" s="48" t="s">
        <v>128</v>
      </c>
      <c r="DJ319" s="49">
        <v>1.0</v>
      </c>
      <c r="DK319" s="48" t="b">
        <v>0</v>
      </c>
      <c r="DL319" s="50" t="s">
        <v>832</v>
      </c>
      <c r="DM319" s="50" t="s">
        <v>128</v>
      </c>
      <c r="DN319" s="50" t="s">
        <v>833</v>
      </c>
      <c r="DO319" s="49">
        <v>0.93</v>
      </c>
      <c r="DP319" s="48" t="s">
        <v>128</v>
      </c>
      <c r="DQ319" s="48" t="s">
        <v>128</v>
      </c>
      <c r="DR319" s="51"/>
      <c r="DS319" s="48" t="s">
        <v>134</v>
      </c>
    </row>
    <row r="320">
      <c r="A320" s="23" t="s">
        <v>118</v>
      </c>
      <c r="B320" s="24">
        <v>6.0</v>
      </c>
      <c r="C320" s="23" t="s">
        <v>747</v>
      </c>
      <c r="D320" s="24">
        <v>642178.0</v>
      </c>
      <c r="E320" s="23" t="s">
        <v>205</v>
      </c>
      <c r="F320" s="23" t="s">
        <v>854</v>
      </c>
      <c r="G320" s="23" t="s">
        <v>855</v>
      </c>
      <c r="H320" s="24">
        <v>45060.0</v>
      </c>
      <c r="I320" s="24">
        <v>26.0</v>
      </c>
      <c r="J320" s="24">
        <v>0.0</v>
      </c>
      <c r="K320" s="24">
        <v>0.0</v>
      </c>
      <c r="L320" s="24">
        <v>0.0</v>
      </c>
      <c r="M320" s="24">
        <v>1.0</v>
      </c>
      <c r="N320" s="24">
        <v>2.0</v>
      </c>
      <c r="O320" s="24">
        <v>0.0</v>
      </c>
      <c r="P320" s="24">
        <v>0.0</v>
      </c>
      <c r="Q320" s="24">
        <v>0.0</v>
      </c>
      <c r="R320" s="24">
        <v>0.0</v>
      </c>
      <c r="S320" s="24">
        <v>1.0</v>
      </c>
      <c r="T320" s="24">
        <v>1.0</v>
      </c>
      <c r="U320" s="24">
        <v>1.0</v>
      </c>
      <c r="V320" s="24">
        <v>0.0</v>
      </c>
      <c r="W320" s="24">
        <v>2.0</v>
      </c>
      <c r="X320" s="24">
        <v>3.0</v>
      </c>
      <c r="Y320" s="24">
        <v>0.0</v>
      </c>
      <c r="Z320" s="24">
        <v>0.0</v>
      </c>
      <c r="AA320" s="24">
        <v>0.0</v>
      </c>
      <c r="AB320" s="24">
        <v>0.0</v>
      </c>
      <c r="AC320" s="24">
        <v>0.0</v>
      </c>
      <c r="AD320" s="24">
        <v>3.0</v>
      </c>
      <c r="AE320" s="24">
        <v>2.0</v>
      </c>
      <c r="AF320" s="24">
        <v>3.0</v>
      </c>
      <c r="AG320" s="24">
        <v>1.0</v>
      </c>
      <c r="AH320" s="24">
        <v>2.0</v>
      </c>
      <c r="AI320" s="24">
        <v>0.0</v>
      </c>
      <c r="AJ320" s="24">
        <v>2.0</v>
      </c>
      <c r="AK320" s="24">
        <v>0.0</v>
      </c>
      <c r="AL320" s="24">
        <v>0.0</v>
      </c>
      <c r="AM320" s="24">
        <v>1.0</v>
      </c>
      <c r="AN320" s="24">
        <v>1.0</v>
      </c>
      <c r="AO320" s="25">
        <v>17.5</v>
      </c>
      <c r="AP320" s="26"/>
      <c r="AQ320" s="26"/>
      <c r="AR320" s="26"/>
      <c r="AS320" s="24">
        <v>14.92</v>
      </c>
      <c r="AT320" s="24">
        <v>22.37</v>
      </c>
      <c r="AU320" s="26"/>
      <c r="AV320" s="26"/>
      <c r="AW320" s="26"/>
      <c r="AX320" s="26"/>
      <c r="AY320" s="24">
        <v>15.83</v>
      </c>
      <c r="AZ320" s="24">
        <v>12.63</v>
      </c>
      <c r="BA320" s="24">
        <v>14.38</v>
      </c>
      <c r="BB320" s="26"/>
      <c r="BC320" s="24">
        <v>18.74</v>
      </c>
      <c r="BD320" s="24">
        <v>15.6</v>
      </c>
      <c r="BE320" s="26"/>
      <c r="BF320" s="26"/>
      <c r="BG320" s="26"/>
      <c r="BH320" s="26"/>
      <c r="BI320" s="26"/>
      <c r="BJ320" s="24">
        <v>21.37</v>
      </c>
      <c r="BK320" s="24">
        <v>19.26</v>
      </c>
      <c r="BL320" s="24">
        <v>17.39</v>
      </c>
      <c r="BM320" s="24">
        <v>11.73</v>
      </c>
      <c r="BN320" s="24">
        <v>20.49</v>
      </c>
      <c r="BO320" s="24">
        <v>0.34</v>
      </c>
      <c r="BP320" s="24">
        <v>1.08</v>
      </c>
      <c r="BQ320" s="24">
        <v>4.64</v>
      </c>
      <c r="BR320" s="24">
        <v>5.53</v>
      </c>
      <c r="BS320" s="25">
        <v>5.43</v>
      </c>
      <c r="BT320" s="56">
        <v>17.1</v>
      </c>
      <c r="BU320" s="25">
        <v>5.0</v>
      </c>
      <c r="BV320" s="57">
        <v>5.63</v>
      </c>
      <c r="BW320" s="24">
        <v>2000.0</v>
      </c>
      <c r="BX320" s="24">
        <v>3000.0</v>
      </c>
      <c r="BY320" s="24" t="s">
        <v>123</v>
      </c>
      <c r="BZ320" s="28">
        <v>3000.0</v>
      </c>
      <c r="CA320" s="72"/>
      <c r="CB320" s="30">
        <v>3000.0</v>
      </c>
      <c r="CC320" s="31"/>
      <c r="CD320" s="28">
        <v>3000.0</v>
      </c>
      <c r="CE320" s="32" t="e">
        <v>#REF!</v>
      </c>
      <c r="CF320" s="33"/>
      <c r="CG320" s="34">
        <v>0.0</v>
      </c>
      <c r="CH320" s="35">
        <v>0.0</v>
      </c>
      <c r="CI320" s="36">
        <v>26.0</v>
      </c>
      <c r="CJ320" s="36">
        <v>3812.0</v>
      </c>
      <c r="CK320" s="37">
        <v>0.0</v>
      </c>
      <c r="CL320" s="36">
        <v>3812.0</v>
      </c>
      <c r="CM320" s="38">
        <v>455.0</v>
      </c>
      <c r="CN320" s="36">
        <v>0.0</v>
      </c>
      <c r="CO320" s="39">
        <v>17.5</v>
      </c>
      <c r="CP320" s="40">
        <v>0.0</v>
      </c>
      <c r="CQ320" s="36">
        <v>28.0</v>
      </c>
      <c r="CR320" s="36">
        <v>28.0</v>
      </c>
      <c r="CS320" s="36">
        <v>141.0</v>
      </c>
      <c r="CT320" s="41"/>
      <c r="CU320" s="42"/>
      <c r="CV320" s="43"/>
      <c r="CW320" s="44">
        <v>10.0</v>
      </c>
      <c r="CX320" s="44" t="s">
        <v>138</v>
      </c>
      <c r="CY320" s="44" t="s">
        <v>139</v>
      </c>
      <c r="CZ320" s="45"/>
      <c r="DA320" s="44">
        <v>3000.0</v>
      </c>
      <c r="DB320" s="44">
        <v>0.0</v>
      </c>
      <c r="DC320" s="46" t="s">
        <v>127</v>
      </c>
      <c r="DD320" s="47">
        <v>46233.0</v>
      </c>
      <c r="DE320" s="43"/>
      <c r="DF320" s="43"/>
      <c r="DG320" s="48" t="s">
        <v>128</v>
      </c>
      <c r="DH320" s="48" t="s">
        <v>128</v>
      </c>
      <c r="DI320" s="48" t="s">
        <v>128</v>
      </c>
      <c r="DJ320" s="49">
        <v>1.0</v>
      </c>
      <c r="DK320" s="48" t="b">
        <v>0</v>
      </c>
      <c r="DL320" s="50" t="s">
        <v>832</v>
      </c>
      <c r="DM320" s="50" t="s">
        <v>128</v>
      </c>
      <c r="DN320" s="50" t="s">
        <v>833</v>
      </c>
      <c r="DO320" s="49">
        <v>0.93</v>
      </c>
      <c r="DP320" s="48" t="s">
        <v>128</v>
      </c>
      <c r="DQ320" s="48" t="s">
        <v>128</v>
      </c>
      <c r="DR320" s="51"/>
      <c r="DS320" s="48" t="s">
        <v>134</v>
      </c>
    </row>
    <row r="321">
      <c r="A321" s="52" t="s">
        <v>118</v>
      </c>
      <c r="B321" s="53">
        <v>6.0</v>
      </c>
      <c r="C321" s="52" t="s">
        <v>747</v>
      </c>
      <c r="D321" s="53">
        <v>680909.0</v>
      </c>
      <c r="E321" s="52" t="s">
        <v>288</v>
      </c>
      <c r="F321" s="52" t="s">
        <v>856</v>
      </c>
      <c r="G321" s="52" t="s">
        <v>857</v>
      </c>
      <c r="H321" s="53">
        <v>45060.0</v>
      </c>
      <c r="I321" s="53">
        <v>2.0</v>
      </c>
      <c r="J321" s="53">
        <v>0.0</v>
      </c>
      <c r="K321" s="53">
        <v>0.0</v>
      </c>
      <c r="L321" s="53">
        <v>0.0</v>
      </c>
      <c r="M321" s="53">
        <v>0.0</v>
      </c>
      <c r="N321" s="53">
        <v>0.0</v>
      </c>
      <c r="O321" s="53">
        <v>0.0</v>
      </c>
      <c r="P321" s="53">
        <v>0.0</v>
      </c>
      <c r="Q321" s="53">
        <v>0.0</v>
      </c>
      <c r="R321" s="53">
        <v>0.0</v>
      </c>
      <c r="S321" s="53">
        <v>0.0</v>
      </c>
      <c r="T321" s="53">
        <v>0.0</v>
      </c>
      <c r="U321" s="53">
        <v>0.0</v>
      </c>
      <c r="V321" s="53">
        <v>0.0</v>
      </c>
      <c r="W321" s="53">
        <v>0.0</v>
      </c>
      <c r="X321" s="53">
        <v>0.0</v>
      </c>
      <c r="Y321" s="53">
        <v>0.0</v>
      </c>
      <c r="Z321" s="53">
        <v>0.0</v>
      </c>
      <c r="AA321" s="53">
        <v>0.0</v>
      </c>
      <c r="AB321" s="53">
        <v>0.0</v>
      </c>
      <c r="AC321" s="53">
        <v>0.0</v>
      </c>
      <c r="AD321" s="53">
        <v>0.0</v>
      </c>
      <c r="AE321" s="53">
        <v>0.0</v>
      </c>
      <c r="AF321" s="53">
        <v>0.0</v>
      </c>
      <c r="AG321" s="53">
        <v>0.0</v>
      </c>
      <c r="AH321" s="53">
        <v>0.0</v>
      </c>
      <c r="AI321" s="53">
        <v>0.0</v>
      </c>
      <c r="AJ321" s="53">
        <v>1.0</v>
      </c>
      <c r="AK321" s="53">
        <v>1.0</v>
      </c>
      <c r="AL321" s="53">
        <v>0.0</v>
      </c>
      <c r="AM321" s="53">
        <v>0.0</v>
      </c>
      <c r="AN321" s="53">
        <v>0.0</v>
      </c>
      <c r="AO321" s="25">
        <v>19.0</v>
      </c>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3">
        <v>0.32</v>
      </c>
      <c r="BP321" s="53">
        <v>0.99</v>
      </c>
      <c r="BQ321" s="53">
        <v>4.85</v>
      </c>
      <c r="BR321" s="53">
        <v>5.64</v>
      </c>
      <c r="BS321" s="25">
        <v>5.08</v>
      </c>
      <c r="BT321" s="56">
        <v>25.2</v>
      </c>
      <c r="BU321" s="25">
        <v>9.2</v>
      </c>
      <c r="BV321" s="25">
        <v>7.98</v>
      </c>
      <c r="BW321" s="54"/>
      <c r="BX321" s="53">
        <v>3000.0</v>
      </c>
      <c r="BY321" s="53" t="s">
        <v>123</v>
      </c>
      <c r="BZ321" s="58">
        <v>2700.0</v>
      </c>
      <c r="CA321" s="29" t="s">
        <v>124</v>
      </c>
      <c r="CB321" s="30">
        <v>3000.0</v>
      </c>
      <c r="CC321" s="31"/>
      <c r="CD321" s="58">
        <v>3000.0</v>
      </c>
      <c r="CE321" s="59" t="e">
        <v>#REF!</v>
      </c>
      <c r="CF321" s="60"/>
      <c r="CG321" s="61">
        <v>0.0</v>
      </c>
      <c r="CH321" s="62">
        <v>0.0</v>
      </c>
      <c r="CI321" s="63">
        <v>2.0</v>
      </c>
      <c r="CJ321" s="63">
        <v>3812.0</v>
      </c>
      <c r="CK321" s="64">
        <v>0.0</v>
      </c>
      <c r="CL321" s="63">
        <v>3812.0</v>
      </c>
      <c r="CM321" s="65">
        <v>38.0</v>
      </c>
      <c r="CN321" s="63">
        <v>0.0</v>
      </c>
      <c r="CO321" s="66">
        <v>19.0</v>
      </c>
      <c r="CP321" s="67">
        <v>0.0</v>
      </c>
      <c r="CQ321" s="63">
        <v>2.0</v>
      </c>
      <c r="CR321" s="63">
        <v>2.0</v>
      </c>
      <c r="CS321" s="63">
        <v>10.0</v>
      </c>
      <c r="CT321" s="68"/>
      <c r="CU321" s="69"/>
      <c r="CV321" s="70"/>
      <c r="CW321" s="71">
        <v>10.0</v>
      </c>
      <c r="CX321" s="71" t="s">
        <v>138</v>
      </c>
      <c r="CY321" s="71" t="s">
        <v>139</v>
      </c>
      <c r="CZ321" s="45"/>
      <c r="DA321" s="44">
        <v>3000.0</v>
      </c>
      <c r="DB321" s="44">
        <v>0.0</v>
      </c>
      <c r="DC321" s="43"/>
      <c r="DD321" s="78"/>
      <c r="DE321" s="43"/>
      <c r="DF321" s="43"/>
      <c r="DG321" s="48" t="s">
        <v>128</v>
      </c>
      <c r="DH321" s="48" t="s">
        <v>128</v>
      </c>
      <c r="DI321" s="48" t="s">
        <v>128</v>
      </c>
      <c r="DJ321" s="49">
        <v>1.0</v>
      </c>
      <c r="DK321" s="48" t="b">
        <v>0</v>
      </c>
      <c r="DL321" s="50" t="s">
        <v>832</v>
      </c>
      <c r="DM321" s="50" t="s">
        <v>128</v>
      </c>
      <c r="DN321" s="50" t="s">
        <v>833</v>
      </c>
      <c r="DO321" s="49">
        <v>0.93</v>
      </c>
      <c r="DP321" s="48" t="s">
        <v>128</v>
      </c>
      <c r="DQ321" s="48" t="s">
        <v>128</v>
      </c>
      <c r="DR321" s="51"/>
      <c r="DS321" s="48" t="s">
        <v>134</v>
      </c>
    </row>
    <row r="322">
      <c r="A322" s="23" t="s">
        <v>118</v>
      </c>
      <c r="B322" s="24">
        <v>6.0</v>
      </c>
      <c r="C322" s="23" t="s">
        <v>747</v>
      </c>
      <c r="D322" s="24">
        <v>627274.0</v>
      </c>
      <c r="E322" s="23" t="s">
        <v>173</v>
      </c>
      <c r="F322" s="23" t="s">
        <v>858</v>
      </c>
      <c r="G322" s="23" t="s">
        <v>859</v>
      </c>
      <c r="H322" s="24">
        <v>45060.0</v>
      </c>
      <c r="I322" s="24">
        <v>10.0</v>
      </c>
      <c r="J322" s="24">
        <v>0.0</v>
      </c>
      <c r="K322" s="24">
        <v>0.0</v>
      </c>
      <c r="L322" s="24">
        <v>0.0</v>
      </c>
      <c r="M322" s="24">
        <v>0.0</v>
      </c>
      <c r="N322" s="24">
        <v>0.0</v>
      </c>
      <c r="O322" s="24">
        <v>0.0</v>
      </c>
      <c r="P322" s="24">
        <v>1.0</v>
      </c>
      <c r="Q322" s="24">
        <v>0.0</v>
      </c>
      <c r="R322" s="24">
        <v>0.0</v>
      </c>
      <c r="S322" s="24">
        <v>0.0</v>
      </c>
      <c r="T322" s="24">
        <v>0.0</v>
      </c>
      <c r="U322" s="24">
        <v>0.0</v>
      </c>
      <c r="V322" s="24">
        <v>1.0</v>
      </c>
      <c r="W322" s="24">
        <v>0.0</v>
      </c>
      <c r="X322" s="24">
        <v>1.0</v>
      </c>
      <c r="Y322" s="24">
        <v>1.0</v>
      </c>
      <c r="Z322" s="24">
        <v>0.0</v>
      </c>
      <c r="AA322" s="24">
        <v>0.0</v>
      </c>
      <c r="AB322" s="24">
        <v>0.0</v>
      </c>
      <c r="AC322" s="24">
        <v>0.0</v>
      </c>
      <c r="AD322" s="24">
        <v>0.0</v>
      </c>
      <c r="AE322" s="24">
        <v>1.0</v>
      </c>
      <c r="AF322" s="24">
        <v>1.0</v>
      </c>
      <c r="AG322" s="24">
        <v>1.0</v>
      </c>
      <c r="AH322" s="24">
        <v>2.0</v>
      </c>
      <c r="AI322" s="24">
        <v>0.0</v>
      </c>
      <c r="AJ322" s="24">
        <v>0.0</v>
      </c>
      <c r="AK322" s="24">
        <v>1.0</v>
      </c>
      <c r="AL322" s="24">
        <v>0.0</v>
      </c>
      <c r="AM322" s="24">
        <v>0.0</v>
      </c>
      <c r="AN322" s="24">
        <v>0.0</v>
      </c>
      <c r="AO322" s="25">
        <v>17.1</v>
      </c>
      <c r="AP322" s="26"/>
      <c r="AQ322" s="26"/>
      <c r="AR322" s="26"/>
      <c r="AS322" s="26"/>
      <c r="AT322" s="26"/>
      <c r="AU322" s="26"/>
      <c r="AV322" s="24">
        <v>8.35</v>
      </c>
      <c r="AW322" s="26"/>
      <c r="AX322" s="26"/>
      <c r="AY322" s="26"/>
      <c r="AZ322" s="26"/>
      <c r="BA322" s="26"/>
      <c r="BB322" s="24">
        <v>25.62</v>
      </c>
      <c r="BC322" s="26"/>
      <c r="BD322" s="24">
        <v>11.47</v>
      </c>
      <c r="BE322" s="24">
        <v>18.48</v>
      </c>
      <c r="BF322" s="26"/>
      <c r="BG322" s="26"/>
      <c r="BH322" s="26"/>
      <c r="BI322" s="26"/>
      <c r="BJ322" s="26"/>
      <c r="BK322" s="24">
        <v>18.12</v>
      </c>
      <c r="BL322" s="24">
        <v>11.25</v>
      </c>
      <c r="BM322" s="24">
        <v>15.8</v>
      </c>
      <c r="BN322" s="24">
        <v>20.61</v>
      </c>
      <c r="BO322" s="24">
        <v>0.34</v>
      </c>
      <c r="BP322" s="24">
        <v>1.16</v>
      </c>
      <c r="BQ322" s="24">
        <v>5.17</v>
      </c>
      <c r="BR322" s="24">
        <v>6.13</v>
      </c>
      <c r="BS322" s="25">
        <v>4.81</v>
      </c>
      <c r="BT322" s="91">
        <v>15.6</v>
      </c>
      <c r="BU322" s="57">
        <v>2.6</v>
      </c>
      <c r="BV322" s="25">
        <v>7.29</v>
      </c>
      <c r="BW322" s="26"/>
      <c r="BX322" s="24">
        <v>3000.0</v>
      </c>
      <c r="BY322" s="24" t="s">
        <v>123</v>
      </c>
      <c r="BZ322" s="28">
        <v>2700.0</v>
      </c>
      <c r="CA322" s="29" t="s">
        <v>124</v>
      </c>
      <c r="CB322" s="30">
        <v>3000.0</v>
      </c>
      <c r="CC322" s="31"/>
      <c r="CD322" s="28">
        <v>3000.0</v>
      </c>
      <c r="CE322" s="32" t="e">
        <v>#REF!</v>
      </c>
      <c r="CF322" s="33"/>
      <c r="CG322" s="34">
        <v>0.0</v>
      </c>
      <c r="CH322" s="35">
        <v>0.0</v>
      </c>
      <c r="CI322" s="36">
        <v>10.0</v>
      </c>
      <c r="CJ322" s="36">
        <v>3812.0</v>
      </c>
      <c r="CK322" s="37">
        <v>0.0</v>
      </c>
      <c r="CL322" s="36">
        <v>3812.0</v>
      </c>
      <c r="CM322" s="38">
        <v>171.0</v>
      </c>
      <c r="CN322" s="36">
        <v>0.0</v>
      </c>
      <c r="CO322" s="39">
        <v>17.1</v>
      </c>
      <c r="CP322" s="40">
        <v>0.0</v>
      </c>
      <c r="CQ322" s="36">
        <v>12.0</v>
      </c>
      <c r="CR322" s="36">
        <v>12.0</v>
      </c>
      <c r="CS322" s="36">
        <v>48.0</v>
      </c>
      <c r="CT322" s="41"/>
      <c r="CU322" s="42"/>
      <c r="CV322" s="43"/>
      <c r="CW322" s="44">
        <v>10.0</v>
      </c>
      <c r="CX322" s="44" t="s">
        <v>138</v>
      </c>
      <c r="CY322" s="44" t="s">
        <v>139</v>
      </c>
      <c r="CZ322" s="45"/>
      <c r="DA322" s="44">
        <v>3000.0</v>
      </c>
      <c r="DB322" s="44">
        <v>0.0</v>
      </c>
      <c r="DC322" s="46" t="s">
        <v>127</v>
      </c>
      <c r="DD322" s="47">
        <v>46218.0</v>
      </c>
      <c r="DE322" s="43"/>
      <c r="DF322" s="43"/>
      <c r="DG322" s="48" t="s">
        <v>128</v>
      </c>
      <c r="DH322" s="48" t="s">
        <v>128</v>
      </c>
      <c r="DI322" s="48" t="s">
        <v>128</v>
      </c>
      <c r="DJ322" s="49">
        <v>1.0</v>
      </c>
      <c r="DK322" s="48" t="b">
        <v>1</v>
      </c>
      <c r="DL322" s="50" t="s">
        <v>832</v>
      </c>
      <c r="DM322" s="50" t="s">
        <v>128</v>
      </c>
      <c r="DN322" s="50" t="s">
        <v>833</v>
      </c>
      <c r="DO322" s="49">
        <v>0.93</v>
      </c>
      <c r="DP322" s="48" t="s">
        <v>128</v>
      </c>
      <c r="DQ322" s="48" t="s">
        <v>128</v>
      </c>
      <c r="DR322" s="51"/>
      <c r="DS322" s="48" t="s">
        <v>134</v>
      </c>
    </row>
    <row r="323">
      <c r="A323" s="52" t="s">
        <v>118</v>
      </c>
      <c r="B323" s="53">
        <v>6.0</v>
      </c>
      <c r="C323" s="52" t="s">
        <v>747</v>
      </c>
      <c r="D323" s="53">
        <v>648801.0</v>
      </c>
      <c r="E323" s="52" t="s">
        <v>198</v>
      </c>
      <c r="F323" s="52" t="s">
        <v>860</v>
      </c>
      <c r="G323" s="52" t="s">
        <v>861</v>
      </c>
      <c r="H323" s="53">
        <v>45060.0</v>
      </c>
      <c r="I323" s="53">
        <v>19.0</v>
      </c>
      <c r="J323" s="53">
        <v>0.0</v>
      </c>
      <c r="K323" s="53">
        <v>0.0</v>
      </c>
      <c r="L323" s="53">
        <v>0.0</v>
      </c>
      <c r="M323" s="53">
        <v>1.0</v>
      </c>
      <c r="N323" s="53">
        <v>0.0</v>
      </c>
      <c r="O323" s="53">
        <v>0.0</v>
      </c>
      <c r="P323" s="53">
        <v>0.0</v>
      </c>
      <c r="Q323" s="53">
        <v>2.0</v>
      </c>
      <c r="R323" s="53">
        <v>0.0</v>
      </c>
      <c r="S323" s="53">
        <v>0.0</v>
      </c>
      <c r="T323" s="53">
        <v>0.0</v>
      </c>
      <c r="U323" s="53">
        <v>0.0</v>
      </c>
      <c r="V323" s="53">
        <v>1.0</v>
      </c>
      <c r="W323" s="53">
        <v>3.0</v>
      </c>
      <c r="X323" s="53">
        <v>0.0</v>
      </c>
      <c r="Y323" s="53">
        <v>2.0</v>
      </c>
      <c r="Z323" s="53">
        <v>0.0</v>
      </c>
      <c r="AA323" s="53">
        <v>1.0</v>
      </c>
      <c r="AB323" s="53">
        <v>1.0</v>
      </c>
      <c r="AC323" s="53">
        <v>0.0</v>
      </c>
      <c r="AD323" s="53">
        <v>2.0</v>
      </c>
      <c r="AE323" s="53">
        <v>0.0</v>
      </c>
      <c r="AF323" s="53">
        <v>0.0</v>
      </c>
      <c r="AG323" s="53">
        <v>0.0</v>
      </c>
      <c r="AH323" s="53">
        <v>1.0</v>
      </c>
      <c r="AI323" s="53">
        <v>1.0</v>
      </c>
      <c r="AJ323" s="53">
        <v>0.0</v>
      </c>
      <c r="AK323" s="53">
        <v>2.0</v>
      </c>
      <c r="AL323" s="53">
        <v>1.0</v>
      </c>
      <c r="AM323" s="53">
        <v>0.0</v>
      </c>
      <c r="AN323" s="53">
        <v>1.0</v>
      </c>
      <c r="AO323" s="55">
        <v>16.4</v>
      </c>
      <c r="AP323" s="54"/>
      <c r="AQ323" s="54"/>
      <c r="AR323" s="54"/>
      <c r="AS323" s="53">
        <v>14.83</v>
      </c>
      <c r="AT323" s="54"/>
      <c r="AU323" s="54"/>
      <c r="AV323" s="54"/>
      <c r="AW323" s="53">
        <v>10.62</v>
      </c>
      <c r="AX323" s="54"/>
      <c r="AY323" s="54"/>
      <c r="AZ323" s="54"/>
      <c r="BA323" s="54"/>
      <c r="BB323" s="53">
        <v>8.88</v>
      </c>
      <c r="BC323" s="53">
        <v>13.04</v>
      </c>
      <c r="BD323" s="54"/>
      <c r="BE323" s="53">
        <v>16.08</v>
      </c>
      <c r="BF323" s="54"/>
      <c r="BG323" s="53">
        <v>8.48</v>
      </c>
      <c r="BH323" s="53">
        <v>20.58</v>
      </c>
      <c r="BI323" s="54"/>
      <c r="BJ323" s="53">
        <v>18.11</v>
      </c>
      <c r="BK323" s="54"/>
      <c r="BL323" s="54"/>
      <c r="BM323" s="54"/>
      <c r="BN323" s="53">
        <v>26.53</v>
      </c>
      <c r="BO323" s="53">
        <v>0.34</v>
      </c>
      <c r="BP323" s="53">
        <v>1.65</v>
      </c>
      <c r="BQ323" s="53">
        <v>4.16</v>
      </c>
      <c r="BR323" s="53">
        <v>5.6</v>
      </c>
      <c r="BS323" s="25">
        <v>4.62</v>
      </c>
      <c r="BT323" s="91">
        <v>16.2</v>
      </c>
      <c r="BU323" s="25">
        <v>6.0</v>
      </c>
      <c r="BV323" s="57">
        <v>4.94</v>
      </c>
      <c r="BW323" s="54"/>
      <c r="BX323" s="53">
        <v>3000.0</v>
      </c>
      <c r="BY323" s="53" t="s">
        <v>123</v>
      </c>
      <c r="BZ323" s="58">
        <v>2700.0</v>
      </c>
      <c r="CA323" s="29" t="s">
        <v>124</v>
      </c>
      <c r="CB323" s="30">
        <v>3000.0</v>
      </c>
      <c r="CC323" s="31"/>
      <c r="CD323" s="58">
        <v>3000.0</v>
      </c>
      <c r="CE323" s="59" t="e">
        <v>#REF!</v>
      </c>
      <c r="CF323" s="60"/>
      <c r="CG323" s="61">
        <v>0.0</v>
      </c>
      <c r="CH323" s="62">
        <v>0.0</v>
      </c>
      <c r="CI323" s="63">
        <v>19.0</v>
      </c>
      <c r="CJ323" s="63">
        <v>3812.0</v>
      </c>
      <c r="CK323" s="64">
        <v>0.0</v>
      </c>
      <c r="CL323" s="63">
        <v>3812.0</v>
      </c>
      <c r="CM323" s="65">
        <v>312.0</v>
      </c>
      <c r="CN323" s="63">
        <v>0.0</v>
      </c>
      <c r="CO323" s="66">
        <v>16.4</v>
      </c>
      <c r="CP323" s="67">
        <v>0.0</v>
      </c>
      <c r="CQ323" s="63">
        <v>31.0</v>
      </c>
      <c r="CR323" s="63">
        <v>31.0</v>
      </c>
      <c r="CS323" s="63">
        <v>88.0</v>
      </c>
      <c r="CT323" s="68"/>
      <c r="CU323" s="69"/>
      <c r="CV323" s="70"/>
      <c r="CW323" s="71">
        <v>10.0</v>
      </c>
      <c r="CX323" s="71" t="s">
        <v>138</v>
      </c>
      <c r="CY323" s="71" t="s">
        <v>139</v>
      </c>
      <c r="CZ323" s="45"/>
      <c r="DA323" s="44">
        <v>3000.0</v>
      </c>
      <c r="DB323" s="44">
        <v>0.0</v>
      </c>
      <c r="DC323" s="46" t="s">
        <v>127</v>
      </c>
      <c r="DD323" s="47">
        <v>46213.0</v>
      </c>
      <c r="DE323" s="43"/>
      <c r="DF323" s="43"/>
      <c r="DG323" s="48" t="s">
        <v>128</v>
      </c>
      <c r="DH323" s="48" t="s">
        <v>128</v>
      </c>
      <c r="DI323" s="48" t="s">
        <v>128</v>
      </c>
      <c r="DJ323" s="49">
        <v>1.0</v>
      </c>
      <c r="DK323" s="48" t="b">
        <v>0</v>
      </c>
      <c r="DL323" s="50" t="s">
        <v>832</v>
      </c>
      <c r="DM323" s="50" t="s">
        <v>128</v>
      </c>
      <c r="DN323" s="50" t="s">
        <v>833</v>
      </c>
      <c r="DO323" s="49">
        <v>0.93</v>
      </c>
      <c r="DP323" s="48" t="s">
        <v>128</v>
      </c>
      <c r="DQ323" s="48" t="s">
        <v>128</v>
      </c>
      <c r="DR323" s="51"/>
      <c r="DS323" s="48" t="s">
        <v>134</v>
      </c>
    </row>
    <row r="324">
      <c r="A324" s="23" t="s">
        <v>118</v>
      </c>
      <c r="B324" s="24">
        <v>6.0</v>
      </c>
      <c r="C324" s="23" t="s">
        <v>747</v>
      </c>
      <c r="D324" s="24">
        <v>576393.0</v>
      </c>
      <c r="E324" s="23" t="s">
        <v>164</v>
      </c>
      <c r="F324" s="23" t="s">
        <v>862</v>
      </c>
      <c r="G324" s="23" t="s">
        <v>863</v>
      </c>
      <c r="H324" s="24">
        <v>45060.0</v>
      </c>
      <c r="I324" s="24">
        <v>47.0</v>
      </c>
      <c r="J324" s="24">
        <v>0.0</v>
      </c>
      <c r="K324" s="24">
        <v>0.0</v>
      </c>
      <c r="L324" s="24">
        <v>0.0</v>
      </c>
      <c r="M324" s="24">
        <v>1.0</v>
      </c>
      <c r="N324" s="24">
        <v>0.0</v>
      </c>
      <c r="O324" s="24">
        <v>0.0</v>
      </c>
      <c r="P324" s="24">
        <v>0.0</v>
      </c>
      <c r="Q324" s="24">
        <v>3.0</v>
      </c>
      <c r="R324" s="24">
        <v>1.0</v>
      </c>
      <c r="S324" s="24">
        <v>3.0</v>
      </c>
      <c r="T324" s="24">
        <v>1.0</v>
      </c>
      <c r="U324" s="24">
        <v>3.0</v>
      </c>
      <c r="V324" s="24">
        <v>4.0</v>
      </c>
      <c r="W324" s="24">
        <v>1.0</v>
      </c>
      <c r="X324" s="24">
        <v>1.0</v>
      </c>
      <c r="Y324" s="24">
        <v>3.0</v>
      </c>
      <c r="Z324" s="24">
        <v>3.0</v>
      </c>
      <c r="AA324" s="24">
        <v>1.0</v>
      </c>
      <c r="AB324" s="24">
        <v>1.0</v>
      </c>
      <c r="AC324" s="24">
        <v>1.0</v>
      </c>
      <c r="AD324" s="24">
        <v>3.0</v>
      </c>
      <c r="AE324" s="24">
        <v>4.0</v>
      </c>
      <c r="AF324" s="24">
        <v>2.0</v>
      </c>
      <c r="AG324" s="24">
        <v>0.0</v>
      </c>
      <c r="AH324" s="24">
        <v>1.0</v>
      </c>
      <c r="AI324" s="24">
        <v>1.0</v>
      </c>
      <c r="AJ324" s="24">
        <v>2.0</v>
      </c>
      <c r="AK324" s="24">
        <v>1.0</v>
      </c>
      <c r="AL324" s="24">
        <v>4.0</v>
      </c>
      <c r="AM324" s="24">
        <v>1.0</v>
      </c>
      <c r="AN324" s="24">
        <v>1.0</v>
      </c>
      <c r="AO324" s="25">
        <v>17.4</v>
      </c>
      <c r="AP324" s="26"/>
      <c r="AQ324" s="26"/>
      <c r="AR324" s="26"/>
      <c r="AS324" s="24">
        <v>10.78</v>
      </c>
      <c r="AT324" s="26"/>
      <c r="AU324" s="26"/>
      <c r="AV324" s="26"/>
      <c r="AW324" s="24">
        <v>12.11</v>
      </c>
      <c r="AX324" s="24">
        <v>12.15</v>
      </c>
      <c r="AY324" s="24">
        <v>18.21</v>
      </c>
      <c r="AZ324" s="24">
        <v>24.62</v>
      </c>
      <c r="BA324" s="24">
        <v>9.94</v>
      </c>
      <c r="BB324" s="24">
        <v>15.22</v>
      </c>
      <c r="BC324" s="24">
        <v>10.97</v>
      </c>
      <c r="BD324" s="24">
        <v>33.97</v>
      </c>
      <c r="BE324" s="24">
        <v>19.42</v>
      </c>
      <c r="BF324" s="24">
        <v>16.14</v>
      </c>
      <c r="BG324" s="24">
        <v>16.97</v>
      </c>
      <c r="BH324" s="24">
        <v>14.9</v>
      </c>
      <c r="BI324" s="24">
        <v>14.3</v>
      </c>
      <c r="BJ324" s="24">
        <v>20.06</v>
      </c>
      <c r="BK324" s="24">
        <v>21.57</v>
      </c>
      <c r="BL324" s="24">
        <v>23.0</v>
      </c>
      <c r="BM324" s="26"/>
      <c r="BN324" s="24">
        <v>15.13</v>
      </c>
      <c r="BO324" s="24">
        <v>0.31</v>
      </c>
      <c r="BP324" s="24">
        <v>1.53</v>
      </c>
      <c r="BQ324" s="24">
        <v>4.44</v>
      </c>
      <c r="BR324" s="24">
        <v>5.77</v>
      </c>
      <c r="BS324" s="25">
        <v>4.31</v>
      </c>
      <c r="BT324" s="56">
        <v>17.3</v>
      </c>
      <c r="BU324" s="55">
        <v>3.2</v>
      </c>
      <c r="BV324" s="55">
        <v>6.71</v>
      </c>
      <c r="BW324" s="24">
        <v>2000.0</v>
      </c>
      <c r="BX324" s="24">
        <v>3000.0</v>
      </c>
      <c r="BY324" s="24" t="s">
        <v>123</v>
      </c>
      <c r="BZ324" s="28">
        <v>3000.0</v>
      </c>
      <c r="CA324" s="72"/>
      <c r="CB324" s="30">
        <v>3000.0</v>
      </c>
      <c r="CC324" s="31"/>
      <c r="CD324" s="28">
        <v>3000.0</v>
      </c>
      <c r="CE324" s="32" t="e">
        <v>#REF!</v>
      </c>
      <c r="CF324" s="33"/>
      <c r="CG324" s="34">
        <v>0.0</v>
      </c>
      <c r="CH324" s="35">
        <v>0.0</v>
      </c>
      <c r="CI324" s="36">
        <v>47.0</v>
      </c>
      <c r="CJ324" s="36">
        <v>3812.0</v>
      </c>
      <c r="CK324" s="37">
        <v>0.0</v>
      </c>
      <c r="CL324" s="36">
        <v>3812.0</v>
      </c>
      <c r="CM324" s="38">
        <v>818.0</v>
      </c>
      <c r="CN324" s="36">
        <v>0.0</v>
      </c>
      <c r="CO324" s="39">
        <v>17.4</v>
      </c>
      <c r="CP324" s="40">
        <v>0.0</v>
      </c>
      <c r="CQ324" s="36">
        <v>72.0</v>
      </c>
      <c r="CR324" s="36">
        <v>72.0</v>
      </c>
      <c r="CS324" s="36">
        <v>203.0</v>
      </c>
      <c r="CT324" s="41"/>
      <c r="CU324" s="42"/>
      <c r="CV324" s="43"/>
      <c r="CW324" s="44">
        <v>10.0</v>
      </c>
      <c r="CX324" s="44" t="s">
        <v>138</v>
      </c>
      <c r="CY324" s="44" t="s">
        <v>139</v>
      </c>
      <c r="CZ324" s="45"/>
      <c r="DA324" s="44">
        <v>3000.0</v>
      </c>
      <c r="DB324" s="44">
        <v>0.0</v>
      </c>
      <c r="DC324" s="46" t="s">
        <v>127</v>
      </c>
      <c r="DD324" s="47">
        <v>46197.0</v>
      </c>
      <c r="DE324" s="43"/>
      <c r="DF324" s="43"/>
      <c r="DG324" s="48" t="s">
        <v>128</v>
      </c>
      <c r="DH324" s="48" t="s">
        <v>128</v>
      </c>
      <c r="DI324" s="48" t="s">
        <v>128</v>
      </c>
      <c r="DJ324" s="49">
        <v>1.0</v>
      </c>
      <c r="DK324" s="48" t="b">
        <v>0</v>
      </c>
      <c r="DL324" s="50" t="s">
        <v>832</v>
      </c>
      <c r="DM324" s="50" t="s">
        <v>128</v>
      </c>
      <c r="DN324" s="50" t="s">
        <v>833</v>
      </c>
      <c r="DO324" s="49">
        <v>0.93</v>
      </c>
      <c r="DP324" s="48" t="s">
        <v>128</v>
      </c>
      <c r="DQ324" s="48" t="s">
        <v>128</v>
      </c>
      <c r="DR324" s="51"/>
      <c r="DS324" s="48" t="s">
        <v>134</v>
      </c>
    </row>
    <row r="325">
      <c r="A325" s="52" t="s">
        <v>118</v>
      </c>
      <c r="B325" s="53">
        <v>6.0</v>
      </c>
      <c r="C325" s="52" t="s">
        <v>747</v>
      </c>
      <c r="D325" s="53">
        <v>641645.0</v>
      </c>
      <c r="E325" s="52" t="s">
        <v>145</v>
      </c>
      <c r="F325" s="52" t="s">
        <v>864</v>
      </c>
      <c r="G325" s="52" t="s">
        <v>865</v>
      </c>
      <c r="H325" s="53">
        <v>45060.0</v>
      </c>
      <c r="I325" s="53">
        <v>21.0</v>
      </c>
      <c r="J325" s="53">
        <v>0.0</v>
      </c>
      <c r="K325" s="53">
        <v>0.0</v>
      </c>
      <c r="L325" s="53">
        <v>0.0</v>
      </c>
      <c r="M325" s="53">
        <v>1.0</v>
      </c>
      <c r="N325" s="53">
        <v>0.0</v>
      </c>
      <c r="O325" s="53">
        <v>0.0</v>
      </c>
      <c r="P325" s="53">
        <v>0.0</v>
      </c>
      <c r="Q325" s="53">
        <v>1.0</v>
      </c>
      <c r="R325" s="53">
        <v>1.0</v>
      </c>
      <c r="S325" s="53">
        <v>1.0</v>
      </c>
      <c r="T325" s="53">
        <v>0.0</v>
      </c>
      <c r="U325" s="53">
        <v>0.0</v>
      </c>
      <c r="V325" s="53">
        <v>1.0</v>
      </c>
      <c r="W325" s="53">
        <v>0.0</v>
      </c>
      <c r="X325" s="53">
        <v>1.0</v>
      </c>
      <c r="Y325" s="53">
        <v>1.0</v>
      </c>
      <c r="Z325" s="53">
        <v>2.0</v>
      </c>
      <c r="AA325" s="53">
        <v>2.0</v>
      </c>
      <c r="AB325" s="53">
        <v>0.0</v>
      </c>
      <c r="AC325" s="53">
        <v>1.0</v>
      </c>
      <c r="AD325" s="53">
        <v>1.0</v>
      </c>
      <c r="AE325" s="53">
        <v>0.0</v>
      </c>
      <c r="AF325" s="53">
        <v>0.0</v>
      </c>
      <c r="AG325" s="53">
        <v>0.0</v>
      </c>
      <c r="AH325" s="53">
        <v>4.0</v>
      </c>
      <c r="AI325" s="53">
        <v>0.0</v>
      </c>
      <c r="AJ325" s="53">
        <v>1.0</v>
      </c>
      <c r="AK325" s="53">
        <v>0.0</v>
      </c>
      <c r="AL325" s="53">
        <v>1.0</v>
      </c>
      <c r="AM325" s="53">
        <v>1.0</v>
      </c>
      <c r="AN325" s="53">
        <v>1.0</v>
      </c>
      <c r="AO325" s="25">
        <v>17.2</v>
      </c>
      <c r="AP325" s="54"/>
      <c r="AQ325" s="54"/>
      <c r="AR325" s="54"/>
      <c r="AS325" s="53">
        <v>12.65</v>
      </c>
      <c r="AT325" s="54"/>
      <c r="AU325" s="54"/>
      <c r="AV325" s="54"/>
      <c r="AW325" s="53">
        <v>8.82</v>
      </c>
      <c r="AX325" s="53">
        <v>12.42</v>
      </c>
      <c r="AY325" s="53">
        <v>14.73</v>
      </c>
      <c r="AZ325" s="54"/>
      <c r="BA325" s="54"/>
      <c r="BB325" s="53">
        <v>9.48</v>
      </c>
      <c r="BC325" s="54"/>
      <c r="BD325" s="53">
        <v>13.98</v>
      </c>
      <c r="BE325" s="53">
        <v>13.5</v>
      </c>
      <c r="BF325" s="53">
        <v>19.08</v>
      </c>
      <c r="BG325" s="53">
        <v>16.27</v>
      </c>
      <c r="BH325" s="54"/>
      <c r="BI325" s="53">
        <v>17.03</v>
      </c>
      <c r="BJ325" s="53">
        <v>16.78</v>
      </c>
      <c r="BK325" s="54"/>
      <c r="BL325" s="54"/>
      <c r="BM325" s="54"/>
      <c r="BN325" s="53">
        <v>22.99</v>
      </c>
      <c r="BO325" s="53">
        <v>0.33</v>
      </c>
      <c r="BP325" s="53">
        <v>1.03</v>
      </c>
      <c r="BQ325" s="53">
        <v>5.0</v>
      </c>
      <c r="BR325" s="53">
        <v>5.83</v>
      </c>
      <c r="BS325" s="25">
        <v>4.28</v>
      </c>
      <c r="BT325" s="56">
        <v>21.1</v>
      </c>
      <c r="BU325" s="25">
        <v>5.2</v>
      </c>
      <c r="BV325" s="25">
        <v>9.01</v>
      </c>
      <c r="BW325" s="54"/>
      <c r="BX325" s="53">
        <v>3000.0</v>
      </c>
      <c r="BY325" s="53" t="s">
        <v>123</v>
      </c>
      <c r="BZ325" s="58">
        <v>2700.0</v>
      </c>
      <c r="CA325" s="29" t="s">
        <v>124</v>
      </c>
      <c r="CB325" s="30">
        <v>3000.0</v>
      </c>
      <c r="CC325" s="31"/>
      <c r="CD325" s="58">
        <v>3000.0</v>
      </c>
      <c r="CE325" s="59" t="e">
        <v>#REF!</v>
      </c>
      <c r="CF325" s="60"/>
      <c r="CG325" s="61">
        <v>0.0</v>
      </c>
      <c r="CH325" s="62">
        <v>0.0</v>
      </c>
      <c r="CI325" s="63">
        <v>21.0</v>
      </c>
      <c r="CJ325" s="63">
        <v>3812.0</v>
      </c>
      <c r="CK325" s="64">
        <v>0.0</v>
      </c>
      <c r="CL325" s="63">
        <v>3812.0</v>
      </c>
      <c r="CM325" s="65">
        <v>361.0</v>
      </c>
      <c r="CN325" s="63">
        <v>0.0</v>
      </c>
      <c r="CO325" s="66">
        <v>17.2</v>
      </c>
      <c r="CP325" s="67">
        <v>0.0</v>
      </c>
      <c r="CQ325" s="63">
        <v>22.0</v>
      </c>
      <c r="CR325" s="63">
        <v>22.0</v>
      </c>
      <c r="CS325" s="63">
        <v>90.0</v>
      </c>
      <c r="CT325" s="68"/>
      <c r="CU325" s="69"/>
      <c r="CV325" s="70"/>
      <c r="CW325" s="71">
        <v>10.0</v>
      </c>
      <c r="CX325" s="71" t="s">
        <v>138</v>
      </c>
      <c r="CY325" s="71" t="s">
        <v>139</v>
      </c>
      <c r="CZ325" s="45"/>
      <c r="DA325" s="44">
        <v>3000.0</v>
      </c>
      <c r="DB325" s="44">
        <v>0.0</v>
      </c>
      <c r="DC325" s="46" t="s">
        <v>127</v>
      </c>
      <c r="DD325" s="47">
        <v>46197.0</v>
      </c>
      <c r="DE325" s="43"/>
      <c r="DF325" s="43"/>
      <c r="DG325" s="48" t="s">
        <v>128</v>
      </c>
      <c r="DH325" s="48" t="s">
        <v>128</v>
      </c>
      <c r="DI325" s="48" t="s">
        <v>128</v>
      </c>
      <c r="DJ325" s="49">
        <v>1.0</v>
      </c>
      <c r="DK325" s="48" t="b">
        <v>0</v>
      </c>
      <c r="DL325" s="50" t="s">
        <v>832</v>
      </c>
      <c r="DM325" s="50" t="s">
        <v>128</v>
      </c>
      <c r="DN325" s="50" t="s">
        <v>833</v>
      </c>
      <c r="DO325" s="49">
        <v>0.93</v>
      </c>
      <c r="DP325" s="48" t="s">
        <v>128</v>
      </c>
      <c r="DQ325" s="48" t="s">
        <v>128</v>
      </c>
      <c r="DR325" s="51"/>
      <c r="DS325" s="48" t="s">
        <v>134</v>
      </c>
    </row>
    <row r="326">
      <c r="A326" s="23" t="s">
        <v>118</v>
      </c>
      <c r="B326" s="24">
        <v>6.0</v>
      </c>
      <c r="C326" s="23" t="s">
        <v>747</v>
      </c>
      <c r="D326" s="24">
        <v>640888.0</v>
      </c>
      <c r="E326" s="23" t="s">
        <v>161</v>
      </c>
      <c r="F326" s="23" t="s">
        <v>866</v>
      </c>
      <c r="G326" s="23" t="s">
        <v>867</v>
      </c>
      <c r="H326" s="24">
        <v>45060.0</v>
      </c>
      <c r="I326" s="24">
        <v>5.0</v>
      </c>
      <c r="J326" s="24">
        <v>1.0</v>
      </c>
      <c r="K326" s="24">
        <v>0.0</v>
      </c>
      <c r="L326" s="24">
        <v>0.0</v>
      </c>
      <c r="M326" s="24">
        <v>0.0</v>
      </c>
      <c r="N326" s="24">
        <v>1.0</v>
      </c>
      <c r="O326" s="24">
        <v>0.0</v>
      </c>
      <c r="P326" s="24">
        <v>0.0</v>
      </c>
      <c r="Q326" s="24">
        <v>0.0</v>
      </c>
      <c r="R326" s="24">
        <v>0.0</v>
      </c>
      <c r="S326" s="24">
        <v>0.0</v>
      </c>
      <c r="T326" s="24">
        <v>0.0</v>
      </c>
      <c r="U326" s="24">
        <v>0.0</v>
      </c>
      <c r="V326" s="24">
        <v>0.0</v>
      </c>
      <c r="W326" s="24">
        <v>0.0</v>
      </c>
      <c r="X326" s="24">
        <v>0.0</v>
      </c>
      <c r="Y326" s="24">
        <v>0.0</v>
      </c>
      <c r="Z326" s="24">
        <v>0.0</v>
      </c>
      <c r="AA326" s="24">
        <v>0.0</v>
      </c>
      <c r="AB326" s="24">
        <v>0.0</v>
      </c>
      <c r="AC326" s="24">
        <v>0.0</v>
      </c>
      <c r="AD326" s="24">
        <v>0.0</v>
      </c>
      <c r="AE326" s="24">
        <v>0.0</v>
      </c>
      <c r="AF326" s="24">
        <v>0.0</v>
      </c>
      <c r="AG326" s="24">
        <v>0.0</v>
      </c>
      <c r="AH326" s="24">
        <v>0.0</v>
      </c>
      <c r="AI326" s="24">
        <v>0.0</v>
      </c>
      <c r="AJ326" s="24">
        <v>1.0</v>
      </c>
      <c r="AK326" s="24">
        <v>0.0</v>
      </c>
      <c r="AL326" s="24">
        <v>0.0</v>
      </c>
      <c r="AM326" s="24">
        <v>0.0</v>
      </c>
      <c r="AN326" s="24">
        <v>2.0</v>
      </c>
      <c r="AO326" s="57">
        <v>14.7</v>
      </c>
      <c r="AP326" s="24">
        <v>11.92</v>
      </c>
      <c r="AQ326" s="26"/>
      <c r="AR326" s="26"/>
      <c r="AS326" s="26"/>
      <c r="AT326" s="24">
        <v>0.0</v>
      </c>
      <c r="AU326" s="26"/>
      <c r="AV326" s="26"/>
      <c r="AW326" s="26"/>
      <c r="AX326" s="26"/>
      <c r="AY326" s="26"/>
      <c r="AZ326" s="26"/>
      <c r="BA326" s="26"/>
      <c r="BB326" s="26"/>
      <c r="BC326" s="26"/>
      <c r="BD326" s="26"/>
      <c r="BE326" s="26"/>
      <c r="BF326" s="26"/>
      <c r="BG326" s="26"/>
      <c r="BH326" s="26"/>
      <c r="BI326" s="26"/>
      <c r="BJ326" s="26"/>
      <c r="BK326" s="26"/>
      <c r="BL326" s="26"/>
      <c r="BM326" s="26"/>
      <c r="BN326" s="26"/>
      <c r="BO326" s="24">
        <v>0.29</v>
      </c>
      <c r="BP326" s="24">
        <v>0.92</v>
      </c>
      <c r="BQ326" s="24">
        <v>3.54</v>
      </c>
      <c r="BR326" s="24">
        <v>4.27</v>
      </c>
      <c r="BS326" s="25">
        <v>4.09</v>
      </c>
      <c r="BT326" s="27"/>
      <c r="BU326" s="26"/>
      <c r="BV326" s="26"/>
      <c r="BW326" s="26"/>
      <c r="BX326" s="24">
        <v>3000.0</v>
      </c>
      <c r="BY326" s="24" t="s">
        <v>123</v>
      </c>
      <c r="BZ326" s="28">
        <v>3000.0</v>
      </c>
      <c r="CA326" s="72"/>
      <c r="CB326" s="30">
        <v>3000.0</v>
      </c>
      <c r="CC326" s="31"/>
      <c r="CD326" s="28">
        <v>3000.0</v>
      </c>
      <c r="CE326" s="32" t="e">
        <v>#REF!</v>
      </c>
      <c r="CF326" s="33"/>
      <c r="CG326" s="34">
        <v>0.0</v>
      </c>
      <c r="CH326" s="35">
        <v>0.0</v>
      </c>
      <c r="CI326" s="36">
        <v>5.0</v>
      </c>
      <c r="CJ326" s="36">
        <v>3812.0</v>
      </c>
      <c r="CK326" s="37">
        <v>0.0</v>
      </c>
      <c r="CL326" s="36">
        <v>3812.0</v>
      </c>
      <c r="CM326" s="38">
        <v>74.0</v>
      </c>
      <c r="CN326" s="36">
        <v>0.0</v>
      </c>
      <c r="CO326" s="39">
        <v>14.7</v>
      </c>
      <c r="CP326" s="40">
        <v>0.0</v>
      </c>
      <c r="CQ326" s="36">
        <v>5.0</v>
      </c>
      <c r="CR326" s="36">
        <v>5.0</v>
      </c>
      <c r="CS326" s="36">
        <v>20.0</v>
      </c>
      <c r="CT326" s="41"/>
      <c r="CU326" s="42"/>
      <c r="CV326" s="43"/>
      <c r="CW326" s="44">
        <v>10.0</v>
      </c>
      <c r="CX326" s="44" t="s">
        <v>138</v>
      </c>
      <c r="CY326" s="44" t="s">
        <v>139</v>
      </c>
      <c r="CZ326" s="45"/>
      <c r="DA326" s="44">
        <v>3000.0</v>
      </c>
      <c r="DB326" s="44">
        <v>0.0</v>
      </c>
      <c r="DC326" s="46" t="s">
        <v>127</v>
      </c>
      <c r="DD326" s="47">
        <v>46228.0</v>
      </c>
      <c r="DE326" s="43"/>
      <c r="DF326" s="43"/>
      <c r="DG326" s="48" t="s">
        <v>128</v>
      </c>
      <c r="DH326" s="48" t="s">
        <v>128</v>
      </c>
      <c r="DI326" s="48" t="s">
        <v>128</v>
      </c>
      <c r="DJ326" s="49">
        <v>0.0</v>
      </c>
      <c r="DK326" s="48" t="b">
        <v>0</v>
      </c>
      <c r="DL326" s="50" t="s">
        <v>832</v>
      </c>
      <c r="DM326" s="50" t="s">
        <v>128</v>
      </c>
      <c r="DN326" s="50" t="s">
        <v>833</v>
      </c>
      <c r="DO326" s="49">
        <v>0.93</v>
      </c>
      <c r="DP326" s="48" t="s">
        <v>128</v>
      </c>
      <c r="DQ326" s="48" t="s">
        <v>128</v>
      </c>
      <c r="DR326" s="51"/>
      <c r="DS326" s="48" t="s">
        <v>134</v>
      </c>
    </row>
    <row r="327">
      <c r="A327" s="52" t="s">
        <v>118</v>
      </c>
      <c r="B327" s="53">
        <v>6.0</v>
      </c>
      <c r="C327" s="52" t="s">
        <v>747</v>
      </c>
      <c r="D327" s="53">
        <v>639495.0</v>
      </c>
      <c r="E327" s="52" t="s">
        <v>155</v>
      </c>
      <c r="F327" s="52" t="s">
        <v>868</v>
      </c>
      <c r="G327" s="52" t="s">
        <v>869</v>
      </c>
      <c r="H327" s="53">
        <v>45060.0</v>
      </c>
      <c r="I327" s="53">
        <v>57.0</v>
      </c>
      <c r="J327" s="53">
        <v>2.0</v>
      </c>
      <c r="K327" s="53">
        <v>1.0</v>
      </c>
      <c r="L327" s="53">
        <v>0.0</v>
      </c>
      <c r="M327" s="53">
        <v>1.0</v>
      </c>
      <c r="N327" s="53">
        <v>2.0</v>
      </c>
      <c r="O327" s="53">
        <v>0.0</v>
      </c>
      <c r="P327" s="53">
        <v>1.0</v>
      </c>
      <c r="Q327" s="53">
        <v>2.0</v>
      </c>
      <c r="R327" s="53">
        <v>3.0</v>
      </c>
      <c r="S327" s="53">
        <v>3.0</v>
      </c>
      <c r="T327" s="53">
        <v>2.0</v>
      </c>
      <c r="U327" s="53">
        <v>2.0</v>
      </c>
      <c r="V327" s="53">
        <v>3.0</v>
      </c>
      <c r="W327" s="53">
        <v>4.0</v>
      </c>
      <c r="X327" s="53">
        <v>2.0</v>
      </c>
      <c r="Y327" s="53">
        <v>3.0</v>
      </c>
      <c r="Z327" s="53">
        <v>1.0</v>
      </c>
      <c r="AA327" s="53">
        <v>1.0</v>
      </c>
      <c r="AB327" s="53">
        <v>0.0</v>
      </c>
      <c r="AC327" s="53">
        <v>2.0</v>
      </c>
      <c r="AD327" s="53">
        <v>0.0</v>
      </c>
      <c r="AE327" s="53">
        <v>0.0</v>
      </c>
      <c r="AF327" s="53">
        <v>0.0</v>
      </c>
      <c r="AG327" s="53">
        <v>0.0</v>
      </c>
      <c r="AH327" s="53">
        <v>4.0</v>
      </c>
      <c r="AI327" s="53">
        <v>3.0</v>
      </c>
      <c r="AJ327" s="53">
        <v>3.0</v>
      </c>
      <c r="AK327" s="53">
        <v>2.0</v>
      </c>
      <c r="AL327" s="53">
        <v>3.0</v>
      </c>
      <c r="AM327" s="53">
        <v>3.0</v>
      </c>
      <c r="AN327" s="53">
        <v>4.0</v>
      </c>
      <c r="AO327" s="55">
        <v>16.0</v>
      </c>
      <c r="AP327" s="53">
        <v>14.2</v>
      </c>
      <c r="AQ327" s="53">
        <v>10.65</v>
      </c>
      <c r="AR327" s="54"/>
      <c r="AS327" s="53">
        <v>10.73</v>
      </c>
      <c r="AT327" s="53">
        <v>23.63</v>
      </c>
      <c r="AU327" s="54"/>
      <c r="AV327" s="53">
        <v>11.78</v>
      </c>
      <c r="AW327" s="53">
        <v>14.74</v>
      </c>
      <c r="AX327" s="53">
        <v>14.06</v>
      </c>
      <c r="AY327" s="53">
        <v>14.63</v>
      </c>
      <c r="AZ327" s="53">
        <v>9.94</v>
      </c>
      <c r="BA327" s="53">
        <v>12.38</v>
      </c>
      <c r="BB327" s="53">
        <v>14.23</v>
      </c>
      <c r="BC327" s="53">
        <v>17.09</v>
      </c>
      <c r="BD327" s="53">
        <v>16.28</v>
      </c>
      <c r="BE327" s="53">
        <v>15.17</v>
      </c>
      <c r="BF327" s="53">
        <v>35.78</v>
      </c>
      <c r="BG327" s="53">
        <v>17.78</v>
      </c>
      <c r="BH327" s="54"/>
      <c r="BI327" s="53">
        <v>12.16</v>
      </c>
      <c r="BJ327" s="54"/>
      <c r="BK327" s="54"/>
      <c r="BL327" s="54"/>
      <c r="BM327" s="54"/>
      <c r="BN327" s="53">
        <v>19.1</v>
      </c>
      <c r="BO327" s="53">
        <v>0.3</v>
      </c>
      <c r="BP327" s="53">
        <v>1.18</v>
      </c>
      <c r="BQ327" s="53">
        <v>4.75</v>
      </c>
      <c r="BR327" s="53">
        <v>5.72</v>
      </c>
      <c r="BS327" s="55">
        <v>3.97</v>
      </c>
      <c r="BT327" s="56">
        <v>17.6</v>
      </c>
      <c r="BU327" s="25">
        <v>4.8</v>
      </c>
      <c r="BV327" s="55">
        <v>6.97</v>
      </c>
      <c r="BW327" s="54"/>
      <c r="BX327" s="53">
        <v>3000.0</v>
      </c>
      <c r="BY327" s="53" t="s">
        <v>123</v>
      </c>
      <c r="BZ327" s="58">
        <v>3000.0</v>
      </c>
      <c r="CA327" s="72"/>
      <c r="CB327" s="30">
        <v>3000.0</v>
      </c>
      <c r="CC327" s="31"/>
      <c r="CD327" s="58">
        <v>3000.0</v>
      </c>
      <c r="CE327" s="59" t="e">
        <v>#REF!</v>
      </c>
      <c r="CF327" s="60"/>
      <c r="CG327" s="61">
        <v>0.0</v>
      </c>
      <c r="CH327" s="62">
        <v>0.0</v>
      </c>
      <c r="CI327" s="63">
        <v>57.0</v>
      </c>
      <c r="CJ327" s="63">
        <v>3812.0</v>
      </c>
      <c r="CK327" s="64">
        <v>0.0</v>
      </c>
      <c r="CL327" s="63">
        <v>3812.0</v>
      </c>
      <c r="CM327" s="65">
        <v>912.0</v>
      </c>
      <c r="CN327" s="63">
        <v>0.0</v>
      </c>
      <c r="CO327" s="66">
        <v>16.0</v>
      </c>
      <c r="CP327" s="67">
        <v>0.0</v>
      </c>
      <c r="CQ327" s="63">
        <v>67.0</v>
      </c>
      <c r="CR327" s="63">
        <v>67.0</v>
      </c>
      <c r="CS327" s="63">
        <v>226.0</v>
      </c>
      <c r="CT327" s="68"/>
      <c r="CU327" s="69"/>
      <c r="CV327" s="70"/>
      <c r="CW327" s="71">
        <v>10.0</v>
      </c>
      <c r="CX327" s="71" t="s">
        <v>138</v>
      </c>
      <c r="CY327" s="71" t="s">
        <v>139</v>
      </c>
      <c r="CZ327" s="45"/>
      <c r="DA327" s="44">
        <v>3000.0</v>
      </c>
      <c r="DB327" s="44">
        <v>0.0</v>
      </c>
      <c r="DC327" s="46" t="s">
        <v>127</v>
      </c>
      <c r="DD327" s="47">
        <v>46213.0</v>
      </c>
      <c r="DE327" s="43"/>
      <c r="DF327" s="43"/>
      <c r="DG327" s="48" t="s">
        <v>128</v>
      </c>
      <c r="DH327" s="48" t="s">
        <v>128</v>
      </c>
      <c r="DI327" s="48" t="s">
        <v>128</v>
      </c>
      <c r="DJ327" s="49">
        <v>1.0</v>
      </c>
      <c r="DK327" s="48" t="b">
        <v>0</v>
      </c>
      <c r="DL327" s="50" t="s">
        <v>832</v>
      </c>
      <c r="DM327" s="50" t="s">
        <v>128</v>
      </c>
      <c r="DN327" s="50" t="s">
        <v>833</v>
      </c>
      <c r="DO327" s="49">
        <v>0.93</v>
      </c>
      <c r="DP327" s="48" t="s">
        <v>128</v>
      </c>
      <c r="DQ327" s="48" t="s">
        <v>128</v>
      </c>
      <c r="DR327" s="51"/>
      <c r="DS327" s="48" t="s">
        <v>134</v>
      </c>
    </row>
    <row r="328">
      <c r="A328" s="23" t="s">
        <v>118</v>
      </c>
      <c r="B328" s="24">
        <v>6.0</v>
      </c>
      <c r="C328" s="23" t="s">
        <v>747</v>
      </c>
      <c r="D328" s="24">
        <v>604008.0</v>
      </c>
      <c r="E328" s="23" t="s">
        <v>176</v>
      </c>
      <c r="F328" s="23" t="s">
        <v>870</v>
      </c>
      <c r="G328" s="23" t="s">
        <v>871</v>
      </c>
      <c r="H328" s="24">
        <v>45060.0</v>
      </c>
      <c r="I328" s="24">
        <v>15.0</v>
      </c>
      <c r="J328" s="24">
        <v>0.0</v>
      </c>
      <c r="K328" s="24">
        <v>0.0</v>
      </c>
      <c r="L328" s="24">
        <v>0.0</v>
      </c>
      <c r="M328" s="24">
        <v>0.0</v>
      </c>
      <c r="N328" s="24">
        <v>0.0</v>
      </c>
      <c r="O328" s="24">
        <v>0.0</v>
      </c>
      <c r="P328" s="24">
        <v>1.0</v>
      </c>
      <c r="Q328" s="24">
        <v>2.0</v>
      </c>
      <c r="R328" s="24">
        <v>0.0</v>
      </c>
      <c r="S328" s="24">
        <v>0.0</v>
      </c>
      <c r="T328" s="24">
        <v>0.0</v>
      </c>
      <c r="U328" s="24">
        <v>0.0</v>
      </c>
      <c r="V328" s="24">
        <v>2.0</v>
      </c>
      <c r="W328" s="24">
        <v>2.0</v>
      </c>
      <c r="X328" s="24">
        <v>0.0</v>
      </c>
      <c r="Y328" s="24">
        <v>0.0</v>
      </c>
      <c r="Z328" s="24">
        <v>0.0</v>
      </c>
      <c r="AA328" s="24">
        <v>0.0</v>
      </c>
      <c r="AB328" s="24">
        <v>1.0</v>
      </c>
      <c r="AC328" s="24">
        <v>1.0</v>
      </c>
      <c r="AD328" s="24">
        <v>0.0</v>
      </c>
      <c r="AE328" s="24">
        <v>0.0</v>
      </c>
      <c r="AF328" s="24">
        <v>0.0</v>
      </c>
      <c r="AG328" s="24">
        <v>1.0</v>
      </c>
      <c r="AH328" s="24">
        <v>1.0</v>
      </c>
      <c r="AI328" s="24">
        <v>2.0</v>
      </c>
      <c r="AJ328" s="24">
        <v>0.0</v>
      </c>
      <c r="AK328" s="24">
        <v>1.0</v>
      </c>
      <c r="AL328" s="24">
        <v>0.0</v>
      </c>
      <c r="AM328" s="24">
        <v>0.0</v>
      </c>
      <c r="AN328" s="24">
        <v>1.0</v>
      </c>
      <c r="AO328" s="57">
        <v>14.5</v>
      </c>
      <c r="AP328" s="26"/>
      <c r="AQ328" s="26"/>
      <c r="AR328" s="26"/>
      <c r="AS328" s="26"/>
      <c r="AT328" s="26"/>
      <c r="AU328" s="26"/>
      <c r="AV328" s="24">
        <v>10.73</v>
      </c>
      <c r="AW328" s="24">
        <v>14.31</v>
      </c>
      <c r="AX328" s="26"/>
      <c r="AY328" s="26"/>
      <c r="AZ328" s="26"/>
      <c r="BA328" s="26"/>
      <c r="BB328" s="24">
        <v>12.66</v>
      </c>
      <c r="BC328" s="24">
        <v>9.21</v>
      </c>
      <c r="BD328" s="26"/>
      <c r="BE328" s="26"/>
      <c r="BF328" s="26"/>
      <c r="BG328" s="26"/>
      <c r="BH328" s="24">
        <v>18.47</v>
      </c>
      <c r="BI328" s="24">
        <v>18.6</v>
      </c>
      <c r="BJ328" s="26"/>
      <c r="BK328" s="26"/>
      <c r="BL328" s="26"/>
      <c r="BM328" s="24">
        <v>14.15</v>
      </c>
      <c r="BN328" s="24">
        <v>13.12</v>
      </c>
      <c r="BO328" s="24">
        <v>0.29</v>
      </c>
      <c r="BP328" s="24">
        <v>1.42</v>
      </c>
      <c r="BQ328" s="24">
        <v>4.9</v>
      </c>
      <c r="BR328" s="24">
        <v>6.11</v>
      </c>
      <c r="BS328" s="57">
        <v>2.84</v>
      </c>
      <c r="BT328" s="56">
        <v>17.6</v>
      </c>
      <c r="BU328" s="55">
        <v>3.6</v>
      </c>
      <c r="BV328" s="55">
        <v>6.05</v>
      </c>
      <c r="BW328" s="26"/>
      <c r="BX328" s="24">
        <v>3000.0</v>
      </c>
      <c r="BY328" s="24" t="s">
        <v>123</v>
      </c>
      <c r="BZ328" s="28">
        <v>3000.0</v>
      </c>
      <c r="CA328" s="72"/>
      <c r="CB328" s="30">
        <v>3000.0</v>
      </c>
      <c r="CC328" s="31"/>
      <c r="CD328" s="28">
        <v>3000.0</v>
      </c>
      <c r="CE328" s="32" t="e">
        <v>#REF!</v>
      </c>
      <c r="CF328" s="33"/>
      <c r="CG328" s="34">
        <v>0.0</v>
      </c>
      <c r="CH328" s="35">
        <v>0.0</v>
      </c>
      <c r="CI328" s="36">
        <v>15.0</v>
      </c>
      <c r="CJ328" s="36">
        <v>3812.0</v>
      </c>
      <c r="CK328" s="37">
        <v>0.0</v>
      </c>
      <c r="CL328" s="36">
        <v>3812.0</v>
      </c>
      <c r="CM328" s="38">
        <v>218.0</v>
      </c>
      <c r="CN328" s="36">
        <v>0.0</v>
      </c>
      <c r="CO328" s="39">
        <v>14.5</v>
      </c>
      <c r="CP328" s="40">
        <v>0.0</v>
      </c>
      <c r="CQ328" s="36">
        <v>21.0</v>
      </c>
      <c r="CR328" s="36">
        <v>21.0</v>
      </c>
      <c r="CS328" s="36">
        <v>43.0</v>
      </c>
      <c r="CT328" s="41"/>
      <c r="CU328" s="42"/>
      <c r="CV328" s="43"/>
      <c r="CW328" s="44">
        <v>10.0</v>
      </c>
      <c r="CX328" s="44" t="s">
        <v>138</v>
      </c>
      <c r="CY328" s="44" t="s">
        <v>139</v>
      </c>
      <c r="CZ328" s="45"/>
      <c r="DA328" s="44">
        <v>3000.0</v>
      </c>
      <c r="DB328" s="44">
        <v>0.0</v>
      </c>
      <c r="DC328" s="46" t="s">
        <v>127</v>
      </c>
      <c r="DD328" s="47">
        <v>46197.0</v>
      </c>
      <c r="DE328" s="43"/>
      <c r="DF328" s="43"/>
      <c r="DG328" s="48" t="s">
        <v>128</v>
      </c>
      <c r="DH328" s="48" t="s">
        <v>128</v>
      </c>
      <c r="DI328" s="48" t="s">
        <v>128</v>
      </c>
      <c r="DJ328" s="49">
        <v>1.0</v>
      </c>
      <c r="DK328" s="48" t="b">
        <v>0</v>
      </c>
      <c r="DL328" s="50" t="s">
        <v>832</v>
      </c>
      <c r="DM328" s="50" t="s">
        <v>128</v>
      </c>
      <c r="DN328" s="50" t="s">
        <v>833</v>
      </c>
      <c r="DO328" s="49">
        <v>0.93</v>
      </c>
      <c r="DP328" s="48" t="s">
        <v>128</v>
      </c>
      <c r="DQ328" s="48" t="s">
        <v>128</v>
      </c>
      <c r="DR328" s="51"/>
      <c r="DS328" s="48" t="s">
        <v>134</v>
      </c>
    </row>
    <row r="329">
      <c r="A329" s="52" t="s">
        <v>118</v>
      </c>
      <c r="B329" s="53">
        <v>6.0</v>
      </c>
      <c r="C329" s="52" t="s">
        <v>747</v>
      </c>
      <c r="D329" s="53">
        <v>610881.0</v>
      </c>
      <c r="E329" s="52" t="s">
        <v>167</v>
      </c>
      <c r="F329" s="52" t="s">
        <v>872</v>
      </c>
      <c r="G329" s="52" t="s">
        <v>873</v>
      </c>
      <c r="H329" s="53">
        <v>45060.0</v>
      </c>
      <c r="I329" s="53">
        <v>5.0</v>
      </c>
      <c r="J329" s="53">
        <v>0.0</v>
      </c>
      <c r="K329" s="53">
        <v>0.0</v>
      </c>
      <c r="L329" s="53">
        <v>0.0</v>
      </c>
      <c r="M329" s="53">
        <v>0.0</v>
      </c>
      <c r="N329" s="53">
        <v>0.0</v>
      </c>
      <c r="O329" s="53">
        <v>2.0</v>
      </c>
      <c r="P329" s="53">
        <v>0.0</v>
      </c>
      <c r="Q329" s="53">
        <v>0.0</v>
      </c>
      <c r="R329" s="53">
        <v>0.0</v>
      </c>
      <c r="S329" s="53">
        <v>0.0</v>
      </c>
      <c r="T329" s="53">
        <v>0.0</v>
      </c>
      <c r="U329" s="53">
        <v>0.0</v>
      </c>
      <c r="V329" s="53">
        <v>1.0</v>
      </c>
      <c r="W329" s="53">
        <v>0.0</v>
      </c>
      <c r="X329" s="53">
        <v>0.0</v>
      </c>
      <c r="Y329" s="53">
        <v>0.0</v>
      </c>
      <c r="Z329" s="53">
        <v>0.0</v>
      </c>
      <c r="AA329" s="53">
        <v>0.0</v>
      </c>
      <c r="AB329" s="53">
        <v>0.0</v>
      </c>
      <c r="AC329" s="53">
        <v>0.0</v>
      </c>
      <c r="AD329" s="53">
        <v>0.0</v>
      </c>
      <c r="AE329" s="53">
        <v>0.0</v>
      </c>
      <c r="AF329" s="53">
        <v>0.0</v>
      </c>
      <c r="AG329" s="53">
        <v>0.0</v>
      </c>
      <c r="AH329" s="53">
        <v>1.0</v>
      </c>
      <c r="AI329" s="53">
        <v>0.0</v>
      </c>
      <c r="AJ329" s="53">
        <v>0.0</v>
      </c>
      <c r="AK329" s="53">
        <v>0.0</v>
      </c>
      <c r="AL329" s="53">
        <v>0.0</v>
      </c>
      <c r="AM329" s="53">
        <v>0.0</v>
      </c>
      <c r="AN329" s="53">
        <v>1.0</v>
      </c>
      <c r="AO329" s="57">
        <v>13.3</v>
      </c>
      <c r="AP329" s="54"/>
      <c r="AQ329" s="54"/>
      <c r="AR329" s="54"/>
      <c r="AS329" s="54"/>
      <c r="AT329" s="54"/>
      <c r="AU329" s="53">
        <v>13.78</v>
      </c>
      <c r="AV329" s="54"/>
      <c r="AW329" s="54"/>
      <c r="AX329" s="54"/>
      <c r="AY329" s="54"/>
      <c r="AZ329" s="54"/>
      <c r="BA329" s="54"/>
      <c r="BB329" s="53">
        <v>8.92</v>
      </c>
      <c r="BC329" s="54"/>
      <c r="BD329" s="54"/>
      <c r="BE329" s="54"/>
      <c r="BF329" s="54"/>
      <c r="BG329" s="54"/>
      <c r="BH329" s="54"/>
      <c r="BI329" s="54"/>
      <c r="BJ329" s="54"/>
      <c r="BK329" s="54"/>
      <c r="BL329" s="54"/>
      <c r="BM329" s="54"/>
      <c r="BN329" s="53">
        <v>14.53</v>
      </c>
      <c r="BO329" s="53">
        <v>0.26</v>
      </c>
      <c r="BP329" s="53">
        <v>1.05</v>
      </c>
      <c r="BQ329" s="53">
        <v>4.2</v>
      </c>
      <c r="BR329" s="53">
        <v>5.04</v>
      </c>
      <c r="BS329" s="57">
        <v>2.75</v>
      </c>
      <c r="BT329" s="81"/>
      <c r="BU329" s="54"/>
      <c r="BV329" s="54"/>
      <c r="BW329" s="54"/>
      <c r="BX329" s="53">
        <v>3000.0</v>
      </c>
      <c r="BY329" s="53" t="s">
        <v>123</v>
      </c>
      <c r="BZ329" s="58">
        <v>3000.0</v>
      </c>
      <c r="CA329" s="72"/>
      <c r="CB329" s="30">
        <v>3000.0</v>
      </c>
      <c r="CC329" s="31"/>
      <c r="CD329" s="58">
        <v>3000.0</v>
      </c>
      <c r="CE329" s="59" t="e">
        <v>#REF!</v>
      </c>
      <c r="CF329" s="60"/>
      <c r="CG329" s="61">
        <v>0.0</v>
      </c>
      <c r="CH329" s="62">
        <v>0.0</v>
      </c>
      <c r="CI329" s="63">
        <v>5.0</v>
      </c>
      <c r="CJ329" s="63">
        <v>3812.0</v>
      </c>
      <c r="CK329" s="64">
        <v>0.0</v>
      </c>
      <c r="CL329" s="63">
        <v>3812.0</v>
      </c>
      <c r="CM329" s="65">
        <v>67.0</v>
      </c>
      <c r="CN329" s="63">
        <v>0.0</v>
      </c>
      <c r="CO329" s="66">
        <v>13.3</v>
      </c>
      <c r="CP329" s="67">
        <v>0.0</v>
      </c>
      <c r="CQ329" s="63">
        <v>5.0</v>
      </c>
      <c r="CR329" s="63">
        <v>5.0</v>
      </c>
      <c r="CS329" s="63">
        <v>14.0</v>
      </c>
      <c r="CT329" s="68"/>
      <c r="CU329" s="69"/>
      <c r="CV329" s="70"/>
      <c r="CW329" s="71">
        <v>10.0</v>
      </c>
      <c r="CX329" s="71" t="s">
        <v>138</v>
      </c>
      <c r="CY329" s="71" t="s">
        <v>139</v>
      </c>
      <c r="CZ329" s="45"/>
      <c r="DA329" s="44">
        <v>3000.0</v>
      </c>
      <c r="DB329" s="44">
        <v>0.0</v>
      </c>
      <c r="DC329" s="46" t="s">
        <v>127</v>
      </c>
      <c r="DD329" s="47">
        <v>46240.0</v>
      </c>
      <c r="DE329" s="43"/>
      <c r="DF329" s="43"/>
      <c r="DG329" s="48" t="s">
        <v>128</v>
      </c>
      <c r="DH329" s="48" t="s">
        <v>128</v>
      </c>
      <c r="DI329" s="48" t="s">
        <v>128</v>
      </c>
      <c r="DJ329" s="49">
        <v>0.0</v>
      </c>
      <c r="DK329" s="48" t="b">
        <v>0</v>
      </c>
      <c r="DL329" s="50" t="s">
        <v>832</v>
      </c>
      <c r="DM329" s="50" t="s">
        <v>128</v>
      </c>
      <c r="DN329" s="50" t="s">
        <v>833</v>
      </c>
      <c r="DO329" s="49">
        <v>0.93</v>
      </c>
      <c r="DP329" s="48" t="s">
        <v>128</v>
      </c>
      <c r="DQ329" s="48" t="s">
        <v>128</v>
      </c>
      <c r="DR329" s="51"/>
      <c r="DS329" s="48" t="s">
        <v>134</v>
      </c>
    </row>
    <row r="330">
      <c r="A330" s="23" t="s">
        <v>118</v>
      </c>
      <c r="B330" s="24">
        <v>6.0</v>
      </c>
      <c r="C330" s="23" t="s">
        <v>747</v>
      </c>
      <c r="D330" s="24">
        <v>680603.0</v>
      </c>
      <c r="E330" s="23" t="s">
        <v>182</v>
      </c>
      <c r="F330" s="23" t="s">
        <v>874</v>
      </c>
      <c r="G330" s="23" t="s">
        <v>875</v>
      </c>
      <c r="H330" s="24">
        <v>45060.0</v>
      </c>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7"/>
      <c r="BU330" s="26"/>
      <c r="BV330" s="26"/>
      <c r="BW330" s="26"/>
      <c r="BX330" s="24">
        <v>3000.0</v>
      </c>
      <c r="BY330" s="24" t="s">
        <v>123</v>
      </c>
      <c r="BZ330" s="28">
        <v>3000.0</v>
      </c>
      <c r="CA330" s="72"/>
      <c r="CB330" s="82"/>
      <c r="CC330" s="31"/>
      <c r="CD330" s="28">
        <v>3000.0</v>
      </c>
      <c r="CE330" s="88" t="s">
        <v>185</v>
      </c>
      <c r="CF330" s="33"/>
      <c r="CG330" s="34">
        <v>0.0</v>
      </c>
      <c r="CH330" s="89"/>
      <c r="CI330" s="36">
        <v>0.0</v>
      </c>
      <c r="CJ330" s="36">
        <v>3812.0</v>
      </c>
      <c r="CK330" s="37">
        <v>0.0</v>
      </c>
      <c r="CL330" s="36">
        <v>3812.0</v>
      </c>
      <c r="CM330" s="38">
        <v>0.0</v>
      </c>
      <c r="CN330" s="36">
        <v>0.0</v>
      </c>
      <c r="CO330" s="39">
        <v>0.0</v>
      </c>
      <c r="CP330" s="40">
        <v>0.0</v>
      </c>
      <c r="CQ330" s="36">
        <v>0.0</v>
      </c>
      <c r="CR330" s="36">
        <v>0.0</v>
      </c>
      <c r="CS330" s="36">
        <v>0.0</v>
      </c>
      <c r="CT330" s="41"/>
      <c r="CU330" s="42"/>
      <c r="CV330" s="43"/>
      <c r="CW330" s="44">
        <v>10.0</v>
      </c>
      <c r="CX330" s="44" t="s">
        <v>138</v>
      </c>
      <c r="CY330" s="44" t="s">
        <v>139</v>
      </c>
      <c r="CZ330" s="45"/>
      <c r="DA330" s="43"/>
      <c r="DB330" s="44">
        <v>0.0</v>
      </c>
      <c r="DC330" s="43"/>
      <c r="DD330" s="78"/>
      <c r="DE330" s="43"/>
      <c r="DF330" s="43"/>
      <c r="DG330" s="48" t="s">
        <v>128</v>
      </c>
      <c r="DH330" s="48" t="s">
        <v>128</v>
      </c>
      <c r="DI330" s="85" t="str">
        <f>+ OFF 30 DIAS SIN VENTA</f>
        <v>#ERROR!</v>
      </c>
      <c r="DJ330" s="49">
        <v>1.0</v>
      </c>
      <c r="DK330" s="48" t="b">
        <v>0</v>
      </c>
      <c r="DL330" s="50" t="s">
        <v>832</v>
      </c>
      <c r="DM330" s="50" t="s">
        <v>128</v>
      </c>
      <c r="DN330" s="50" t="s">
        <v>833</v>
      </c>
      <c r="DO330" s="49">
        <v>0.93</v>
      </c>
      <c r="DP330" s="48" t="s">
        <v>128</v>
      </c>
      <c r="DQ330" s="86" t="str">
        <f>+ OFF 30 DIAS SIN VENTA</f>
        <v>#ERROR!</v>
      </c>
      <c r="DR330" s="51"/>
      <c r="DS330" s="48" t="s">
        <v>134</v>
      </c>
    </row>
    <row r="331">
      <c r="A331" s="52" t="s">
        <v>118</v>
      </c>
      <c r="B331" s="53">
        <v>6.0</v>
      </c>
      <c r="C331" s="52" t="s">
        <v>747</v>
      </c>
      <c r="D331" s="53">
        <v>536832.0</v>
      </c>
      <c r="E331" s="52" t="s">
        <v>158</v>
      </c>
      <c r="F331" s="52" t="s">
        <v>876</v>
      </c>
      <c r="G331" s="52" t="s">
        <v>877</v>
      </c>
      <c r="H331" s="53">
        <v>45060.0</v>
      </c>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81"/>
      <c r="BU331" s="54"/>
      <c r="BV331" s="54"/>
      <c r="BW331" s="54"/>
      <c r="BX331" s="53">
        <v>1.0</v>
      </c>
      <c r="BY331" s="53" t="s">
        <v>123</v>
      </c>
      <c r="BZ331" s="87">
        <v>1.0</v>
      </c>
      <c r="CA331" s="72"/>
      <c r="CB331" s="82"/>
      <c r="CC331" s="31"/>
      <c r="CD331" s="58">
        <v>1.0</v>
      </c>
      <c r="CE331" s="83" t="s">
        <v>185</v>
      </c>
      <c r="CF331" s="60"/>
      <c r="CG331" s="61">
        <v>0.0</v>
      </c>
      <c r="CH331" s="84"/>
      <c r="CI331" s="63">
        <v>0.0</v>
      </c>
      <c r="CJ331" s="63">
        <v>3812.0</v>
      </c>
      <c r="CK331" s="64">
        <v>0.0</v>
      </c>
      <c r="CL331" s="63">
        <v>3812.0</v>
      </c>
      <c r="CM331" s="65">
        <v>0.0</v>
      </c>
      <c r="CN331" s="63">
        <v>0.0</v>
      </c>
      <c r="CO331" s="66">
        <v>0.0</v>
      </c>
      <c r="CP331" s="67">
        <v>0.0</v>
      </c>
      <c r="CQ331" s="63">
        <v>0.0</v>
      </c>
      <c r="CR331" s="63">
        <v>0.0</v>
      </c>
      <c r="CS331" s="63">
        <v>0.0</v>
      </c>
      <c r="CT331" s="68"/>
      <c r="CU331" s="69"/>
      <c r="CV331" s="70"/>
      <c r="CW331" s="71">
        <v>1.0</v>
      </c>
      <c r="CX331" s="71">
        <v>1.0</v>
      </c>
      <c r="CY331" s="71">
        <v>0.1</v>
      </c>
      <c r="CZ331" s="45"/>
      <c r="DA331" s="43"/>
      <c r="DB331" s="44">
        <v>0.0</v>
      </c>
      <c r="DC331" s="43"/>
      <c r="DD331" s="78"/>
      <c r="DE331" s="43"/>
      <c r="DF331" s="43"/>
      <c r="DG331" s="48" t="s">
        <v>128</v>
      </c>
      <c r="DH331" s="48" t="s">
        <v>131</v>
      </c>
      <c r="DI331" s="48" t="s">
        <v>188</v>
      </c>
      <c r="DJ331" s="49">
        <v>1.0</v>
      </c>
      <c r="DK331" s="48" t="b">
        <v>0</v>
      </c>
      <c r="DL331" s="50" t="s">
        <v>832</v>
      </c>
      <c r="DM331" s="50" t="s">
        <v>128</v>
      </c>
      <c r="DN331" s="50" t="s">
        <v>833</v>
      </c>
      <c r="DO331" s="49">
        <v>0.93</v>
      </c>
      <c r="DP331" s="51"/>
      <c r="DQ331" s="48" t="s">
        <v>188</v>
      </c>
      <c r="DR331" s="51"/>
      <c r="DS331" s="48" t="s">
        <v>134</v>
      </c>
    </row>
    <row r="332">
      <c r="A332" s="23" t="s">
        <v>118</v>
      </c>
      <c r="B332" s="24">
        <v>6.0</v>
      </c>
      <c r="C332" s="23" t="s">
        <v>747</v>
      </c>
      <c r="D332" s="24">
        <v>643373.0</v>
      </c>
      <c r="E332" s="23" t="s">
        <v>120</v>
      </c>
      <c r="F332" s="23" t="s">
        <v>878</v>
      </c>
      <c r="G332" s="23" t="s">
        <v>879</v>
      </c>
      <c r="H332" s="24">
        <v>45060.0</v>
      </c>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7"/>
      <c r="BU332" s="26"/>
      <c r="BV332" s="26"/>
      <c r="BW332" s="26"/>
      <c r="BX332" s="24">
        <v>3000.0</v>
      </c>
      <c r="BY332" s="24" t="s">
        <v>123</v>
      </c>
      <c r="BZ332" s="28">
        <v>3000.0</v>
      </c>
      <c r="CA332" s="72"/>
      <c r="CB332" s="82"/>
      <c r="CC332" s="31"/>
      <c r="CD332" s="28">
        <v>3000.0</v>
      </c>
      <c r="CE332" s="88" t="s">
        <v>185</v>
      </c>
      <c r="CF332" s="33"/>
      <c r="CG332" s="34">
        <v>0.0</v>
      </c>
      <c r="CH332" s="89"/>
      <c r="CI332" s="36">
        <v>0.0</v>
      </c>
      <c r="CJ332" s="36">
        <v>3812.0</v>
      </c>
      <c r="CK332" s="37">
        <v>0.0</v>
      </c>
      <c r="CL332" s="36">
        <v>3812.0</v>
      </c>
      <c r="CM332" s="38">
        <v>0.0</v>
      </c>
      <c r="CN332" s="36">
        <v>0.0</v>
      </c>
      <c r="CO332" s="39">
        <v>0.0</v>
      </c>
      <c r="CP332" s="40">
        <v>0.0</v>
      </c>
      <c r="CQ332" s="36">
        <v>0.0</v>
      </c>
      <c r="CR332" s="36">
        <v>0.0</v>
      </c>
      <c r="CS332" s="36">
        <v>0.0</v>
      </c>
      <c r="CT332" s="41"/>
      <c r="CU332" s="42"/>
      <c r="CV332" s="43"/>
      <c r="CW332" s="44">
        <v>10.0</v>
      </c>
      <c r="CX332" s="44" t="s">
        <v>138</v>
      </c>
      <c r="CY332" s="44" t="s">
        <v>139</v>
      </c>
      <c r="CZ332" s="45"/>
      <c r="DA332" s="43"/>
      <c r="DB332" s="44">
        <v>0.0</v>
      </c>
      <c r="DC332" s="43"/>
      <c r="DD332" s="78"/>
      <c r="DE332" s="43"/>
      <c r="DF332" s="43"/>
      <c r="DG332" s="48" t="s">
        <v>128</v>
      </c>
      <c r="DH332" s="48" t="s">
        <v>128</v>
      </c>
      <c r="DI332" s="85" t="str">
        <f>+ OFF 30 DIAS SIN VENTA</f>
        <v>#ERROR!</v>
      </c>
      <c r="DJ332" s="49">
        <v>1.0</v>
      </c>
      <c r="DK332" s="48" t="b">
        <v>0</v>
      </c>
      <c r="DL332" s="50" t="s">
        <v>832</v>
      </c>
      <c r="DM332" s="50" t="s">
        <v>128</v>
      </c>
      <c r="DN332" s="50" t="s">
        <v>833</v>
      </c>
      <c r="DO332" s="49">
        <v>0.93</v>
      </c>
      <c r="DP332" s="48" t="s">
        <v>128</v>
      </c>
      <c r="DQ332" s="86" t="str">
        <f>+ OFF 30 DIAS SIN VENTA</f>
        <v>#ERROR!</v>
      </c>
      <c r="DR332" s="51"/>
      <c r="DS332" s="48" t="s">
        <v>134</v>
      </c>
    </row>
    <row r="333">
      <c r="A333" s="52" t="s">
        <v>118</v>
      </c>
      <c r="B333" s="53">
        <v>6.0</v>
      </c>
      <c r="C333" s="52" t="s">
        <v>747</v>
      </c>
      <c r="D333" s="53">
        <v>631195.0</v>
      </c>
      <c r="E333" s="52" t="s">
        <v>140</v>
      </c>
      <c r="F333" s="52" t="s">
        <v>880</v>
      </c>
      <c r="G333" s="52" t="s">
        <v>881</v>
      </c>
      <c r="H333" s="53">
        <v>45060.0</v>
      </c>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c r="BS333" s="54"/>
      <c r="BT333" s="81"/>
      <c r="BU333" s="54"/>
      <c r="BV333" s="54"/>
      <c r="BW333" s="54"/>
      <c r="BX333" s="53">
        <v>3000.0</v>
      </c>
      <c r="BY333" s="53" t="s">
        <v>123</v>
      </c>
      <c r="BZ333" s="58">
        <v>3000.0</v>
      </c>
      <c r="CA333" s="72"/>
      <c r="CB333" s="82"/>
      <c r="CC333" s="31"/>
      <c r="CD333" s="58">
        <v>3000.0</v>
      </c>
      <c r="CE333" s="83" t="s">
        <v>185</v>
      </c>
      <c r="CF333" s="60"/>
      <c r="CG333" s="61">
        <v>0.0</v>
      </c>
      <c r="CH333" s="84"/>
      <c r="CI333" s="63">
        <v>0.0</v>
      </c>
      <c r="CJ333" s="63">
        <v>3812.0</v>
      </c>
      <c r="CK333" s="64">
        <v>0.0</v>
      </c>
      <c r="CL333" s="63">
        <v>3812.0</v>
      </c>
      <c r="CM333" s="65">
        <v>0.0</v>
      </c>
      <c r="CN333" s="63">
        <v>0.0</v>
      </c>
      <c r="CO333" s="66">
        <v>0.0</v>
      </c>
      <c r="CP333" s="67">
        <v>0.0</v>
      </c>
      <c r="CQ333" s="63">
        <v>0.0</v>
      </c>
      <c r="CR333" s="63">
        <v>0.0</v>
      </c>
      <c r="CS333" s="63">
        <v>0.0</v>
      </c>
      <c r="CT333" s="68"/>
      <c r="CU333" s="69"/>
      <c r="CV333" s="70"/>
      <c r="CW333" s="71">
        <v>10.0</v>
      </c>
      <c r="CX333" s="71" t="s">
        <v>138</v>
      </c>
      <c r="CY333" s="71" t="s">
        <v>139</v>
      </c>
      <c r="CZ333" s="45"/>
      <c r="DA333" s="43"/>
      <c r="DB333" s="44">
        <v>0.0</v>
      </c>
      <c r="DC333" s="43"/>
      <c r="DD333" s="78"/>
      <c r="DE333" s="43"/>
      <c r="DF333" s="43"/>
      <c r="DG333" s="48" t="s">
        <v>128</v>
      </c>
      <c r="DH333" s="48" t="s">
        <v>128</v>
      </c>
      <c r="DI333" s="85" t="str">
        <f>+ OFF 30 DIAS SIN VENTA</f>
        <v>#ERROR!</v>
      </c>
      <c r="DJ333" s="49">
        <v>1.0</v>
      </c>
      <c r="DK333" s="48" t="b">
        <v>0</v>
      </c>
      <c r="DL333" s="50" t="s">
        <v>832</v>
      </c>
      <c r="DM333" s="50" t="s">
        <v>128</v>
      </c>
      <c r="DN333" s="50" t="s">
        <v>833</v>
      </c>
      <c r="DO333" s="49">
        <v>0.93</v>
      </c>
      <c r="DP333" s="48" t="s">
        <v>128</v>
      </c>
      <c r="DQ333" s="86" t="str">
        <f>+ OFF 30 DIAS SIN VENTA</f>
        <v>#ERROR!</v>
      </c>
      <c r="DR333" s="51"/>
      <c r="DS333" s="48" t="s">
        <v>134</v>
      </c>
    </row>
    <row r="334">
      <c r="A334" s="23" t="s">
        <v>118</v>
      </c>
      <c r="B334" s="24">
        <v>6.0</v>
      </c>
      <c r="C334" s="23" t="s">
        <v>747</v>
      </c>
      <c r="D334" s="24">
        <v>625804.0</v>
      </c>
      <c r="E334" s="23" t="s">
        <v>882</v>
      </c>
      <c r="F334" s="23" t="s">
        <v>883</v>
      </c>
      <c r="G334" s="23" t="s">
        <v>884</v>
      </c>
      <c r="H334" s="24">
        <v>45060.0</v>
      </c>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7"/>
      <c r="BU334" s="26"/>
      <c r="BV334" s="26"/>
      <c r="BW334" s="26"/>
      <c r="BX334" s="24">
        <v>3000.0</v>
      </c>
      <c r="BY334" s="24" t="s">
        <v>123</v>
      </c>
      <c r="BZ334" s="28">
        <v>3000.0</v>
      </c>
      <c r="CA334" s="72"/>
      <c r="CB334" s="82"/>
      <c r="CC334" s="31"/>
      <c r="CD334" s="28">
        <v>3000.0</v>
      </c>
      <c r="CE334" s="88" t="s">
        <v>185</v>
      </c>
      <c r="CF334" s="33"/>
      <c r="CG334" s="34">
        <v>0.0</v>
      </c>
      <c r="CH334" s="89"/>
      <c r="CI334" s="36">
        <v>0.0</v>
      </c>
      <c r="CJ334" s="36">
        <v>3812.0</v>
      </c>
      <c r="CK334" s="37">
        <v>0.0</v>
      </c>
      <c r="CL334" s="36">
        <v>3812.0</v>
      </c>
      <c r="CM334" s="38">
        <v>0.0</v>
      </c>
      <c r="CN334" s="36">
        <v>0.0</v>
      </c>
      <c r="CO334" s="39">
        <v>0.0</v>
      </c>
      <c r="CP334" s="40">
        <v>0.0</v>
      </c>
      <c r="CQ334" s="36">
        <v>0.0</v>
      </c>
      <c r="CR334" s="36">
        <v>0.0</v>
      </c>
      <c r="CS334" s="36">
        <v>0.0</v>
      </c>
      <c r="CT334" s="41"/>
      <c r="CU334" s="42"/>
      <c r="CV334" s="43"/>
      <c r="CW334" s="44">
        <v>10.0</v>
      </c>
      <c r="CX334" s="44" t="s">
        <v>138</v>
      </c>
      <c r="CY334" s="44" t="s">
        <v>139</v>
      </c>
      <c r="CZ334" s="45"/>
      <c r="DA334" s="43"/>
      <c r="DB334" s="44">
        <v>0.0</v>
      </c>
      <c r="DC334" s="43"/>
      <c r="DD334" s="78"/>
      <c r="DE334" s="43"/>
      <c r="DF334" s="43"/>
      <c r="DG334" s="48" t="s">
        <v>128</v>
      </c>
      <c r="DH334" s="48" t="s">
        <v>128</v>
      </c>
      <c r="DI334" s="48" t="s">
        <v>343</v>
      </c>
      <c r="DJ334" s="51"/>
      <c r="DK334" s="48" t="b">
        <v>0</v>
      </c>
      <c r="DL334" s="50" t="s">
        <v>832</v>
      </c>
      <c r="DM334" s="50" t="s">
        <v>128</v>
      </c>
      <c r="DN334" s="50" t="s">
        <v>833</v>
      </c>
      <c r="DO334" s="49">
        <v>0.93</v>
      </c>
      <c r="DP334" s="51"/>
      <c r="DQ334" s="48" t="s">
        <v>197</v>
      </c>
      <c r="DR334" s="51"/>
      <c r="DS334" s="48" t="s">
        <v>134</v>
      </c>
    </row>
    <row r="335">
      <c r="A335" s="52" t="s">
        <v>118</v>
      </c>
      <c r="B335" s="53">
        <v>6.0</v>
      </c>
      <c r="C335" s="52" t="s">
        <v>747</v>
      </c>
      <c r="D335" s="53">
        <v>648801.0</v>
      </c>
      <c r="E335" s="52" t="s">
        <v>198</v>
      </c>
      <c r="F335" s="52" t="s">
        <v>885</v>
      </c>
      <c r="G335" s="52" t="s">
        <v>886</v>
      </c>
      <c r="H335" s="53">
        <v>48398.0</v>
      </c>
      <c r="I335" s="53">
        <v>2.0</v>
      </c>
      <c r="J335" s="53">
        <v>0.0</v>
      </c>
      <c r="K335" s="53">
        <v>0.0</v>
      </c>
      <c r="L335" s="53">
        <v>0.0</v>
      </c>
      <c r="M335" s="53">
        <v>0.0</v>
      </c>
      <c r="N335" s="53">
        <v>0.0</v>
      </c>
      <c r="O335" s="53">
        <v>0.0</v>
      </c>
      <c r="P335" s="53">
        <v>0.0</v>
      </c>
      <c r="Q335" s="53">
        <v>0.0</v>
      </c>
      <c r="R335" s="53">
        <v>0.0</v>
      </c>
      <c r="S335" s="53">
        <v>0.0</v>
      </c>
      <c r="T335" s="53">
        <v>0.0</v>
      </c>
      <c r="U335" s="53">
        <v>0.0</v>
      </c>
      <c r="V335" s="53">
        <v>0.0</v>
      </c>
      <c r="W335" s="53">
        <v>0.0</v>
      </c>
      <c r="X335" s="53">
        <v>0.0</v>
      </c>
      <c r="Y335" s="53">
        <v>1.0</v>
      </c>
      <c r="Z335" s="53">
        <v>0.0</v>
      </c>
      <c r="AA335" s="53">
        <v>0.0</v>
      </c>
      <c r="AB335" s="53">
        <v>0.0</v>
      </c>
      <c r="AC335" s="53">
        <v>0.0</v>
      </c>
      <c r="AD335" s="53">
        <v>0.0</v>
      </c>
      <c r="AE335" s="53">
        <v>0.0</v>
      </c>
      <c r="AF335" s="53">
        <v>0.0</v>
      </c>
      <c r="AG335" s="53">
        <v>0.0</v>
      </c>
      <c r="AH335" s="53">
        <v>0.0</v>
      </c>
      <c r="AI335" s="53">
        <v>1.0</v>
      </c>
      <c r="AJ335" s="53">
        <v>0.0</v>
      </c>
      <c r="AK335" s="53">
        <v>0.0</v>
      </c>
      <c r="AL335" s="53">
        <v>0.0</v>
      </c>
      <c r="AM335" s="53">
        <v>0.0</v>
      </c>
      <c r="AN335" s="53">
        <v>0.0</v>
      </c>
      <c r="AO335" s="25">
        <v>23.8</v>
      </c>
      <c r="AP335" s="54"/>
      <c r="AQ335" s="54"/>
      <c r="AR335" s="54"/>
      <c r="AS335" s="54"/>
      <c r="AT335" s="54"/>
      <c r="AU335" s="54"/>
      <c r="AV335" s="54"/>
      <c r="AW335" s="54"/>
      <c r="AX335" s="54"/>
      <c r="AY335" s="54"/>
      <c r="AZ335" s="54"/>
      <c r="BA335" s="54"/>
      <c r="BB335" s="54"/>
      <c r="BC335" s="54"/>
      <c r="BD335" s="54"/>
      <c r="BE335" s="53">
        <v>17.07</v>
      </c>
      <c r="BF335" s="54"/>
      <c r="BG335" s="54"/>
      <c r="BH335" s="54"/>
      <c r="BI335" s="54"/>
      <c r="BJ335" s="54"/>
      <c r="BK335" s="54"/>
      <c r="BL335" s="54"/>
      <c r="BM335" s="54"/>
      <c r="BN335" s="54"/>
      <c r="BO335" s="53">
        <v>0.51</v>
      </c>
      <c r="BP335" s="53">
        <v>0.8</v>
      </c>
      <c r="BQ335" s="53">
        <v>5.6</v>
      </c>
      <c r="BR335" s="53">
        <v>6.22</v>
      </c>
      <c r="BS335" s="25">
        <v>11.48</v>
      </c>
      <c r="BT335" s="56">
        <v>30.5</v>
      </c>
      <c r="BU335" s="25">
        <v>17.4</v>
      </c>
      <c r="BV335" s="25">
        <v>7.77</v>
      </c>
      <c r="BW335" s="54"/>
      <c r="BX335" s="53">
        <v>3000.0</v>
      </c>
      <c r="BY335" s="53" t="s">
        <v>123</v>
      </c>
      <c r="BZ335" s="58">
        <v>2700.0</v>
      </c>
      <c r="CA335" s="29" t="s">
        <v>124</v>
      </c>
      <c r="CB335" s="30">
        <v>3000.0</v>
      </c>
      <c r="CC335" s="31"/>
      <c r="CD335" s="58">
        <v>3000.0</v>
      </c>
      <c r="CE335" s="59" t="e">
        <v>#REF!</v>
      </c>
      <c r="CF335" s="60"/>
      <c r="CG335" s="61">
        <v>0.0</v>
      </c>
      <c r="CH335" s="62">
        <v>0.0</v>
      </c>
      <c r="CI335" s="63">
        <v>2.0</v>
      </c>
      <c r="CJ335" s="63">
        <v>3619.0</v>
      </c>
      <c r="CK335" s="64">
        <v>-8.0</v>
      </c>
      <c r="CL335" s="63">
        <v>3611.0</v>
      </c>
      <c r="CM335" s="65">
        <v>48.0</v>
      </c>
      <c r="CN335" s="63">
        <v>0.0</v>
      </c>
      <c r="CO335" s="66">
        <v>23.8</v>
      </c>
      <c r="CP335" s="67">
        <v>0.0</v>
      </c>
      <c r="CQ335" s="63">
        <v>2.0</v>
      </c>
      <c r="CR335" s="63">
        <v>2.0</v>
      </c>
      <c r="CS335" s="63">
        <v>23.0</v>
      </c>
      <c r="CT335" s="68"/>
      <c r="CU335" s="69"/>
      <c r="CV335" s="70"/>
      <c r="CW335" s="71">
        <v>10.0</v>
      </c>
      <c r="CX335" s="71" t="s">
        <v>138</v>
      </c>
      <c r="CY335" s="71" t="s">
        <v>139</v>
      </c>
      <c r="CZ335" s="45"/>
      <c r="DA335" s="44">
        <v>3000.0</v>
      </c>
      <c r="DB335" s="44">
        <v>0.0</v>
      </c>
      <c r="DC335" s="46" t="s">
        <v>127</v>
      </c>
      <c r="DD335" s="47">
        <v>46218.0</v>
      </c>
      <c r="DE335" s="43"/>
      <c r="DF335" s="43"/>
      <c r="DG335" s="48" t="s">
        <v>128</v>
      </c>
      <c r="DH335" s="48" t="s">
        <v>128</v>
      </c>
      <c r="DI335" s="48" t="s">
        <v>128</v>
      </c>
      <c r="DJ335" s="49">
        <v>1.0</v>
      </c>
      <c r="DK335" s="48" t="b">
        <v>0</v>
      </c>
      <c r="DL335" s="50" t="s">
        <v>887</v>
      </c>
      <c r="DM335" s="50" t="s">
        <v>128</v>
      </c>
      <c r="DN335" s="50" t="s">
        <v>888</v>
      </c>
      <c r="DO335" s="49">
        <v>0.94</v>
      </c>
      <c r="DP335" s="48" t="s">
        <v>128</v>
      </c>
      <c r="DQ335" s="48" t="s">
        <v>417</v>
      </c>
      <c r="DR335" s="51"/>
      <c r="DS335" s="48" t="s">
        <v>134</v>
      </c>
    </row>
    <row r="336">
      <c r="A336" s="23" t="s">
        <v>118</v>
      </c>
      <c r="B336" s="24">
        <v>6.0</v>
      </c>
      <c r="C336" s="23" t="s">
        <v>747</v>
      </c>
      <c r="D336" s="24">
        <v>631195.0</v>
      </c>
      <c r="E336" s="23" t="s">
        <v>140</v>
      </c>
      <c r="F336" s="23" t="s">
        <v>889</v>
      </c>
      <c r="G336" s="23" t="s">
        <v>890</v>
      </c>
      <c r="H336" s="24">
        <v>48398.0</v>
      </c>
      <c r="I336" s="24">
        <v>6.0</v>
      </c>
      <c r="J336" s="24">
        <v>0.0</v>
      </c>
      <c r="K336" s="24">
        <v>0.0</v>
      </c>
      <c r="L336" s="24">
        <v>0.0</v>
      </c>
      <c r="M336" s="24">
        <v>0.0</v>
      </c>
      <c r="N336" s="24">
        <v>0.0</v>
      </c>
      <c r="O336" s="24">
        <v>0.0</v>
      </c>
      <c r="P336" s="24">
        <v>0.0</v>
      </c>
      <c r="Q336" s="24">
        <v>0.0</v>
      </c>
      <c r="R336" s="24">
        <v>0.0</v>
      </c>
      <c r="S336" s="24">
        <v>0.0</v>
      </c>
      <c r="T336" s="24">
        <v>0.0</v>
      </c>
      <c r="U336" s="24">
        <v>0.0</v>
      </c>
      <c r="V336" s="24">
        <v>0.0</v>
      </c>
      <c r="W336" s="24">
        <v>0.0</v>
      </c>
      <c r="X336" s="24">
        <v>0.0</v>
      </c>
      <c r="Y336" s="24">
        <v>1.0</v>
      </c>
      <c r="Z336" s="24">
        <v>0.0</v>
      </c>
      <c r="AA336" s="24">
        <v>0.0</v>
      </c>
      <c r="AB336" s="24">
        <v>1.0</v>
      </c>
      <c r="AC336" s="24">
        <v>1.0</v>
      </c>
      <c r="AD336" s="24">
        <v>0.0</v>
      </c>
      <c r="AE336" s="24">
        <v>1.0</v>
      </c>
      <c r="AF336" s="24">
        <v>0.0</v>
      </c>
      <c r="AG336" s="24">
        <v>0.0</v>
      </c>
      <c r="AH336" s="24">
        <v>1.0</v>
      </c>
      <c r="AI336" s="24">
        <v>0.0</v>
      </c>
      <c r="AJ336" s="24">
        <v>0.0</v>
      </c>
      <c r="AK336" s="24">
        <v>0.0</v>
      </c>
      <c r="AL336" s="24">
        <v>0.0</v>
      </c>
      <c r="AM336" s="24">
        <v>0.0</v>
      </c>
      <c r="AN336" s="24">
        <v>1.0</v>
      </c>
      <c r="AO336" s="25">
        <v>19.4</v>
      </c>
      <c r="AP336" s="26"/>
      <c r="AQ336" s="26"/>
      <c r="AR336" s="26"/>
      <c r="AS336" s="26"/>
      <c r="AT336" s="26"/>
      <c r="AU336" s="26"/>
      <c r="AV336" s="26"/>
      <c r="AW336" s="26"/>
      <c r="AX336" s="26"/>
      <c r="AY336" s="26"/>
      <c r="AZ336" s="26"/>
      <c r="BA336" s="26"/>
      <c r="BB336" s="26"/>
      <c r="BC336" s="26"/>
      <c r="BD336" s="26"/>
      <c r="BE336" s="24">
        <v>14.15</v>
      </c>
      <c r="BF336" s="26"/>
      <c r="BG336" s="26"/>
      <c r="BH336" s="24">
        <v>21.38</v>
      </c>
      <c r="BI336" s="24">
        <v>19.33</v>
      </c>
      <c r="BJ336" s="26"/>
      <c r="BK336" s="24">
        <v>29.3</v>
      </c>
      <c r="BL336" s="26"/>
      <c r="BM336" s="26"/>
      <c r="BN336" s="24">
        <v>14.67</v>
      </c>
      <c r="BO336" s="24">
        <v>0.29</v>
      </c>
      <c r="BP336" s="24">
        <v>0.67</v>
      </c>
      <c r="BQ336" s="24">
        <v>5.09</v>
      </c>
      <c r="BR336" s="24">
        <v>5.56</v>
      </c>
      <c r="BS336" s="25">
        <v>7.45</v>
      </c>
      <c r="BT336" s="56">
        <v>25.3</v>
      </c>
      <c r="BU336" s="25">
        <v>16.0</v>
      </c>
      <c r="BV336" s="57">
        <v>4.16</v>
      </c>
      <c r="BW336" s="26"/>
      <c r="BX336" s="24">
        <v>3000.0</v>
      </c>
      <c r="BY336" s="24" t="s">
        <v>123</v>
      </c>
      <c r="BZ336" s="28">
        <v>2700.0</v>
      </c>
      <c r="CA336" s="29" t="s">
        <v>124</v>
      </c>
      <c r="CB336" s="30">
        <v>3000.0</v>
      </c>
      <c r="CC336" s="31"/>
      <c r="CD336" s="28">
        <v>3000.0</v>
      </c>
      <c r="CE336" s="32" t="e">
        <v>#REF!</v>
      </c>
      <c r="CF336" s="33"/>
      <c r="CG336" s="34">
        <v>0.0</v>
      </c>
      <c r="CH336" s="35">
        <v>0.0</v>
      </c>
      <c r="CI336" s="36">
        <v>6.0</v>
      </c>
      <c r="CJ336" s="36">
        <v>3619.0</v>
      </c>
      <c r="CK336" s="37">
        <v>-8.0</v>
      </c>
      <c r="CL336" s="36">
        <v>3611.0</v>
      </c>
      <c r="CM336" s="38">
        <v>116.0</v>
      </c>
      <c r="CN336" s="36">
        <v>0.0</v>
      </c>
      <c r="CO336" s="39">
        <v>19.4</v>
      </c>
      <c r="CP336" s="40">
        <v>0.0</v>
      </c>
      <c r="CQ336" s="36">
        <v>4.0</v>
      </c>
      <c r="CR336" s="36">
        <v>4.0</v>
      </c>
      <c r="CS336" s="36">
        <v>45.0</v>
      </c>
      <c r="CT336" s="41"/>
      <c r="CU336" s="42"/>
      <c r="CV336" s="43"/>
      <c r="CW336" s="44">
        <v>10.0</v>
      </c>
      <c r="CX336" s="44" t="s">
        <v>138</v>
      </c>
      <c r="CY336" s="44" t="s">
        <v>139</v>
      </c>
      <c r="CZ336" s="45"/>
      <c r="DA336" s="44">
        <v>3000.0</v>
      </c>
      <c r="DB336" s="44">
        <v>0.0</v>
      </c>
      <c r="DC336" s="46" t="s">
        <v>127</v>
      </c>
      <c r="DD336" s="47">
        <v>46228.0</v>
      </c>
      <c r="DE336" s="43"/>
      <c r="DF336" s="43"/>
      <c r="DG336" s="48" t="s">
        <v>128</v>
      </c>
      <c r="DH336" s="48" t="s">
        <v>128</v>
      </c>
      <c r="DI336" s="48" t="s">
        <v>128</v>
      </c>
      <c r="DJ336" s="49">
        <v>0.0</v>
      </c>
      <c r="DK336" s="48" t="b">
        <v>0</v>
      </c>
      <c r="DL336" s="50" t="s">
        <v>887</v>
      </c>
      <c r="DM336" s="50" t="s">
        <v>128</v>
      </c>
      <c r="DN336" s="50" t="s">
        <v>888</v>
      </c>
      <c r="DO336" s="49">
        <v>0.94</v>
      </c>
      <c r="DP336" s="48" t="s">
        <v>128</v>
      </c>
      <c r="DQ336" s="48" t="s">
        <v>128</v>
      </c>
      <c r="DR336" s="51"/>
      <c r="DS336" s="48" t="s">
        <v>134</v>
      </c>
    </row>
    <row r="337">
      <c r="A337" s="52" t="s">
        <v>118</v>
      </c>
      <c r="B337" s="53">
        <v>6.0</v>
      </c>
      <c r="C337" s="52" t="s">
        <v>747</v>
      </c>
      <c r="D337" s="53">
        <v>536832.0</v>
      </c>
      <c r="E337" s="52" t="s">
        <v>158</v>
      </c>
      <c r="F337" s="52" t="s">
        <v>891</v>
      </c>
      <c r="G337" s="52" t="s">
        <v>892</v>
      </c>
      <c r="H337" s="53">
        <v>48398.0</v>
      </c>
      <c r="I337" s="53">
        <v>17.0</v>
      </c>
      <c r="J337" s="53">
        <v>0.0</v>
      </c>
      <c r="K337" s="53">
        <v>0.0</v>
      </c>
      <c r="L337" s="53">
        <v>0.0</v>
      </c>
      <c r="M337" s="53">
        <v>0.0</v>
      </c>
      <c r="N337" s="53">
        <v>0.0</v>
      </c>
      <c r="O337" s="53">
        <v>0.0</v>
      </c>
      <c r="P337" s="53">
        <v>0.0</v>
      </c>
      <c r="Q337" s="53">
        <v>1.0</v>
      </c>
      <c r="R337" s="53">
        <v>1.0</v>
      </c>
      <c r="S337" s="53">
        <v>1.0</v>
      </c>
      <c r="T337" s="53">
        <v>0.0</v>
      </c>
      <c r="U337" s="53">
        <v>0.0</v>
      </c>
      <c r="V337" s="53">
        <v>3.0</v>
      </c>
      <c r="W337" s="53">
        <v>0.0</v>
      </c>
      <c r="X337" s="53">
        <v>1.0</v>
      </c>
      <c r="Y337" s="53">
        <v>0.0</v>
      </c>
      <c r="Z337" s="53">
        <v>1.0</v>
      </c>
      <c r="AA337" s="53">
        <v>3.0</v>
      </c>
      <c r="AB337" s="53">
        <v>0.0</v>
      </c>
      <c r="AC337" s="53">
        <v>1.0</v>
      </c>
      <c r="AD337" s="53">
        <v>0.0</v>
      </c>
      <c r="AE337" s="53">
        <v>0.0</v>
      </c>
      <c r="AF337" s="53">
        <v>0.0</v>
      </c>
      <c r="AG337" s="53">
        <v>1.0</v>
      </c>
      <c r="AH337" s="53">
        <v>1.0</v>
      </c>
      <c r="AI337" s="53">
        <v>0.0</v>
      </c>
      <c r="AJ337" s="53">
        <v>2.0</v>
      </c>
      <c r="AK337" s="53">
        <v>0.0</v>
      </c>
      <c r="AL337" s="53">
        <v>0.0</v>
      </c>
      <c r="AM337" s="53">
        <v>0.0</v>
      </c>
      <c r="AN337" s="53">
        <v>1.0</v>
      </c>
      <c r="AO337" s="25">
        <v>18.4</v>
      </c>
      <c r="AP337" s="54"/>
      <c r="AQ337" s="54"/>
      <c r="AR337" s="54"/>
      <c r="AS337" s="54"/>
      <c r="AT337" s="54"/>
      <c r="AU337" s="54"/>
      <c r="AV337" s="54"/>
      <c r="AW337" s="53">
        <v>16.6</v>
      </c>
      <c r="AX337" s="53">
        <v>13.43</v>
      </c>
      <c r="AY337" s="53">
        <v>18.87</v>
      </c>
      <c r="AZ337" s="54"/>
      <c r="BA337" s="54"/>
      <c r="BB337" s="53">
        <v>15.07</v>
      </c>
      <c r="BC337" s="54"/>
      <c r="BD337" s="53">
        <v>15.4</v>
      </c>
      <c r="BE337" s="54"/>
      <c r="BF337" s="53">
        <v>15.55</v>
      </c>
      <c r="BG337" s="53">
        <v>20.72</v>
      </c>
      <c r="BH337" s="54"/>
      <c r="BI337" s="53">
        <v>15.4</v>
      </c>
      <c r="BJ337" s="54"/>
      <c r="BK337" s="54"/>
      <c r="BL337" s="54"/>
      <c r="BM337" s="53">
        <v>29.45</v>
      </c>
      <c r="BN337" s="53">
        <v>22.43</v>
      </c>
      <c r="BO337" s="53">
        <v>0.33</v>
      </c>
      <c r="BP337" s="53">
        <v>0.88</v>
      </c>
      <c r="BQ337" s="53">
        <v>5.9</v>
      </c>
      <c r="BR337" s="53">
        <v>6.59</v>
      </c>
      <c r="BS337" s="25">
        <v>6.5</v>
      </c>
      <c r="BT337" s="56">
        <v>21.8</v>
      </c>
      <c r="BU337" s="25">
        <v>6.6</v>
      </c>
      <c r="BV337" s="25">
        <v>7.55</v>
      </c>
      <c r="BW337" s="54"/>
      <c r="BX337" s="53">
        <v>3000.0</v>
      </c>
      <c r="BY337" s="53" t="s">
        <v>123</v>
      </c>
      <c r="BZ337" s="58">
        <v>2700.0</v>
      </c>
      <c r="CA337" s="29" t="s">
        <v>124</v>
      </c>
      <c r="CB337" s="30">
        <v>3000.0</v>
      </c>
      <c r="CC337" s="31"/>
      <c r="CD337" s="58">
        <v>3000.0</v>
      </c>
      <c r="CE337" s="59" t="e">
        <v>#REF!</v>
      </c>
      <c r="CF337" s="60"/>
      <c r="CG337" s="61">
        <v>0.0</v>
      </c>
      <c r="CH337" s="62">
        <v>0.0</v>
      </c>
      <c r="CI337" s="63">
        <v>17.0</v>
      </c>
      <c r="CJ337" s="63">
        <v>3619.0</v>
      </c>
      <c r="CK337" s="64">
        <v>-8.0</v>
      </c>
      <c r="CL337" s="63">
        <v>3611.0</v>
      </c>
      <c r="CM337" s="65">
        <v>313.0</v>
      </c>
      <c r="CN337" s="63">
        <v>0.0</v>
      </c>
      <c r="CO337" s="66">
        <v>18.4</v>
      </c>
      <c r="CP337" s="67">
        <v>0.0</v>
      </c>
      <c r="CQ337" s="63">
        <v>15.0</v>
      </c>
      <c r="CR337" s="63">
        <v>15.0</v>
      </c>
      <c r="CS337" s="63">
        <v>111.0</v>
      </c>
      <c r="CT337" s="68"/>
      <c r="CU337" s="69"/>
      <c r="CV337" s="70"/>
      <c r="CW337" s="71">
        <v>10.0</v>
      </c>
      <c r="CX337" s="71" t="s">
        <v>138</v>
      </c>
      <c r="CY337" s="71" t="s">
        <v>139</v>
      </c>
      <c r="CZ337" s="45"/>
      <c r="DA337" s="44">
        <v>3000.0</v>
      </c>
      <c r="DB337" s="44">
        <v>0.0</v>
      </c>
      <c r="DC337" s="46" t="s">
        <v>127</v>
      </c>
      <c r="DD337" s="47">
        <v>46245.0</v>
      </c>
      <c r="DE337" s="43"/>
      <c r="DF337" s="43"/>
      <c r="DG337" s="48" t="s">
        <v>128</v>
      </c>
      <c r="DH337" s="48" t="s">
        <v>128</v>
      </c>
      <c r="DI337" s="48" t="s">
        <v>128</v>
      </c>
      <c r="DJ337" s="49">
        <v>1.0</v>
      </c>
      <c r="DK337" s="48" t="b">
        <v>0</v>
      </c>
      <c r="DL337" s="50" t="s">
        <v>887</v>
      </c>
      <c r="DM337" s="50" t="s">
        <v>128</v>
      </c>
      <c r="DN337" s="50" t="s">
        <v>888</v>
      </c>
      <c r="DO337" s="49">
        <v>0.94</v>
      </c>
      <c r="DP337" s="48" t="s">
        <v>128</v>
      </c>
      <c r="DQ337" s="48" t="s">
        <v>128</v>
      </c>
      <c r="DR337" s="51"/>
      <c r="DS337" s="48" t="s">
        <v>134</v>
      </c>
    </row>
    <row r="338">
      <c r="A338" s="23" t="s">
        <v>118</v>
      </c>
      <c r="B338" s="24">
        <v>6.0</v>
      </c>
      <c r="C338" s="23" t="s">
        <v>747</v>
      </c>
      <c r="D338" s="24">
        <v>626041.0</v>
      </c>
      <c r="E338" s="23" t="s">
        <v>135</v>
      </c>
      <c r="F338" s="23" t="s">
        <v>893</v>
      </c>
      <c r="G338" s="23" t="s">
        <v>894</v>
      </c>
      <c r="H338" s="24">
        <v>48398.0</v>
      </c>
      <c r="I338" s="24">
        <v>23.0</v>
      </c>
      <c r="J338" s="24">
        <v>0.0</v>
      </c>
      <c r="K338" s="24">
        <v>0.0</v>
      </c>
      <c r="L338" s="24">
        <v>0.0</v>
      </c>
      <c r="M338" s="24">
        <v>0.0</v>
      </c>
      <c r="N338" s="24">
        <v>1.0</v>
      </c>
      <c r="O338" s="24">
        <v>0.0</v>
      </c>
      <c r="P338" s="24">
        <v>0.0</v>
      </c>
      <c r="Q338" s="24">
        <v>0.0</v>
      </c>
      <c r="R338" s="24">
        <v>0.0</v>
      </c>
      <c r="S338" s="24">
        <v>0.0</v>
      </c>
      <c r="T338" s="24">
        <v>2.0</v>
      </c>
      <c r="U338" s="24">
        <v>1.0</v>
      </c>
      <c r="V338" s="24">
        <v>0.0</v>
      </c>
      <c r="W338" s="24">
        <v>1.0</v>
      </c>
      <c r="X338" s="24">
        <v>1.0</v>
      </c>
      <c r="Y338" s="24">
        <v>2.0</v>
      </c>
      <c r="Z338" s="24">
        <v>0.0</v>
      </c>
      <c r="AA338" s="24">
        <v>1.0</v>
      </c>
      <c r="AB338" s="24">
        <v>1.0</v>
      </c>
      <c r="AC338" s="24">
        <v>0.0</v>
      </c>
      <c r="AD338" s="24">
        <v>0.0</v>
      </c>
      <c r="AE338" s="24">
        <v>1.0</v>
      </c>
      <c r="AF338" s="24">
        <v>1.0</v>
      </c>
      <c r="AG338" s="24">
        <v>2.0</v>
      </c>
      <c r="AH338" s="24">
        <v>0.0</v>
      </c>
      <c r="AI338" s="24">
        <v>3.0</v>
      </c>
      <c r="AJ338" s="24">
        <v>1.0</v>
      </c>
      <c r="AK338" s="24">
        <v>1.0</v>
      </c>
      <c r="AL338" s="24">
        <v>1.0</v>
      </c>
      <c r="AM338" s="24">
        <v>2.0</v>
      </c>
      <c r="AN338" s="24">
        <v>1.0</v>
      </c>
      <c r="AO338" s="25">
        <v>19.5</v>
      </c>
      <c r="AP338" s="26"/>
      <c r="AQ338" s="26"/>
      <c r="AR338" s="26"/>
      <c r="AS338" s="26"/>
      <c r="AT338" s="24">
        <v>0.0</v>
      </c>
      <c r="AU338" s="26"/>
      <c r="AV338" s="26"/>
      <c r="AW338" s="26"/>
      <c r="AX338" s="26"/>
      <c r="AY338" s="26"/>
      <c r="AZ338" s="24">
        <v>19.1</v>
      </c>
      <c r="BA338" s="24">
        <v>24.2</v>
      </c>
      <c r="BB338" s="26"/>
      <c r="BC338" s="24">
        <v>12.6</v>
      </c>
      <c r="BD338" s="24">
        <v>22.25</v>
      </c>
      <c r="BE338" s="24">
        <v>23.88</v>
      </c>
      <c r="BF338" s="26"/>
      <c r="BG338" s="24">
        <v>28.68</v>
      </c>
      <c r="BH338" s="24">
        <v>19.67</v>
      </c>
      <c r="BI338" s="26"/>
      <c r="BJ338" s="26"/>
      <c r="BK338" s="24">
        <v>27.78</v>
      </c>
      <c r="BL338" s="24">
        <v>14.73</v>
      </c>
      <c r="BM338" s="24">
        <v>13.81</v>
      </c>
      <c r="BN338" s="26"/>
      <c r="BO338" s="24">
        <v>0.33</v>
      </c>
      <c r="BP338" s="24">
        <v>1.74</v>
      </c>
      <c r="BQ338" s="24">
        <v>5.45</v>
      </c>
      <c r="BR338" s="24">
        <v>6.99</v>
      </c>
      <c r="BS338" s="25">
        <v>6.48</v>
      </c>
      <c r="BT338" s="56">
        <v>19.3</v>
      </c>
      <c r="BU338" s="25">
        <v>5.4</v>
      </c>
      <c r="BV338" s="55">
        <v>6.67</v>
      </c>
      <c r="BW338" s="26"/>
      <c r="BX338" s="24">
        <v>3000.0</v>
      </c>
      <c r="BY338" s="24" t="s">
        <v>123</v>
      </c>
      <c r="BZ338" s="28">
        <v>2700.0</v>
      </c>
      <c r="CA338" s="29" t="s">
        <v>124</v>
      </c>
      <c r="CB338" s="30">
        <v>3000.0</v>
      </c>
      <c r="CC338" s="112"/>
      <c r="CD338" s="28">
        <v>3000.0</v>
      </c>
      <c r="CE338" s="32" t="e">
        <v>#REF!</v>
      </c>
      <c r="CF338" s="33"/>
      <c r="CG338" s="34">
        <v>0.0</v>
      </c>
      <c r="CH338" s="35">
        <v>0.0</v>
      </c>
      <c r="CI338" s="36">
        <v>23.0</v>
      </c>
      <c r="CJ338" s="36">
        <v>3619.0</v>
      </c>
      <c r="CK338" s="37">
        <v>-8.0</v>
      </c>
      <c r="CL338" s="36">
        <v>3611.0</v>
      </c>
      <c r="CM338" s="38">
        <v>449.0</v>
      </c>
      <c r="CN338" s="36">
        <v>0.0</v>
      </c>
      <c r="CO338" s="39">
        <v>19.5</v>
      </c>
      <c r="CP338" s="40">
        <v>0.0</v>
      </c>
      <c r="CQ338" s="36">
        <v>40.0</v>
      </c>
      <c r="CR338" s="36">
        <v>40.0</v>
      </c>
      <c r="CS338" s="36">
        <v>149.0</v>
      </c>
      <c r="CT338" s="41"/>
      <c r="CU338" s="42"/>
      <c r="CV338" s="43"/>
      <c r="CW338" s="44">
        <v>10.0</v>
      </c>
      <c r="CX338" s="44" t="s">
        <v>138</v>
      </c>
      <c r="CY338" s="44" t="s">
        <v>139</v>
      </c>
      <c r="CZ338" s="72"/>
      <c r="DA338" s="44">
        <v>3000.0</v>
      </c>
      <c r="DB338" s="44">
        <v>0.0</v>
      </c>
      <c r="DC338" s="46" t="s">
        <v>127</v>
      </c>
      <c r="DD338" s="47">
        <v>46218.0</v>
      </c>
      <c r="DE338" s="43"/>
      <c r="DF338" s="43"/>
      <c r="DG338" s="48" t="s">
        <v>128</v>
      </c>
      <c r="DH338" s="48" t="s">
        <v>128</v>
      </c>
      <c r="DI338" s="48" t="s">
        <v>128</v>
      </c>
      <c r="DJ338" s="49">
        <v>1.0</v>
      </c>
      <c r="DK338" s="48" t="b">
        <v>0</v>
      </c>
      <c r="DL338" s="50" t="s">
        <v>887</v>
      </c>
      <c r="DM338" s="50" t="s">
        <v>128</v>
      </c>
      <c r="DN338" s="50" t="s">
        <v>888</v>
      </c>
      <c r="DO338" s="49">
        <v>0.94</v>
      </c>
      <c r="DP338" s="48" t="s">
        <v>128</v>
      </c>
      <c r="DQ338" s="48" t="s">
        <v>128</v>
      </c>
      <c r="DR338" s="51"/>
      <c r="DS338" s="48" t="s">
        <v>134</v>
      </c>
    </row>
    <row r="339">
      <c r="A339" s="52" t="s">
        <v>118</v>
      </c>
      <c r="B339" s="53">
        <v>6.0</v>
      </c>
      <c r="C339" s="52" t="s">
        <v>747</v>
      </c>
      <c r="D339" s="53">
        <v>640888.0</v>
      </c>
      <c r="E339" s="52" t="s">
        <v>161</v>
      </c>
      <c r="F339" s="52" t="s">
        <v>895</v>
      </c>
      <c r="G339" s="52" t="s">
        <v>896</v>
      </c>
      <c r="H339" s="53">
        <v>48398.0</v>
      </c>
      <c r="I339" s="53">
        <v>13.0</v>
      </c>
      <c r="J339" s="53">
        <v>0.0</v>
      </c>
      <c r="K339" s="53">
        <v>0.0</v>
      </c>
      <c r="L339" s="53">
        <v>0.0</v>
      </c>
      <c r="M339" s="53">
        <v>0.0</v>
      </c>
      <c r="N339" s="53">
        <v>0.0</v>
      </c>
      <c r="O339" s="53">
        <v>0.0</v>
      </c>
      <c r="P339" s="53">
        <v>0.0</v>
      </c>
      <c r="Q339" s="53">
        <v>0.0</v>
      </c>
      <c r="R339" s="53">
        <v>0.0</v>
      </c>
      <c r="S339" s="53">
        <v>0.0</v>
      </c>
      <c r="T339" s="53">
        <v>1.0</v>
      </c>
      <c r="U339" s="53">
        <v>0.0</v>
      </c>
      <c r="V339" s="53">
        <v>0.0</v>
      </c>
      <c r="W339" s="53">
        <v>0.0</v>
      </c>
      <c r="X339" s="53">
        <v>0.0</v>
      </c>
      <c r="Y339" s="53">
        <v>0.0</v>
      </c>
      <c r="Z339" s="53">
        <v>3.0</v>
      </c>
      <c r="AA339" s="53">
        <v>1.0</v>
      </c>
      <c r="AB339" s="53">
        <v>1.0</v>
      </c>
      <c r="AC339" s="53">
        <v>1.0</v>
      </c>
      <c r="AD339" s="53">
        <v>0.0</v>
      </c>
      <c r="AE339" s="53">
        <v>0.0</v>
      </c>
      <c r="AF339" s="53">
        <v>0.0</v>
      </c>
      <c r="AG339" s="53">
        <v>2.0</v>
      </c>
      <c r="AH339" s="53">
        <v>0.0</v>
      </c>
      <c r="AI339" s="53">
        <v>0.0</v>
      </c>
      <c r="AJ339" s="53">
        <v>2.0</v>
      </c>
      <c r="AK339" s="53">
        <v>0.0</v>
      </c>
      <c r="AL339" s="53">
        <v>2.0</v>
      </c>
      <c r="AM339" s="53">
        <v>0.0</v>
      </c>
      <c r="AN339" s="53">
        <v>0.0</v>
      </c>
      <c r="AO339" s="25">
        <v>20.0</v>
      </c>
      <c r="AP339" s="54"/>
      <c r="AQ339" s="54"/>
      <c r="AR339" s="54"/>
      <c r="AS339" s="54"/>
      <c r="AT339" s="54"/>
      <c r="AU339" s="54"/>
      <c r="AV339" s="54"/>
      <c r="AW339" s="54"/>
      <c r="AX339" s="54"/>
      <c r="AY339" s="54"/>
      <c r="AZ339" s="53">
        <v>19.28</v>
      </c>
      <c r="BA339" s="54"/>
      <c r="BB339" s="54"/>
      <c r="BC339" s="54"/>
      <c r="BD339" s="54"/>
      <c r="BE339" s="54"/>
      <c r="BF339" s="53">
        <v>16.41</v>
      </c>
      <c r="BG339" s="53">
        <v>27.63</v>
      </c>
      <c r="BH339" s="53">
        <v>17.73</v>
      </c>
      <c r="BI339" s="53">
        <v>15.87</v>
      </c>
      <c r="BJ339" s="54"/>
      <c r="BK339" s="54"/>
      <c r="BL339" s="54"/>
      <c r="BM339" s="53">
        <v>22.02</v>
      </c>
      <c r="BN339" s="54"/>
      <c r="BO339" s="53">
        <v>0.36</v>
      </c>
      <c r="BP339" s="53">
        <v>0.91</v>
      </c>
      <c r="BQ339" s="53">
        <v>6.3</v>
      </c>
      <c r="BR339" s="53">
        <v>7.01</v>
      </c>
      <c r="BS339" s="25">
        <v>5.82</v>
      </c>
      <c r="BT339" s="56">
        <v>22.8</v>
      </c>
      <c r="BU339" s="25">
        <v>7.9</v>
      </c>
      <c r="BV339" s="25">
        <v>7.47</v>
      </c>
      <c r="BW339" s="54"/>
      <c r="BX339" s="53">
        <v>3000.0</v>
      </c>
      <c r="BY339" s="53" t="s">
        <v>123</v>
      </c>
      <c r="BZ339" s="58">
        <v>2700.0</v>
      </c>
      <c r="CA339" s="29" t="s">
        <v>124</v>
      </c>
      <c r="CB339" s="30">
        <v>3000.0</v>
      </c>
      <c r="CC339" s="31"/>
      <c r="CD339" s="58">
        <v>3000.0</v>
      </c>
      <c r="CE339" s="59" t="e">
        <v>#REF!</v>
      </c>
      <c r="CF339" s="60"/>
      <c r="CG339" s="61">
        <v>0.0</v>
      </c>
      <c r="CH339" s="62">
        <v>0.0</v>
      </c>
      <c r="CI339" s="63">
        <v>13.0</v>
      </c>
      <c r="CJ339" s="63">
        <v>3619.0</v>
      </c>
      <c r="CK339" s="64">
        <v>-8.0</v>
      </c>
      <c r="CL339" s="63">
        <v>3611.0</v>
      </c>
      <c r="CM339" s="65">
        <v>260.0</v>
      </c>
      <c r="CN339" s="63">
        <v>0.0</v>
      </c>
      <c r="CO339" s="66">
        <v>20.0</v>
      </c>
      <c r="CP339" s="67">
        <v>0.0</v>
      </c>
      <c r="CQ339" s="63">
        <v>12.0</v>
      </c>
      <c r="CR339" s="63">
        <v>12.0</v>
      </c>
      <c r="CS339" s="63">
        <v>76.0</v>
      </c>
      <c r="CT339" s="68"/>
      <c r="CU339" s="69"/>
      <c r="CV339" s="70"/>
      <c r="CW339" s="71">
        <v>10.0</v>
      </c>
      <c r="CX339" s="71" t="s">
        <v>138</v>
      </c>
      <c r="CY339" s="71" t="s">
        <v>139</v>
      </c>
      <c r="CZ339" s="45"/>
      <c r="DA339" s="44">
        <v>2700.0</v>
      </c>
      <c r="DB339" s="44">
        <v>0.0</v>
      </c>
      <c r="DC339" s="46" t="s">
        <v>127</v>
      </c>
      <c r="DD339" s="47">
        <v>46213.0</v>
      </c>
      <c r="DE339" s="43"/>
      <c r="DF339" s="43"/>
      <c r="DG339" s="48" t="s">
        <v>128</v>
      </c>
      <c r="DH339" s="48" t="s">
        <v>128</v>
      </c>
      <c r="DI339" s="48" t="s">
        <v>128</v>
      </c>
      <c r="DJ339" s="49">
        <v>1.0</v>
      </c>
      <c r="DK339" s="48" t="b">
        <v>0</v>
      </c>
      <c r="DL339" s="50" t="s">
        <v>887</v>
      </c>
      <c r="DM339" s="50" t="s">
        <v>128</v>
      </c>
      <c r="DN339" s="50" t="s">
        <v>888</v>
      </c>
      <c r="DO339" s="49">
        <v>0.94</v>
      </c>
      <c r="DP339" s="48" t="s">
        <v>128</v>
      </c>
      <c r="DQ339" s="48" t="s">
        <v>128</v>
      </c>
      <c r="DR339" s="51"/>
      <c r="DS339" s="48" t="s">
        <v>134</v>
      </c>
    </row>
    <row r="340">
      <c r="A340" s="23" t="s">
        <v>118</v>
      </c>
      <c r="B340" s="24">
        <v>6.0</v>
      </c>
      <c r="C340" s="23" t="s">
        <v>747</v>
      </c>
      <c r="D340" s="24">
        <v>641892.0</v>
      </c>
      <c r="E340" s="23" t="s">
        <v>170</v>
      </c>
      <c r="F340" s="23" t="s">
        <v>897</v>
      </c>
      <c r="G340" s="23" t="s">
        <v>898</v>
      </c>
      <c r="H340" s="24">
        <v>48398.0</v>
      </c>
      <c r="I340" s="24">
        <v>4.0</v>
      </c>
      <c r="J340" s="24">
        <v>0.0</v>
      </c>
      <c r="K340" s="24">
        <v>0.0</v>
      </c>
      <c r="L340" s="24">
        <v>0.0</v>
      </c>
      <c r="M340" s="24">
        <v>0.0</v>
      </c>
      <c r="N340" s="24">
        <v>0.0</v>
      </c>
      <c r="O340" s="24">
        <v>0.0</v>
      </c>
      <c r="P340" s="24">
        <v>0.0</v>
      </c>
      <c r="Q340" s="24">
        <v>0.0</v>
      </c>
      <c r="R340" s="24">
        <v>0.0</v>
      </c>
      <c r="S340" s="24">
        <v>0.0</v>
      </c>
      <c r="T340" s="24">
        <v>0.0</v>
      </c>
      <c r="U340" s="24">
        <v>0.0</v>
      </c>
      <c r="V340" s="24">
        <v>0.0</v>
      </c>
      <c r="W340" s="24">
        <v>0.0</v>
      </c>
      <c r="X340" s="24">
        <v>0.0</v>
      </c>
      <c r="Y340" s="24">
        <v>0.0</v>
      </c>
      <c r="Z340" s="24">
        <v>1.0</v>
      </c>
      <c r="AA340" s="24">
        <v>0.0</v>
      </c>
      <c r="AB340" s="24">
        <v>0.0</v>
      </c>
      <c r="AC340" s="24">
        <v>0.0</v>
      </c>
      <c r="AD340" s="24">
        <v>0.0</v>
      </c>
      <c r="AE340" s="24">
        <v>1.0</v>
      </c>
      <c r="AF340" s="24">
        <v>0.0</v>
      </c>
      <c r="AG340" s="24">
        <v>0.0</v>
      </c>
      <c r="AH340" s="24">
        <v>1.0</v>
      </c>
      <c r="AI340" s="24">
        <v>0.0</v>
      </c>
      <c r="AJ340" s="24">
        <v>0.0</v>
      </c>
      <c r="AK340" s="24">
        <v>0.0</v>
      </c>
      <c r="AL340" s="24">
        <v>1.0</v>
      </c>
      <c r="AM340" s="24">
        <v>0.0</v>
      </c>
      <c r="AN340" s="24">
        <v>0.0</v>
      </c>
      <c r="AO340" s="25">
        <v>17.9</v>
      </c>
      <c r="AP340" s="26"/>
      <c r="AQ340" s="26"/>
      <c r="AR340" s="26"/>
      <c r="AS340" s="26"/>
      <c r="AT340" s="26"/>
      <c r="AU340" s="26"/>
      <c r="AV340" s="26"/>
      <c r="AW340" s="26"/>
      <c r="AX340" s="26"/>
      <c r="AY340" s="26"/>
      <c r="AZ340" s="26"/>
      <c r="BA340" s="26"/>
      <c r="BB340" s="26"/>
      <c r="BC340" s="26"/>
      <c r="BD340" s="26"/>
      <c r="BE340" s="26"/>
      <c r="BF340" s="24">
        <v>25.92</v>
      </c>
      <c r="BG340" s="26"/>
      <c r="BH340" s="26"/>
      <c r="BI340" s="26"/>
      <c r="BJ340" s="26"/>
      <c r="BK340" s="24">
        <v>19.97</v>
      </c>
      <c r="BL340" s="26"/>
      <c r="BM340" s="26"/>
      <c r="BN340" s="24">
        <v>12.03</v>
      </c>
      <c r="BO340" s="24">
        <v>0.23</v>
      </c>
      <c r="BP340" s="24">
        <v>0.67</v>
      </c>
      <c r="BQ340" s="24">
        <v>5.44</v>
      </c>
      <c r="BR340" s="24">
        <v>5.93</v>
      </c>
      <c r="BS340" s="25">
        <v>5.42</v>
      </c>
      <c r="BT340" s="27"/>
      <c r="BU340" s="26"/>
      <c r="BV340" s="26"/>
      <c r="BW340" s="26"/>
      <c r="BX340" s="24">
        <v>3000.0</v>
      </c>
      <c r="BY340" s="24" t="s">
        <v>123</v>
      </c>
      <c r="BZ340" s="28">
        <v>2700.0</v>
      </c>
      <c r="CA340" s="29" t="s">
        <v>124</v>
      </c>
      <c r="CB340" s="30">
        <v>3000.0</v>
      </c>
      <c r="CC340" s="31"/>
      <c r="CD340" s="28">
        <v>3000.0</v>
      </c>
      <c r="CE340" s="32" t="e">
        <v>#REF!</v>
      </c>
      <c r="CF340" s="33"/>
      <c r="CG340" s="34">
        <v>0.0</v>
      </c>
      <c r="CH340" s="35">
        <v>0.0</v>
      </c>
      <c r="CI340" s="36">
        <v>4.0</v>
      </c>
      <c r="CJ340" s="36">
        <v>3619.0</v>
      </c>
      <c r="CK340" s="37">
        <v>-8.0</v>
      </c>
      <c r="CL340" s="36">
        <v>3611.0</v>
      </c>
      <c r="CM340" s="38">
        <v>72.0</v>
      </c>
      <c r="CN340" s="36">
        <v>0.0</v>
      </c>
      <c r="CO340" s="39">
        <v>17.9</v>
      </c>
      <c r="CP340" s="40">
        <v>0.0</v>
      </c>
      <c r="CQ340" s="36">
        <v>3.0</v>
      </c>
      <c r="CR340" s="36">
        <v>3.0</v>
      </c>
      <c r="CS340" s="36">
        <v>22.0</v>
      </c>
      <c r="CT340" s="41"/>
      <c r="CU340" s="42"/>
      <c r="CV340" s="43"/>
      <c r="CW340" s="44">
        <v>10.0</v>
      </c>
      <c r="CX340" s="44" t="s">
        <v>138</v>
      </c>
      <c r="CY340" s="44" t="s">
        <v>139</v>
      </c>
      <c r="CZ340" s="45"/>
      <c r="DA340" s="44">
        <v>3000.0</v>
      </c>
      <c r="DB340" s="44">
        <v>0.0</v>
      </c>
      <c r="DC340" s="46" t="s">
        <v>127</v>
      </c>
      <c r="DD340" s="47">
        <v>46197.0</v>
      </c>
      <c r="DE340" s="43"/>
      <c r="DF340" s="43"/>
      <c r="DG340" s="48" t="s">
        <v>128</v>
      </c>
      <c r="DH340" s="48" t="s">
        <v>128</v>
      </c>
      <c r="DI340" s="48" t="s">
        <v>129</v>
      </c>
      <c r="DJ340" s="49">
        <v>0.0</v>
      </c>
      <c r="DK340" s="48" t="b">
        <v>0</v>
      </c>
      <c r="DL340" s="50" t="s">
        <v>887</v>
      </c>
      <c r="DM340" s="50" t="s">
        <v>128</v>
      </c>
      <c r="DN340" s="50" t="s">
        <v>888</v>
      </c>
      <c r="DO340" s="49">
        <v>0.94</v>
      </c>
      <c r="DP340" s="48" t="s">
        <v>128</v>
      </c>
      <c r="DQ340" s="48" t="s">
        <v>133</v>
      </c>
      <c r="DR340" s="51"/>
      <c r="DS340" s="48" t="s">
        <v>134</v>
      </c>
    </row>
    <row r="341">
      <c r="A341" s="52" t="s">
        <v>118</v>
      </c>
      <c r="B341" s="53">
        <v>6.0</v>
      </c>
      <c r="C341" s="52" t="s">
        <v>747</v>
      </c>
      <c r="D341" s="53">
        <v>642178.0</v>
      </c>
      <c r="E341" s="52" t="s">
        <v>205</v>
      </c>
      <c r="F341" s="52" t="s">
        <v>899</v>
      </c>
      <c r="G341" s="52" t="s">
        <v>900</v>
      </c>
      <c r="H341" s="53">
        <v>48398.0</v>
      </c>
      <c r="I341" s="53">
        <v>23.0</v>
      </c>
      <c r="J341" s="53">
        <v>0.0</v>
      </c>
      <c r="K341" s="53">
        <v>0.0</v>
      </c>
      <c r="L341" s="53">
        <v>0.0</v>
      </c>
      <c r="M341" s="53">
        <v>0.0</v>
      </c>
      <c r="N341" s="53">
        <v>0.0</v>
      </c>
      <c r="O341" s="53">
        <v>0.0</v>
      </c>
      <c r="P341" s="53">
        <v>0.0</v>
      </c>
      <c r="Q341" s="53">
        <v>1.0</v>
      </c>
      <c r="R341" s="53">
        <v>0.0</v>
      </c>
      <c r="S341" s="53">
        <v>0.0</v>
      </c>
      <c r="T341" s="53">
        <v>1.0</v>
      </c>
      <c r="U341" s="53">
        <v>1.0</v>
      </c>
      <c r="V341" s="53">
        <v>2.0</v>
      </c>
      <c r="W341" s="53">
        <v>0.0</v>
      </c>
      <c r="X341" s="53">
        <v>1.0</v>
      </c>
      <c r="Y341" s="53">
        <v>0.0</v>
      </c>
      <c r="Z341" s="53">
        <v>0.0</v>
      </c>
      <c r="AA341" s="53">
        <v>4.0</v>
      </c>
      <c r="AB341" s="53">
        <v>0.0</v>
      </c>
      <c r="AC341" s="53">
        <v>1.0</v>
      </c>
      <c r="AD341" s="53">
        <v>0.0</v>
      </c>
      <c r="AE341" s="53">
        <v>1.0</v>
      </c>
      <c r="AF341" s="53">
        <v>0.0</v>
      </c>
      <c r="AG341" s="53">
        <v>2.0</v>
      </c>
      <c r="AH341" s="53">
        <v>2.0</v>
      </c>
      <c r="AI341" s="53">
        <v>2.0</v>
      </c>
      <c r="AJ341" s="53">
        <v>2.0</v>
      </c>
      <c r="AK341" s="53">
        <v>0.0</v>
      </c>
      <c r="AL341" s="53">
        <v>0.0</v>
      </c>
      <c r="AM341" s="53">
        <v>0.0</v>
      </c>
      <c r="AN341" s="53">
        <v>3.0</v>
      </c>
      <c r="AO341" s="25">
        <v>17.8</v>
      </c>
      <c r="AP341" s="54"/>
      <c r="AQ341" s="54"/>
      <c r="AR341" s="54"/>
      <c r="AS341" s="54"/>
      <c r="AT341" s="54"/>
      <c r="AU341" s="54"/>
      <c r="AV341" s="54"/>
      <c r="AW341" s="53">
        <v>23.27</v>
      </c>
      <c r="AX341" s="54"/>
      <c r="AY341" s="54"/>
      <c r="AZ341" s="53">
        <v>17.53</v>
      </c>
      <c r="BA341" s="53">
        <v>11.82</v>
      </c>
      <c r="BB341" s="53">
        <v>17.02</v>
      </c>
      <c r="BC341" s="54"/>
      <c r="BD341" s="53">
        <v>30.07</v>
      </c>
      <c r="BE341" s="54"/>
      <c r="BF341" s="54"/>
      <c r="BG341" s="53">
        <v>19.17</v>
      </c>
      <c r="BH341" s="54"/>
      <c r="BI341" s="53">
        <v>15.5</v>
      </c>
      <c r="BJ341" s="54"/>
      <c r="BK341" s="53">
        <v>17.05</v>
      </c>
      <c r="BL341" s="54"/>
      <c r="BM341" s="53">
        <v>12.97</v>
      </c>
      <c r="BN341" s="53">
        <v>17.57</v>
      </c>
      <c r="BO341" s="53">
        <v>0.29</v>
      </c>
      <c r="BP341" s="53">
        <v>0.78</v>
      </c>
      <c r="BQ341" s="53">
        <v>5.49</v>
      </c>
      <c r="BR341" s="53">
        <v>6.07</v>
      </c>
      <c r="BS341" s="25">
        <v>5.3</v>
      </c>
      <c r="BT341" s="91">
        <v>15.0</v>
      </c>
      <c r="BU341" s="55">
        <v>3.5</v>
      </c>
      <c r="BV341" s="57">
        <v>5.92</v>
      </c>
      <c r="BW341" s="54"/>
      <c r="BX341" s="53">
        <v>3000.0</v>
      </c>
      <c r="BY341" s="53" t="s">
        <v>123</v>
      </c>
      <c r="BZ341" s="58">
        <v>2700.0</v>
      </c>
      <c r="CA341" s="29" t="s">
        <v>124</v>
      </c>
      <c r="CB341" s="30">
        <v>3000.0</v>
      </c>
      <c r="CC341" s="31"/>
      <c r="CD341" s="58">
        <v>3000.0</v>
      </c>
      <c r="CE341" s="59" t="e">
        <v>#REF!</v>
      </c>
      <c r="CF341" s="60"/>
      <c r="CG341" s="61">
        <v>0.0</v>
      </c>
      <c r="CH341" s="62">
        <v>0.0</v>
      </c>
      <c r="CI341" s="63">
        <v>23.0</v>
      </c>
      <c r="CJ341" s="63">
        <v>3619.0</v>
      </c>
      <c r="CK341" s="64">
        <v>-8.0</v>
      </c>
      <c r="CL341" s="63">
        <v>3611.0</v>
      </c>
      <c r="CM341" s="65">
        <v>409.0</v>
      </c>
      <c r="CN341" s="63">
        <v>0.0</v>
      </c>
      <c r="CO341" s="66">
        <v>17.8</v>
      </c>
      <c r="CP341" s="67">
        <v>0.0</v>
      </c>
      <c r="CQ341" s="63">
        <v>18.0</v>
      </c>
      <c r="CR341" s="63">
        <v>18.0</v>
      </c>
      <c r="CS341" s="63">
        <v>122.0</v>
      </c>
      <c r="CT341" s="68"/>
      <c r="CU341" s="69"/>
      <c r="CV341" s="70"/>
      <c r="CW341" s="71">
        <v>10.0</v>
      </c>
      <c r="CX341" s="71" t="s">
        <v>138</v>
      </c>
      <c r="CY341" s="71" t="s">
        <v>139</v>
      </c>
      <c r="CZ341" s="45"/>
      <c r="DA341" s="44">
        <v>3000.0</v>
      </c>
      <c r="DB341" s="44">
        <v>0.0</v>
      </c>
      <c r="DC341" s="46" t="s">
        <v>127</v>
      </c>
      <c r="DD341" s="47">
        <v>46186.0</v>
      </c>
      <c r="DE341" s="43"/>
      <c r="DF341" s="43"/>
      <c r="DG341" s="48" t="s">
        <v>128</v>
      </c>
      <c r="DH341" s="48" t="s">
        <v>128</v>
      </c>
      <c r="DI341" s="48" t="s">
        <v>128</v>
      </c>
      <c r="DJ341" s="49">
        <v>1.0</v>
      </c>
      <c r="DK341" s="48" t="b">
        <v>1</v>
      </c>
      <c r="DL341" s="50" t="s">
        <v>887</v>
      </c>
      <c r="DM341" s="50" t="s">
        <v>128</v>
      </c>
      <c r="DN341" s="50" t="s">
        <v>888</v>
      </c>
      <c r="DO341" s="49">
        <v>0.94</v>
      </c>
      <c r="DP341" s="48" t="s">
        <v>128</v>
      </c>
      <c r="DQ341" s="48" t="s">
        <v>128</v>
      </c>
      <c r="DR341" s="51"/>
      <c r="DS341" s="48" t="s">
        <v>134</v>
      </c>
    </row>
    <row r="342">
      <c r="A342" s="23" t="s">
        <v>118</v>
      </c>
      <c r="B342" s="24">
        <v>6.0</v>
      </c>
      <c r="C342" s="23" t="s">
        <v>747</v>
      </c>
      <c r="D342" s="24">
        <v>558730.0</v>
      </c>
      <c r="E342" s="23" t="s">
        <v>148</v>
      </c>
      <c r="F342" s="23" t="s">
        <v>901</v>
      </c>
      <c r="G342" s="23" t="s">
        <v>902</v>
      </c>
      <c r="H342" s="24">
        <v>48398.0</v>
      </c>
      <c r="I342" s="24">
        <v>22.0</v>
      </c>
      <c r="J342" s="24">
        <v>0.0</v>
      </c>
      <c r="K342" s="24">
        <v>0.0</v>
      </c>
      <c r="L342" s="24">
        <v>0.0</v>
      </c>
      <c r="M342" s="24">
        <v>0.0</v>
      </c>
      <c r="N342" s="24">
        <v>0.0</v>
      </c>
      <c r="O342" s="24">
        <v>0.0</v>
      </c>
      <c r="P342" s="24">
        <v>1.0</v>
      </c>
      <c r="Q342" s="24">
        <v>0.0</v>
      </c>
      <c r="R342" s="24">
        <v>0.0</v>
      </c>
      <c r="S342" s="24">
        <v>2.0</v>
      </c>
      <c r="T342" s="24">
        <v>0.0</v>
      </c>
      <c r="U342" s="24">
        <v>3.0</v>
      </c>
      <c r="V342" s="24">
        <v>0.0</v>
      </c>
      <c r="W342" s="24">
        <v>0.0</v>
      </c>
      <c r="X342" s="24">
        <v>1.0</v>
      </c>
      <c r="Y342" s="24">
        <v>1.0</v>
      </c>
      <c r="Z342" s="24">
        <v>1.0</v>
      </c>
      <c r="AA342" s="24">
        <v>1.0</v>
      </c>
      <c r="AB342" s="24">
        <v>1.0</v>
      </c>
      <c r="AC342" s="24">
        <v>0.0</v>
      </c>
      <c r="AD342" s="24">
        <v>2.0</v>
      </c>
      <c r="AE342" s="24">
        <v>1.0</v>
      </c>
      <c r="AF342" s="24">
        <v>1.0</v>
      </c>
      <c r="AG342" s="24">
        <v>1.0</v>
      </c>
      <c r="AH342" s="24">
        <v>1.0</v>
      </c>
      <c r="AI342" s="24">
        <v>1.0</v>
      </c>
      <c r="AJ342" s="24">
        <v>2.0</v>
      </c>
      <c r="AK342" s="24">
        <v>0.0</v>
      </c>
      <c r="AL342" s="24">
        <v>0.0</v>
      </c>
      <c r="AM342" s="24">
        <v>0.0</v>
      </c>
      <c r="AN342" s="24">
        <v>2.0</v>
      </c>
      <c r="AO342" s="55">
        <v>15.3</v>
      </c>
      <c r="AP342" s="26"/>
      <c r="AQ342" s="26"/>
      <c r="AR342" s="26"/>
      <c r="AS342" s="26"/>
      <c r="AT342" s="26"/>
      <c r="AU342" s="26"/>
      <c r="AV342" s="24">
        <v>13.97</v>
      </c>
      <c r="AW342" s="26"/>
      <c r="AX342" s="26"/>
      <c r="AY342" s="24">
        <v>16.53</v>
      </c>
      <c r="AZ342" s="26"/>
      <c r="BA342" s="24">
        <v>14.33</v>
      </c>
      <c r="BB342" s="26"/>
      <c r="BC342" s="26"/>
      <c r="BD342" s="24">
        <v>12.05</v>
      </c>
      <c r="BE342" s="24">
        <v>14.83</v>
      </c>
      <c r="BF342" s="24">
        <v>18.37</v>
      </c>
      <c r="BG342" s="24">
        <v>15.37</v>
      </c>
      <c r="BH342" s="24">
        <v>17.57</v>
      </c>
      <c r="BI342" s="26"/>
      <c r="BJ342" s="24">
        <v>18.68</v>
      </c>
      <c r="BK342" s="24">
        <v>13.12</v>
      </c>
      <c r="BL342" s="24">
        <v>16.73</v>
      </c>
      <c r="BM342" s="24">
        <v>11.0</v>
      </c>
      <c r="BN342" s="24">
        <v>11.22</v>
      </c>
      <c r="BO342" s="24">
        <v>0.27</v>
      </c>
      <c r="BP342" s="24">
        <v>1.15</v>
      </c>
      <c r="BQ342" s="24">
        <v>4.63</v>
      </c>
      <c r="BR342" s="24">
        <v>5.57</v>
      </c>
      <c r="BS342" s="25">
        <v>4.57</v>
      </c>
      <c r="BT342" s="91">
        <v>16.8</v>
      </c>
      <c r="BU342" s="25">
        <v>5.3</v>
      </c>
      <c r="BV342" s="57">
        <v>5.7</v>
      </c>
      <c r="BW342" s="26"/>
      <c r="BX342" s="24">
        <v>3000.0</v>
      </c>
      <c r="BY342" s="24" t="s">
        <v>123</v>
      </c>
      <c r="BZ342" s="28">
        <v>3000.0</v>
      </c>
      <c r="CA342" s="72"/>
      <c r="CB342" s="30">
        <v>3000.0</v>
      </c>
      <c r="CC342" s="31"/>
      <c r="CD342" s="28">
        <v>3000.0</v>
      </c>
      <c r="CE342" s="32" t="e">
        <v>#REF!</v>
      </c>
      <c r="CF342" s="33"/>
      <c r="CG342" s="34">
        <v>0.0</v>
      </c>
      <c r="CH342" s="35">
        <v>0.0</v>
      </c>
      <c r="CI342" s="36">
        <v>22.0</v>
      </c>
      <c r="CJ342" s="36">
        <v>3619.0</v>
      </c>
      <c r="CK342" s="37">
        <v>-8.0</v>
      </c>
      <c r="CL342" s="36">
        <v>3611.0</v>
      </c>
      <c r="CM342" s="38">
        <v>337.0</v>
      </c>
      <c r="CN342" s="36">
        <v>0.0</v>
      </c>
      <c r="CO342" s="39">
        <v>15.3</v>
      </c>
      <c r="CP342" s="40">
        <v>0.0</v>
      </c>
      <c r="CQ342" s="36">
        <v>25.0</v>
      </c>
      <c r="CR342" s="36">
        <v>25.0</v>
      </c>
      <c r="CS342" s="36">
        <v>101.0</v>
      </c>
      <c r="CT342" s="41"/>
      <c r="CU342" s="42"/>
      <c r="CV342" s="43"/>
      <c r="CW342" s="44">
        <v>10.0</v>
      </c>
      <c r="CX342" s="44" t="s">
        <v>138</v>
      </c>
      <c r="CY342" s="44" t="s">
        <v>139</v>
      </c>
      <c r="CZ342" s="45"/>
      <c r="DA342" s="44">
        <v>3000.0</v>
      </c>
      <c r="DB342" s="44">
        <v>0.0</v>
      </c>
      <c r="DC342" s="46" t="s">
        <v>127</v>
      </c>
      <c r="DD342" s="47">
        <v>46218.0</v>
      </c>
      <c r="DE342" s="43"/>
      <c r="DF342" s="43"/>
      <c r="DG342" s="48" t="s">
        <v>128</v>
      </c>
      <c r="DH342" s="48" t="s">
        <v>128</v>
      </c>
      <c r="DI342" s="48" t="s">
        <v>128</v>
      </c>
      <c r="DJ342" s="49">
        <v>1.0</v>
      </c>
      <c r="DK342" s="48" t="b">
        <v>0</v>
      </c>
      <c r="DL342" s="50" t="s">
        <v>887</v>
      </c>
      <c r="DM342" s="50" t="s">
        <v>128</v>
      </c>
      <c r="DN342" s="50" t="s">
        <v>888</v>
      </c>
      <c r="DO342" s="49">
        <v>0.94</v>
      </c>
      <c r="DP342" s="48" t="s">
        <v>128</v>
      </c>
      <c r="DQ342" s="48" t="s">
        <v>128</v>
      </c>
      <c r="DR342" s="51"/>
      <c r="DS342" s="48" t="s">
        <v>134</v>
      </c>
    </row>
    <row r="343">
      <c r="A343" s="52" t="s">
        <v>118</v>
      </c>
      <c r="B343" s="53">
        <v>6.0</v>
      </c>
      <c r="C343" s="52" t="s">
        <v>747</v>
      </c>
      <c r="D343" s="53">
        <v>669823.0</v>
      </c>
      <c r="E343" s="52" t="s">
        <v>214</v>
      </c>
      <c r="F343" s="52" t="s">
        <v>903</v>
      </c>
      <c r="G343" s="52" t="s">
        <v>904</v>
      </c>
      <c r="H343" s="53">
        <v>48398.0</v>
      </c>
      <c r="I343" s="53">
        <v>11.0</v>
      </c>
      <c r="J343" s="53">
        <v>0.0</v>
      </c>
      <c r="K343" s="53">
        <v>0.0</v>
      </c>
      <c r="L343" s="53">
        <v>0.0</v>
      </c>
      <c r="M343" s="53">
        <v>0.0</v>
      </c>
      <c r="N343" s="53">
        <v>1.0</v>
      </c>
      <c r="O343" s="53">
        <v>0.0</v>
      </c>
      <c r="P343" s="53">
        <v>0.0</v>
      </c>
      <c r="Q343" s="53">
        <v>0.0</v>
      </c>
      <c r="R343" s="53">
        <v>0.0</v>
      </c>
      <c r="S343" s="53">
        <v>0.0</v>
      </c>
      <c r="T343" s="53">
        <v>0.0</v>
      </c>
      <c r="U343" s="53">
        <v>0.0</v>
      </c>
      <c r="V343" s="53">
        <v>0.0</v>
      </c>
      <c r="W343" s="53">
        <v>1.0</v>
      </c>
      <c r="X343" s="53">
        <v>0.0</v>
      </c>
      <c r="Y343" s="53">
        <v>0.0</v>
      </c>
      <c r="Z343" s="53">
        <v>1.0</v>
      </c>
      <c r="AA343" s="53">
        <v>0.0</v>
      </c>
      <c r="AB343" s="53">
        <v>1.0</v>
      </c>
      <c r="AC343" s="53">
        <v>0.0</v>
      </c>
      <c r="AD343" s="53">
        <v>2.0</v>
      </c>
      <c r="AE343" s="53">
        <v>0.0</v>
      </c>
      <c r="AF343" s="53">
        <v>0.0</v>
      </c>
      <c r="AG343" s="53">
        <v>1.0</v>
      </c>
      <c r="AH343" s="53">
        <v>0.0</v>
      </c>
      <c r="AI343" s="53">
        <v>1.0</v>
      </c>
      <c r="AJ343" s="53">
        <v>1.0</v>
      </c>
      <c r="AK343" s="53">
        <v>0.0</v>
      </c>
      <c r="AL343" s="53">
        <v>1.0</v>
      </c>
      <c r="AM343" s="53">
        <v>0.0</v>
      </c>
      <c r="AN343" s="53">
        <v>1.0</v>
      </c>
      <c r="AO343" s="55">
        <v>15.8</v>
      </c>
      <c r="AP343" s="54"/>
      <c r="AQ343" s="54"/>
      <c r="AR343" s="54"/>
      <c r="AS343" s="54"/>
      <c r="AT343" s="53">
        <v>0.0</v>
      </c>
      <c r="AU343" s="54"/>
      <c r="AV343" s="54"/>
      <c r="AW343" s="54"/>
      <c r="AX343" s="54"/>
      <c r="AY343" s="54"/>
      <c r="AZ343" s="54"/>
      <c r="BA343" s="54"/>
      <c r="BB343" s="54"/>
      <c r="BC343" s="53">
        <v>23.2</v>
      </c>
      <c r="BD343" s="54"/>
      <c r="BE343" s="54"/>
      <c r="BF343" s="53">
        <v>13.77</v>
      </c>
      <c r="BG343" s="54"/>
      <c r="BH343" s="53">
        <v>12.32</v>
      </c>
      <c r="BI343" s="54"/>
      <c r="BJ343" s="53">
        <v>14.26</v>
      </c>
      <c r="BK343" s="54"/>
      <c r="BL343" s="54"/>
      <c r="BM343" s="53">
        <v>25.13</v>
      </c>
      <c r="BN343" s="54"/>
      <c r="BO343" s="53">
        <v>0.26</v>
      </c>
      <c r="BP343" s="53">
        <v>0.78</v>
      </c>
      <c r="BQ343" s="53">
        <v>5.09</v>
      </c>
      <c r="BR343" s="53">
        <v>5.67</v>
      </c>
      <c r="BS343" s="25">
        <v>4.55</v>
      </c>
      <c r="BT343" s="81"/>
      <c r="BU343" s="54"/>
      <c r="BV343" s="54"/>
      <c r="BW343" s="54"/>
      <c r="BX343" s="53">
        <v>3000.0</v>
      </c>
      <c r="BY343" s="53" t="s">
        <v>123</v>
      </c>
      <c r="BZ343" s="58">
        <v>3000.0</v>
      </c>
      <c r="CA343" s="72"/>
      <c r="CB343" s="30">
        <v>3000.0</v>
      </c>
      <c r="CC343" s="31"/>
      <c r="CD343" s="58">
        <v>3000.0</v>
      </c>
      <c r="CE343" s="59" t="e">
        <v>#REF!</v>
      </c>
      <c r="CF343" s="60"/>
      <c r="CG343" s="61">
        <v>0.0</v>
      </c>
      <c r="CH343" s="62">
        <v>0.0</v>
      </c>
      <c r="CI343" s="63">
        <v>11.0</v>
      </c>
      <c r="CJ343" s="63">
        <v>3619.0</v>
      </c>
      <c r="CK343" s="64">
        <v>-8.0</v>
      </c>
      <c r="CL343" s="63">
        <v>3611.0</v>
      </c>
      <c r="CM343" s="65">
        <v>174.0</v>
      </c>
      <c r="CN343" s="63">
        <v>0.0</v>
      </c>
      <c r="CO343" s="66">
        <v>15.8</v>
      </c>
      <c r="CP343" s="67">
        <v>0.0</v>
      </c>
      <c r="CQ343" s="63">
        <v>9.0</v>
      </c>
      <c r="CR343" s="63">
        <v>9.0</v>
      </c>
      <c r="CS343" s="63">
        <v>50.0</v>
      </c>
      <c r="CT343" s="68"/>
      <c r="CU343" s="69"/>
      <c r="CV343" s="70"/>
      <c r="CW343" s="71">
        <v>10.0</v>
      </c>
      <c r="CX343" s="71" t="s">
        <v>138</v>
      </c>
      <c r="CY343" s="71" t="s">
        <v>139</v>
      </c>
      <c r="CZ343" s="45"/>
      <c r="DA343" s="44">
        <v>3000.0</v>
      </c>
      <c r="DB343" s="44">
        <v>0.0</v>
      </c>
      <c r="DC343" s="46" t="s">
        <v>127</v>
      </c>
      <c r="DD343" s="47">
        <v>46218.0</v>
      </c>
      <c r="DE343" s="43"/>
      <c r="DF343" s="43"/>
      <c r="DG343" s="48" t="s">
        <v>128</v>
      </c>
      <c r="DH343" s="48" t="s">
        <v>128</v>
      </c>
      <c r="DI343" s="48" t="s">
        <v>129</v>
      </c>
      <c r="DJ343" s="49">
        <v>1.0</v>
      </c>
      <c r="DK343" s="48" t="b">
        <v>0</v>
      </c>
      <c r="DL343" s="50" t="s">
        <v>887</v>
      </c>
      <c r="DM343" s="50" t="s">
        <v>128</v>
      </c>
      <c r="DN343" s="50" t="s">
        <v>888</v>
      </c>
      <c r="DO343" s="49">
        <v>0.94</v>
      </c>
      <c r="DP343" s="48" t="s">
        <v>128</v>
      </c>
      <c r="DQ343" s="48" t="s">
        <v>133</v>
      </c>
      <c r="DR343" s="51"/>
      <c r="DS343" s="48" t="s">
        <v>134</v>
      </c>
    </row>
    <row r="344">
      <c r="A344" s="23" t="s">
        <v>118</v>
      </c>
      <c r="B344" s="24">
        <v>6.0</v>
      </c>
      <c r="C344" s="23" t="s">
        <v>747</v>
      </c>
      <c r="D344" s="24">
        <v>576393.0</v>
      </c>
      <c r="E344" s="23" t="s">
        <v>164</v>
      </c>
      <c r="F344" s="23" t="s">
        <v>905</v>
      </c>
      <c r="G344" s="23" t="s">
        <v>906</v>
      </c>
      <c r="H344" s="24">
        <v>48398.0</v>
      </c>
      <c r="I344" s="24">
        <v>27.0</v>
      </c>
      <c r="J344" s="24">
        <v>0.0</v>
      </c>
      <c r="K344" s="24">
        <v>0.0</v>
      </c>
      <c r="L344" s="24">
        <v>1.0</v>
      </c>
      <c r="M344" s="24">
        <v>0.0</v>
      </c>
      <c r="N344" s="24">
        <v>0.0</v>
      </c>
      <c r="O344" s="24">
        <v>0.0</v>
      </c>
      <c r="P344" s="24">
        <v>1.0</v>
      </c>
      <c r="Q344" s="24">
        <v>1.0</v>
      </c>
      <c r="R344" s="24">
        <v>0.0</v>
      </c>
      <c r="S344" s="24">
        <v>0.0</v>
      </c>
      <c r="T344" s="24">
        <v>0.0</v>
      </c>
      <c r="U344" s="24">
        <v>0.0</v>
      </c>
      <c r="V344" s="24">
        <v>1.0</v>
      </c>
      <c r="W344" s="24">
        <v>1.0</v>
      </c>
      <c r="X344" s="24">
        <v>1.0</v>
      </c>
      <c r="Y344" s="24">
        <v>1.0</v>
      </c>
      <c r="Z344" s="24">
        <v>2.0</v>
      </c>
      <c r="AA344" s="24">
        <v>2.0</v>
      </c>
      <c r="AB344" s="24">
        <v>1.0</v>
      </c>
      <c r="AC344" s="24">
        <v>3.0</v>
      </c>
      <c r="AD344" s="24">
        <v>0.0</v>
      </c>
      <c r="AE344" s="24">
        <v>0.0</v>
      </c>
      <c r="AF344" s="24">
        <v>0.0</v>
      </c>
      <c r="AG344" s="24">
        <v>1.0</v>
      </c>
      <c r="AH344" s="24">
        <v>0.0</v>
      </c>
      <c r="AI344" s="24">
        <v>3.0</v>
      </c>
      <c r="AJ344" s="24">
        <v>3.0</v>
      </c>
      <c r="AK344" s="24">
        <v>1.0</v>
      </c>
      <c r="AL344" s="24">
        <v>1.0</v>
      </c>
      <c r="AM344" s="24">
        <v>1.0</v>
      </c>
      <c r="AN344" s="24">
        <v>2.0</v>
      </c>
      <c r="AO344" s="25">
        <v>19.1</v>
      </c>
      <c r="AP344" s="26"/>
      <c r="AQ344" s="26"/>
      <c r="AR344" s="24">
        <v>12.28</v>
      </c>
      <c r="AS344" s="26"/>
      <c r="AT344" s="26"/>
      <c r="AU344" s="26"/>
      <c r="AV344" s="24">
        <v>10.08</v>
      </c>
      <c r="AW344" s="24">
        <v>12.08</v>
      </c>
      <c r="AX344" s="26"/>
      <c r="AY344" s="26"/>
      <c r="AZ344" s="26"/>
      <c r="BA344" s="26"/>
      <c r="BB344" s="24">
        <v>15.78</v>
      </c>
      <c r="BC344" s="24">
        <v>8.92</v>
      </c>
      <c r="BD344" s="24">
        <v>27.63</v>
      </c>
      <c r="BE344" s="24">
        <v>61.78</v>
      </c>
      <c r="BF344" s="24">
        <v>18.4</v>
      </c>
      <c r="BG344" s="24">
        <v>26.5</v>
      </c>
      <c r="BH344" s="24">
        <v>16.83</v>
      </c>
      <c r="BI344" s="24">
        <v>19.96</v>
      </c>
      <c r="BJ344" s="26"/>
      <c r="BK344" s="26"/>
      <c r="BL344" s="26"/>
      <c r="BM344" s="24">
        <v>16.02</v>
      </c>
      <c r="BN344" s="26"/>
      <c r="BO344" s="24">
        <v>0.28</v>
      </c>
      <c r="BP344" s="24">
        <v>2.85</v>
      </c>
      <c r="BQ344" s="24">
        <v>5.49</v>
      </c>
      <c r="BR344" s="24">
        <v>8.14</v>
      </c>
      <c r="BS344" s="25">
        <v>4.53</v>
      </c>
      <c r="BT344" s="91">
        <v>16.6</v>
      </c>
      <c r="BU344" s="55">
        <v>3.4</v>
      </c>
      <c r="BV344" s="55">
        <v>6.56</v>
      </c>
      <c r="BW344" s="24">
        <v>1400.0</v>
      </c>
      <c r="BX344" s="24">
        <v>3000.0</v>
      </c>
      <c r="BY344" s="24" t="s">
        <v>123</v>
      </c>
      <c r="BZ344" s="28">
        <v>2700.0</v>
      </c>
      <c r="CA344" s="29" t="s">
        <v>124</v>
      </c>
      <c r="CB344" s="30">
        <v>3000.0</v>
      </c>
      <c r="CC344" s="31"/>
      <c r="CD344" s="28">
        <v>3000.0</v>
      </c>
      <c r="CE344" s="32" t="e">
        <v>#REF!</v>
      </c>
      <c r="CF344" s="33"/>
      <c r="CG344" s="34">
        <v>0.0</v>
      </c>
      <c r="CH344" s="35">
        <v>0.0</v>
      </c>
      <c r="CI344" s="36">
        <v>27.0</v>
      </c>
      <c r="CJ344" s="36">
        <v>3619.0</v>
      </c>
      <c r="CK344" s="37">
        <v>-8.0</v>
      </c>
      <c r="CL344" s="36">
        <v>3611.0</v>
      </c>
      <c r="CM344" s="38">
        <v>516.0</v>
      </c>
      <c r="CN344" s="36">
        <v>0.0</v>
      </c>
      <c r="CO344" s="39">
        <v>19.1</v>
      </c>
      <c r="CP344" s="40">
        <v>0.0</v>
      </c>
      <c r="CQ344" s="36">
        <v>77.0</v>
      </c>
      <c r="CR344" s="36">
        <v>77.0</v>
      </c>
      <c r="CS344" s="36">
        <v>122.0</v>
      </c>
      <c r="CT344" s="41"/>
      <c r="CU344" s="42"/>
      <c r="CV344" s="43"/>
      <c r="CW344" s="44">
        <v>10.0</v>
      </c>
      <c r="CX344" s="44" t="s">
        <v>138</v>
      </c>
      <c r="CY344" s="44" t="s">
        <v>139</v>
      </c>
      <c r="CZ344" s="45"/>
      <c r="DA344" s="44">
        <v>3000.0</v>
      </c>
      <c r="DB344" s="44">
        <v>0.0</v>
      </c>
      <c r="DC344" s="46" t="s">
        <v>127</v>
      </c>
      <c r="DD344" s="47">
        <v>46186.0</v>
      </c>
      <c r="DE344" s="43"/>
      <c r="DF344" s="43"/>
      <c r="DG344" s="48" t="s">
        <v>128</v>
      </c>
      <c r="DH344" s="48" t="s">
        <v>128</v>
      </c>
      <c r="DI344" s="48" t="s">
        <v>128</v>
      </c>
      <c r="DJ344" s="49">
        <v>0.9091</v>
      </c>
      <c r="DK344" s="48" t="b">
        <v>0</v>
      </c>
      <c r="DL344" s="50" t="s">
        <v>887</v>
      </c>
      <c r="DM344" s="50" t="s">
        <v>128</v>
      </c>
      <c r="DN344" s="50" t="s">
        <v>888</v>
      </c>
      <c r="DO344" s="49">
        <v>0.94</v>
      </c>
      <c r="DP344" s="48" t="s">
        <v>128</v>
      </c>
      <c r="DQ344" s="48" t="s">
        <v>128</v>
      </c>
      <c r="DR344" s="51"/>
      <c r="DS344" s="48" t="s">
        <v>134</v>
      </c>
    </row>
    <row r="345">
      <c r="A345" s="52" t="s">
        <v>118</v>
      </c>
      <c r="B345" s="53">
        <v>6.0</v>
      </c>
      <c r="C345" s="52" t="s">
        <v>747</v>
      </c>
      <c r="D345" s="53">
        <v>604008.0</v>
      </c>
      <c r="E345" s="52" t="s">
        <v>176</v>
      </c>
      <c r="F345" s="52" t="s">
        <v>907</v>
      </c>
      <c r="G345" s="52" t="s">
        <v>908</v>
      </c>
      <c r="H345" s="53">
        <v>48398.0</v>
      </c>
      <c r="I345" s="53">
        <v>4.0</v>
      </c>
      <c r="J345" s="53">
        <v>0.0</v>
      </c>
      <c r="K345" s="53">
        <v>0.0</v>
      </c>
      <c r="L345" s="53">
        <v>0.0</v>
      </c>
      <c r="M345" s="53">
        <v>0.0</v>
      </c>
      <c r="N345" s="53">
        <v>0.0</v>
      </c>
      <c r="O345" s="53">
        <v>0.0</v>
      </c>
      <c r="P345" s="53">
        <v>0.0</v>
      </c>
      <c r="Q345" s="53">
        <v>0.0</v>
      </c>
      <c r="R345" s="53">
        <v>0.0</v>
      </c>
      <c r="S345" s="53">
        <v>0.0</v>
      </c>
      <c r="T345" s="53">
        <v>0.0</v>
      </c>
      <c r="U345" s="53">
        <v>0.0</v>
      </c>
      <c r="V345" s="53">
        <v>0.0</v>
      </c>
      <c r="W345" s="53">
        <v>2.0</v>
      </c>
      <c r="X345" s="53">
        <v>0.0</v>
      </c>
      <c r="Y345" s="53">
        <v>0.0</v>
      </c>
      <c r="Z345" s="53">
        <v>0.0</v>
      </c>
      <c r="AA345" s="53">
        <v>0.0</v>
      </c>
      <c r="AB345" s="53">
        <v>0.0</v>
      </c>
      <c r="AC345" s="53">
        <v>1.0</v>
      </c>
      <c r="AD345" s="53">
        <v>0.0</v>
      </c>
      <c r="AE345" s="53">
        <v>0.0</v>
      </c>
      <c r="AF345" s="53">
        <v>0.0</v>
      </c>
      <c r="AG345" s="53">
        <v>0.0</v>
      </c>
      <c r="AH345" s="53">
        <v>0.0</v>
      </c>
      <c r="AI345" s="53">
        <v>0.0</v>
      </c>
      <c r="AJ345" s="53">
        <v>0.0</v>
      </c>
      <c r="AK345" s="53">
        <v>1.0</v>
      </c>
      <c r="AL345" s="53">
        <v>0.0</v>
      </c>
      <c r="AM345" s="53">
        <v>0.0</v>
      </c>
      <c r="AN345" s="53">
        <v>0.0</v>
      </c>
      <c r="AO345" s="55">
        <v>15.2</v>
      </c>
      <c r="AP345" s="54"/>
      <c r="AQ345" s="54"/>
      <c r="AR345" s="54"/>
      <c r="AS345" s="54"/>
      <c r="AT345" s="54"/>
      <c r="AU345" s="54"/>
      <c r="AV345" s="54"/>
      <c r="AW345" s="54"/>
      <c r="AX345" s="54"/>
      <c r="AY345" s="54"/>
      <c r="AZ345" s="54"/>
      <c r="BA345" s="54"/>
      <c r="BB345" s="54"/>
      <c r="BC345" s="53">
        <v>13.98</v>
      </c>
      <c r="BD345" s="54"/>
      <c r="BE345" s="54"/>
      <c r="BF345" s="54"/>
      <c r="BG345" s="54"/>
      <c r="BH345" s="54"/>
      <c r="BI345" s="53">
        <v>16.37</v>
      </c>
      <c r="BJ345" s="54"/>
      <c r="BK345" s="54"/>
      <c r="BL345" s="54"/>
      <c r="BM345" s="54"/>
      <c r="BN345" s="54"/>
      <c r="BO345" s="53">
        <v>0.27</v>
      </c>
      <c r="BP345" s="53">
        <v>0.93</v>
      </c>
      <c r="BQ345" s="53">
        <v>4.26</v>
      </c>
      <c r="BR345" s="53">
        <v>4.99</v>
      </c>
      <c r="BS345" s="25">
        <v>4.34</v>
      </c>
      <c r="BT345" s="91">
        <v>16.4</v>
      </c>
      <c r="BU345" s="57">
        <v>2.9</v>
      </c>
      <c r="BV345" s="55">
        <v>6.65</v>
      </c>
      <c r="BW345" s="54"/>
      <c r="BX345" s="53">
        <v>3000.0</v>
      </c>
      <c r="BY345" s="53" t="s">
        <v>123</v>
      </c>
      <c r="BZ345" s="58">
        <v>3000.0</v>
      </c>
      <c r="CA345" s="72"/>
      <c r="CB345" s="30">
        <v>3000.0</v>
      </c>
      <c r="CC345" s="31"/>
      <c r="CD345" s="58">
        <v>3000.0</v>
      </c>
      <c r="CE345" s="59" t="e">
        <v>#REF!</v>
      </c>
      <c r="CF345" s="60"/>
      <c r="CG345" s="61">
        <v>0.0</v>
      </c>
      <c r="CH345" s="62">
        <v>0.0</v>
      </c>
      <c r="CI345" s="63">
        <v>4.0</v>
      </c>
      <c r="CJ345" s="63">
        <v>3619.0</v>
      </c>
      <c r="CK345" s="64">
        <v>-8.0</v>
      </c>
      <c r="CL345" s="63">
        <v>3611.0</v>
      </c>
      <c r="CM345" s="65">
        <v>61.0</v>
      </c>
      <c r="CN345" s="63">
        <v>0.0</v>
      </c>
      <c r="CO345" s="66">
        <v>15.2</v>
      </c>
      <c r="CP345" s="67">
        <v>0.0</v>
      </c>
      <c r="CQ345" s="63">
        <v>4.0</v>
      </c>
      <c r="CR345" s="63">
        <v>4.0</v>
      </c>
      <c r="CS345" s="63">
        <v>17.0</v>
      </c>
      <c r="CT345" s="68"/>
      <c r="CU345" s="69"/>
      <c r="CV345" s="70"/>
      <c r="CW345" s="71">
        <v>10.0</v>
      </c>
      <c r="CX345" s="71" t="s">
        <v>138</v>
      </c>
      <c r="CY345" s="71" t="s">
        <v>139</v>
      </c>
      <c r="CZ345" s="45"/>
      <c r="DA345" s="44">
        <v>3000.0</v>
      </c>
      <c r="DB345" s="44">
        <v>0.0</v>
      </c>
      <c r="DC345" s="46" t="s">
        <v>127</v>
      </c>
      <c r="DD345" s="47">
        <v>46228.0</v>
      </c>
      <c r="DE345" s="43"/>
      <c r="DF345" s="43"/>
      <c r="DG345" s="48" t="s">
        <v>128</v>
      </c>
      <c r="DH345" s="48" t="s">
        <v>128</v>
      </c>
      <c r="DI345" s="48" t="s">
        <v>128</v>
      </c>
      <c r="DJ345" s="49">
        <v>0.0</v>
      </c>
      <c r="DK345" s="48" t="b">
        <v>0</v>
      </c>
      <c r="DL345" s="50" t="s">
        <v>887</v>
      </c>
      <c r="DM345" s="50" t="s">
        <v>128</v>
      </c>
      <c r="DN345" s="50" t="s">
        <v>888</v>
      </c>
      <c r="DO345" s="49">
        <v>0.94</v>
      </c>
      <c r="DP345" s="48" t="s">
        <v>128</v>
      </c>
      <c r="DQ345" s="48" t="s">
        <v>128</v>
      </c>
      <c r="DR345" s="51"/>
      <c r="DS345" s="48" t="s">
        <v>134</v>
      </c>
    </row>
    <row r="346">
      <c r="A346" s="23" t="s">
        <v>118</v>
      </c>
      <c r="B346" s="24">
        <v>6.0</v>
      </c>
      <c r="C346" s="23" t="s">
        <v>747</v>
      </c>
      <c r="D346" s="24">
        <v>641645.0</v>
      </c>
      <c r="E346" s="23" t="s">
        <v>145</v>
      </c>
      <c r="F346" s="23" t="s">
        <v>909</v>
      </c>
      <c r="G346" s="23" t="s">
        <v>910</v>
      </c>
      <c r="H346" s="24">
        <v>48398.0</v>
      </c>
      <c r="I346" s="24">
        <v>21.0</v>
      </c>
      <c r="J346" s="24">
        <v>0.0</v>
      </c>
      <c r="K346" s="24">
        <v>0.0</v>
      </c>
      <c r="L346" s="24">
        <v>0.0</v>
      </c>
      <c r="M346" s="24">
        <v>0.0</v>
      </c>
      <c r="N346" s="24">
        <v>0.0</v>
      </c>
      <c r="O346" s="24">
        <v>0.0</v>
      </c>
      <c r="P346" s="24">
        <v>0.0</v>
      </c>
      <c r="Q346" s="24">
        <v>1.0</v>
      </c>
      <c r="R346" s="24">
        <v>0.0</v>
      </c>
      <c r="S346" s="24">
        <v>2.0</v>
      </c>
      <c r="T346" s="24">
        <v>2.0</v>
      </c>
      <c r="U346" s="24">
        <v>0.0</v>
      </c>
      <c r="V346" s="24">
        <v>3.0</v>
      </c>
      <c r="W346" s="24">
        <v>0.0</v>
      </c>
      <c r="X346" s="24">
        <v>0.0</v>
      </c>
      <c r="Y346" s="24">
        <v>0.0</v>
      </c>
      <c r="Z346" s="24">
        <v>2.0</v>
      </c>
      <c r="AA346" s="24">
        <v>1.0</v>
      </c>
      <c r="AB346" s="24">
        <v>2.0</v>
      </c>
      <c r="AC346" s="24">
        <v>0.0</v>
      </c>
      <c r="AD346" s="24">
        <v>1.0</v>
      </c>
      <c r="AE346" s="24">
        <v>1.0</v>
      </c>
      <c r="AF346" s="24">
        <v>1.0</v>
      </c>
      <c r="AG346" s="24">
        <v>2.0</v>
      </c>
      <c r="AH346" s="24">
        <v>0.0</v>
      </c>
      <c r="AI346" s="24">
        <v>0.0</v>
      </c>
      <c r="AJ346" s="24">
        <v>0.0</v>
      </c>
      <c r="AK346" s="24">
        <v>1.0</v>
      </c>
      <c r="AL346" s="24">
        <v>0.0</v>
      </c>
      <c r="AM346" s="24">
        <v>2.0</v>
      </c>
      <c r="AN346" s="24">
        <v>0.0</v>
      </c>
      <c r="AO346" s="55">
        <v>16.5</v>
      </c>
      <c r="AP346" s="26"/>
      <c r="AQ346" s="26"/>
      <c r="AR346" s="26"/>
      <c r="AS346" s="26"/>
      <c r="AT346" s="26"/>
      <c r="AU346" s="26"/>
      <c r="AV346" s="26"/>
      <c r="AW346" s="24">
        <v>10.58</v>
      </c>
      <c r="AX346" s="26"/>
      <c r="AY346" s="24">
        <v>19.23</v>
      </c>
      <c r="AZ346" s="24">
        <v>13.43</v>
      </c>
      <c r="BA346" s="26"/>
      <c r="BB346" s="24">
        <v>14.53</v>
      </c>
      <c r="BC346" s="26"/>
      <c r="BD346" s="26"/>
      <c r="BE346" s="26"/>
      <c r="BF346" s="24">
        <v>17.87</v>
      </c>
      <c r="BG346" s="24">
        <v>21.88</v>
      </c>
      <c r="BH346" s="24">
        <v>18.27</v>
      </c>
      <c r="BI346" s="26"/>
      <c r="BJ346" s="24">
        <v>13.18</v>
      </c>
      <c r="BK346" s="24">
        <v>15.8</v>
      </c>
      <c r="BL346" s="24">
        <v>12.18</v>
      </c>
      <c r="BM346" s="24">
        <v>18.01</v>
      </c>
      <c r="BN346" s="26"/>
      <c r="BO346" s="24">
        <v>0.31</v>
      </c>
      <c r="BP346" s="24">
        <v>0.75</v>
      </c>
      <c r="BQ346" s="24">
        <v>5.1</v>
      </c>
      <c r="BR346" s="24">
        <v>5.64</v>
      </c>
      <c r="BS346" s="25">
        <v>4.23</v>
      </c>
      <c r="BT346" s="56">
        <v>17.7</v>
      </c>
      <c r="BU346" s="25">
        <v>4.9</v>
      </c>
      <c r="BV346" s="55">
        <v>6.61</v>
      </c>
      <c r="BW346" s="24">
        <v>1600.0</v>
      </c>
      <c r="BX346" s="24">
        <v>3000.0</v>
      </c>
      <c r="BY346" s="24" t="s">
        <v>123</v>
      </c>
      <c r="BZ346" s="28">
        <v>3000.0</v>
      </c>
      <c r="CA346" s="72"/>
      <c r="CB346" s="30">
        <v>3000.0</v>
      </c>
      <c r="CC346" s="31"/>
      <c r="CD346" s="28">
        <v>3000.0</v>
      </c>
      <c r="CE346" s="32" t="e">
        <v>#REF!</v>
      </c>
      <c r="CF346" s="33"/>
      <c r="CG346" s="34">
        <v>0.0</v>
      </c>
      <c r="CH346" s="35">
        <v>0.0</v>
      </c>
      <c r="CI346" s="36">
        <v>21.0</v>
      </c>
      <c r="CJ346" s="36">
        <v>3619.0</v>
      </c>
      <c r="CK346" s="37">
        <v>-8.0</v>
      </c>
      <c r="CL346" s="36">
        <v>3611.0</v>
      </c>
      <c r="CM346" s="38">
        <v>347.0</v>
      </c>
      <c r="CN346" s="36">
        <v>0.0</v>
      </c>
      <c r="CO346" s="39">
        <v>16.5</v>
      </c>
      <c r="CP346" s="40">
        <v>0.0</v>
      </c>
      <c r="CQ346" s="36">
        <v>16.0</v>
      </c>
      <c r="CR346" s="36">
        <v>16.0</v>
      </c>
      <c r="CS346" s="36">
        <v>89.0</v>
      </c>
      <c r="CT346" s="41"/>
      <c r="CU346" s="42"/>
      <c r="CV346" s="43"/>
      <c r="CW346" s="44">
        <v>10.0</v>
      </c>
      <c r="CX346" s="44" t="s">
        <v>138</v>
      </c>
      <c r="CY346" s="44" t="s">
        <v>139</v>
      </c>
      <c r="CZ346" s="45"/>
      <c r="DA346" s="44">
        <v>3000.0</v>
      </c>
      <c r="DB346" s="44">
        <v>0.0</v>
      </c>
      <c r="DC346" s="46" t="s">
        <v>127</v>
      </c>
      <c r="DD346" s="47">
        <v>46197.0</v>
      </c>
      <c r="DE346" s="43"/>
      <c r="DF346" s="43"/>
      <c r="DG346" s="48" t="s">
        <v>128</v>
      </c>
      <c r="DH346" s="48" t="s">
        <v>128</v>
      </c>
      <c r="DI346" s="48" t="s">
        <v>128</v>
      </c>
      <c r="DJ346" s="49">
        <v>1.0</v>
      </c>
      <c r="DK346" s="48" t="b">
        <v>0</v>
      </c>
      <c r="DL346" s="50" t="s">
        <v>887</v>
      </c>
      <c r="DM346" s="50" t="s">
        <v>128</v>
      </c>
      <c r="DN346" s="50" t="s">
        <v>888</v>
      </c>
      <c r="DO346" s="49">
        <v>0.94</v>
      </c>
      <c r="DP346" s="48" t="s">
        <v>128</v>
      </c>
      <c r="DQ346" s="48" t="s">
        <v>128</v>
      </c>
      <c r="DR346" s="51"/>
      <c r="DS346" s="48" t="s">
        <v>134</v>
      </c>
    </row>
    <row r="347">
      <c r="A347" s="52" t="s">
        <v>118</v>
      </c>
      <c r="B347" s="53">
        <v>6.0</v>
      </c>
      <c r="C347" s="52" t="s">
        <v>747</v>
      </c>
      <c r="D347" s="53">
        <v>610881.0</v>
      </c>
      <c r="E347" s="52" t="s">
        <v>167</v>
      </c>
      <c r="F347" s="52" t="s">
        <v>911</v>
      </c>
      <c r="G347" s="52" t="s">
        <v>912</v>
      </c>
      <c r="H347" s="53">
        <v>48398.0</v>
      </c>
      <c r="I347" s="53">
        <v>16.0</v>
      </c>
      <c r="J347" s="53">
        <v>0.0</v>
      </c>
      <c r="K347" s="53">
        <v>0.0</v>
      </c>
      <c r="L347" s="53">
        <v>0.0</v>
      </c>
      <c r="M347" s="53">
        <v>0.0</v>
      </c>
      <c r="N347" s="53">
        <v>0.0</v>
      </c>
      <c r="O347" s="53">
        <v>0.0</v>
      </c>
      <c r="P347" s="53">
        <v>1.0</v>
      </c>
      <c r="Q347" s="53">
        <v>1.0</v>
      </c>
      <c r="R347" s="53">
        <v>0.0</v>
      </c>
      <c r="S347" s="53">
        <v>0.0</v>
      </c>
      <c r="T347" s="53">
        <v>1.0</v>
      </c>
      <c r="U347" s="53">
        <v>0.0</v>
      </c>
      <c r="V347" s="53">
        <v>1.0</v>
      </c>
      <c r="W347" s="53">
        <v>0.0</v>
      </c>
      <c r="X347" s="53">
        <v>1.0</v>
      </c>
      <c r="Y347" s="53">
        <v>0.0</v>
      </c>
      <c r="Z347" s="53">
        <v>0.0</v>
      </c>
      <c r="AA347" s="53">
        <v>0.0</v>
      </c>
      <c r="AB347" s="53">
        <v>0.0</v>
      </c>
      <c r="AC347" s="53">
        <v>4.0</v>
      </c>
      <c r="AD347" s="53">
        <v>1.0</v>
      </c>
      <c r="AE347" s="53">
        <v>2.0</v>
      </c>
      <c r="AF347" s="53">
        <v>1.0</v>
      </c>
      <c r="AG347" s="53">
        <v>0.0</v>
      </c>
      <c r="AH347" s="53">
        <v>0.0</v>
      </c>
      <c r="AI347" s="53">
        <v>1.0</v>
      </c>
      <c r="AJ347" s="53">
        <v>0.0</v>
      </c>
      <c r="AK347" s="53">
        <v>0.0</v>
      </c>
      <c r="AL347" s="53">
        <v>0.0</v>
      </c>
      <c r="AM347" s="53">
        <v>1.0</v>
      </c>
      <c r="AN347" s="53">
        <v>1.0</v>
      </c>
      <c r="AO347" s="55">
        <v>15.3</v>
      </c>
      <c r="AP347" s="54"/>
      <c r="AQ347" s="54"/>
      <c r="AR347" s="54"/>
      <c r="AS347" s="54"/>
      <c r="AT347" s="54"/>
      <c r="AU347" s="54"/>
      <c r="AV347" s="53">
        <v>13.72</v>
      </c>
      <c r="AW347" s="53">
        <v>10.98</v>
      </c>
      <c r="AX347" s="54"/>
      <c r="AY347" s="54"/>
      <c r="AZ347" s="53">
        <v>13.25</v>
      </c>
      <c r="BA347" s="54"/>
      <c r="BB347" s="53">
        <v>10.5</v>
      </c>
      <c r="BC347" s="54"/>
      <c r="BD347" s="53">
        <v>13.98</v>
      </c>
      <c r="BE347" s="54"/>
      <c r="BF347" s="54"/>
      <c r="BG347" s="54"/>
      <c r="BH347" s="54"/>
      <c r="BI347" s="53">
        <v>14.97</v>
      </c>
      <c r="BJ347" s="53">
        <v>13.43</v>
      </c>
      <c r="BK347" s="53">
        <v>15.96</v>
      </c>
      <c r="BL347" s="53">
        <v>18.22</v>
      </c>
      <c r="BM347" s="54"/>
      <c r="BN347" s="54"/>
      <c r="BO347" s="53">
        <v>0.33</v>
      </c>
      <c r="BP347" s="53">
        <v>1.14</v>
      </c>
      <c r="BQ347" s="53">
        <v>5.12</v>
      </c>
      <c r="BR347" s="53">
        <v>6.07</v>
      </c>
      <c r="BS347" s="55">
        <v>3.14</v>
      </c>
      <c r="BT347" s="91">
        <v>16.2</v>
      </c>
      <c r="BU347" s="55">
        <v>4.0</v>
      </c>
      <c r="BV347" s="57">
        <v>5.38</v>
      </c>
      <c r="BW347" s="54"/>
      <c r="BX347" s="53">
        <v>3000.0</v>
      </c>
      <c r="BY347" s="53" t="s">
        <v>123</v>
      </c>
      <c r="BZ347" s="58">
        <v>3000.0</v>
      </c>
      <c r="CA347" s="72"/>
      <c r="CB347" s="30">
        <v>3000.0</v>
      </c>
      <c r="CC347" s="31"/>
      <c r="CD347" s="58">
        <v>3000.0</v>
      </c>
      <c r="CE347" s="59" t="e">
        <v>#REF!</v>
      </c>
      <c r="CF347" s="60"/>
      <c r="CG347" s="61">
        <v>0.0</v>
      </c>
      <c r="CH347" s="62">
        <v>0.0</v>
      </c>
      <c r="CI347" s="63">
        <v>16.0</v>
      </c>
      <c r="CJ347" s="63">
        <v>3619.0</v>
      </c>
      <c r="CK347" s="64">
        <v>-8.0</v>
      </c>
      <c r="CL347" s="63">
        <v>3611.0</v>
      </c>
      <c r="CM347" s="65">
        <v>245.0</v>
      </c>
      <c r="CN347" s="63">
        <v>0.0</v>
      </c>
      <c r="CO347" s="66">
        <v>15.3</v>
      </c>
      <c r="CP347" s="67">
        <v>0.0</v>
      </c>
      <c r="CQ347" s="63">
        <v>18.0</v>
      </c>
      <c r="CR347" s="63">
        <v>18.0</v>
      </c>
      <c r="CS347" s="63">
        <v>50.0</v>
      </c>
      <c r="CT347" s="68"/>
      <c r="CU347" s="69"/>
      <c r="CV347" s="70"/>
      <c r="CW347" s="71">
        <v>10.0</v>
      </c>
      <c r="CX347" s="71" t="s">
        <v>138</v>
      </c>
      <c r="CY347" s="71" t="s">
        <v>139</v>
      </c>
      <c r="CZ347" s="45"/>
      <c r="DA347" s="44">
        <v>3000.0</v>
      </c>
      <c r="DB347" s="44">
        <v>0.0</v>
      </c>
      <c r="DC347" s="46" t="s">
        <v>127</v>
      </c>
      <c r="DD347" s="47">
        <v>46228.0</v>
      </c>
      <c r="DE347" s="43"/>
      <c r="DF347" s="43"/>
      <c r="DG347" s="48" t="s">
        <v>128</v>
      </c>
      <c r="DH347" s="48" t="s">
        <v>128</v>
      </c>
      <c r="DI347" s="48" t="s">
        <v>128</v>
      </c>
      <c r="DJ347" s="49">
        <v>0.0</v>
      </c>
      <c r="DK347" s="48" t="b">
        <v>0</v>
      </c>
      <c r="DL347" s="50" t="s">
        <v>887</v>
      </c>
      <c r="DM347" s="50" t="s">
        <v>128</v>
      </c>
      <c r="DN347" s="50" t="s">
        <v>888</v>
      </c>
      <c r="DO347" s="49">
        <v>0.94</v>
      </c>
      <c r="DP347" s="48" t="s">
        <v>128</v>
      </c>
      <c r="DQ347" s="48" t="s">
        <v>128</v>
      </c>
      <c r="DR347" s="51"/>
      <c r="DS347" s="48" t="s">
        <v>134</v>
      </c>
    </row>
    <row r="348">
      <c r="A348" s="23" t="s">
        <v>118</v>
      </c>
      <c r="B348" s="24">
        <v>6.0</v>
      </c>
      <c r="C348" s="23" t="s">
        <v>747</v>
      </c>
      <c r="D348" s="24">
        <v>588071.0</v>
      </c>
      <c r="E348" s="23" t="s">
        <v>152</v>
      </c>
      <c r="F348" s="23" t="s">
        <v>913</v>
      </c>
      <c r="G348" s="23" t="s">
        <v>914</v>
      </c>
      <c r="H348" s="24">
        <v>48398.0</v>
      </c>
      <c r="I348" s="24">
        <v>8.0</v>
      </c>
      <c r="J348" s="24">
        <v>0.0</v>
      </c>
      <c r="K348" s="24">
        <v>0.0</v>
      </c>
      <c r="L348" s="24">
        <v>0.0</v>
      </c>
      <c r="M348" s="24">
        <v>0.0</v>
      </c>
      <c r="N348" s="24">
        <v>0.0</v>
      </c>
      <c r="O348" s="24">
        <v>0.0</v>
      </c>
      <c r="P348" s="24">
        <v>1.0</v>
      </c>
      <c r="Q348" s="24">
        <v>0.0</v>
      </c>
      <c r="R348" s="24">
        <v>1.0</v>
      </c>
      <c r="S348" s="24">
        <v>0.0</v>
      </c>
      <c r="T348" s="24">
        <v>0.0</v>
      </c>
      <c r="U348" s="24">
        <v>0.0</v>
      </c>
      <c r="V348" s="24">
        <v>0.0</v>
      </c>
      <c r="W348" s="24">
        <v>0.0</v>
      </c>
      <c r="X348" s="24">
        <v>0.0</v>
      </c>
      <c r="Y348" s="24">
        <v>0.0</v>
      </c>
      <c r="Z348" s="24">
        <v>0.0</v>
      </c>
      <c r="AA348" s="24">
        <v>1.0</v>
      </c>
      <c r="AB348" s="24">
        <v>1.0</v>
      </c>
      <c r="AC348" s="24">
        <v>1.0</v>
      </c>
      <c r="AD348" s="24">
        <v>0.0</v>
      </c>
      <c r="AE348" s="24">
        <v>1.0</v>
      </c>
      <c r="AF348" s="24">
        <v>0.0</v>
      </c>
      <c r="AG348" s="24">
        <v>1.0</v>
      </c>
      <c r="AH348" s="24">
        <v>0.0</v>
      </c>
      <c r="AI348" s="24">
        <v>1.0</v>
      </c>
      <c r="AJ348" s="24">
        <v>0.0</v>
      </c>
      <c r="AK348" s="24">
        <v>0.0</v>
      </c>
      <c r="AL348" s="24">
        <v>0.0</v>
      </c>
      <c r="AM348" s="24">
        <v>0.0</v>
      </c>
      <c r="AN348" s="24">
        <v>0.0</v>
      </c>
      <c r="AO348" s="55">
        <v>15.5</v>
      </c>
      <c r="AP348" s="26"/>
      <c r="AQ348" s="26"/>
      <c r="AR348" s="26"/>
      <c r="AS348" s="26"/>
      <c r="AT348" s="26"/>
      <c r="AU348" s="26"/>
      <c r="AV348" s="24">
        <v>13.47</v>
      </c>
      <c r="AW348" s="26"/>
      <c r="AX348" s="24">
        <v>16.17</v>
      </c>
      <c r="AY348" s="26"/>
      <c r="AZ348" s="26"/>
      <c r="BA348" s="26"/>
      <c r="BB348" s="26"/>
      <c r="BC348" s="26"/>
      <c r="BD348" s="26"/>
      <c r="BE348" s="26"/>
      <c r="BF348" s="26"/>
      <c r="BG348" s="24">
        <v>9.55</v>
      </c>
      <c r="BH348" s="24">
        <v>21.3</v>
      </c>
      <c r="BI348" s="24">
        <v>13.87</v>
      </c>
      <c r="BJ348" s="26"/>
      <c r="BK348" s="24">
        <v>22.73</v>
      </c>
      <c r="BL348" s="26"/>
      <c r="BM348" s="24">
        <v>11.37</v>
      </c>
      <c r="BN348" s="26"/>
      <c r="BO348" s="24">
        <v>0.26</v>
      </c>
      <c r="BP348" s="24">
        <v>0.77</v>
      </c>
      <c r="BQ348" s="24">
        <v>6.31</v>
      </c>
      <c r="BR348" s="24">
        <v>6.88</v>
      </c>
      <c r="BS348" s="55">
        <v>3.1</v>
      </c>
      <c r="BT348" s="77">
        <v>13.6</v>
      </c>
      <c r="BU348" s="57">
        <v>0.6</v>
      </c>
      <c r="BV348" s="57">
        <v>5.77</v>
      </c>
      <c r="BW348" s="26"/>
      <c r="BX348" s="24">
        <v>3000.0</v>
      </c>
      <c r="BY348" s="24" t="s">
        <v>123</v>
      </c>
      <c r="BZ348" s="28">
        <v>3000.0</v>
      </c>
      <c r="CA348" s="72"/>
      <c r="CB348" s="30">
        <v>3000.0</v>
      </c>
      <c r="CC348" s="31"/>
      <c r="CD348" s="28">
        <v>3000.0</v>
      </c>
      <c r="CE348" s="32" t="e">
        <v>#REF!</v>
      </c>
      <c r="CF348" s="33"/>
      <c r="CG348" s="34">
        <v>0.0</v>
      </c>
      <c r="CH348" s="35">
        <v>0.0</v>
      </c>
      <c r="CI348" s="36">
        <v>8.0</v>
      </c>
      <c r="CJ348" s="36">
        <v>3619.0</v>
      </c>
      <c r="CK348" s="37">
        <v>-8.0</v>
      </c>
      <c r="CL348" s="36">
        <v>3611.0</v>
      </c>
      <c r="CM348" s="38">
        <v>124.0</v>
      </c>
      <c r="CN348" s="36">
        <v>0.0</v>
      </c>
      <c r="CO348" s="39">
        <v>15.5</v>
      </c>
      <c r="CP348" s="40">
        <v>0.0</v>
      </c>
      <c r="CQ348" s="36">
        <v>6.0</v>
      </c>
      <c r="CR348" s="36">
        <v>6.0</v>
      </c>
      <c r="CS348" s="36">
        <v>25.0</v>
      </c>
      <c r="CT348" s="41"/>
      <c r="CU348" s="42"/>
      <c r="CV348" s="43"/>
      <c r="CW348" s="44">
        <v>10.0</v>
      </c>
      <c r="CX348" s="44" t="s">
        <v>138</v>
      </c>
      <c r="CY348" s="44" t="s">
        <v>139</v>
      </c>
      <c r="CZ348" s="45"/>
      <c r="DA348" s="44">
        <v>3000.0</v>
      </c>
      <c r="DB348" s="44">
        <v>0.0</v>
      </c>
      <c r="DC348" s="46" t="s">
        <v>127</v>
      </c>
      <c r="DD348" s="47">
        <v>46233.0</v>
      </c>
      <c r="DE348" s="43"/>
      <c r="DF348" s="43"/>
      <c r="DG348" s="48" t="s">
        <v>128</v>
      </c>
      <c r="DH348" s="48" t="s">
        <v>128</v>
      </c>
      <c r="DI348" s="48" t="s">
        <v>128</v>
      </c>
      <c r="DJ348" s="49">
        <v>1.0</v>
      </c>
      <c r="DK348" s="48" t="b">
        <v>1</v>
      </c>
      <c r="DL348" s="50" t="s">
        <v>887</v>
      </c>
      <c r="DM348" s="50" t="s">
        <v>128</v>
      </c>
      <c r="DN348" s="50" t="s">
        <v>888</v>
      </c>
      <c r="DO348" s="49">
        <v>0.94</v>
      </c>
      <c r="DP348" s="48" t="s">
        <v>128</v>
      </c>
      <c r="DQ348" s="48" t="s">
        <v>128</v>
      </c>
      <c r="DR348" s="51"/>
      <c r="DS348" s="48" t="s">
        <v>134</v>
      </c>
    </row>
    <row r="349">
      <c r="A349" s="52" t="s">
        <v>118</v>
      </c>
      <c r="B349" s="53">
        <v>6.0</v>
      </c>
      <c r="C349" s="52" t="s">
        <v>747</v>
      </c>
      <c r="D349" s="53">
        <v>639495.0</v>
      </c>
      <c r="E349" s="52" t="s">
        <v>155</v>
      </c>
      <c r="F349" s="52" t="s">
        <v>915</v>
      </c>
      <c r="G349" s="52" t="s">
        <v>916</v>
      </c>
      <c r="H349" s="53">
        <v>48398.0</v>
      </c>
      <c r="I349" s="53">
        <v>49.0</v>
      </c>
      <c r="J349" s="53">
        <v>0.0</v>
      </c>
      <c r="K349" s="53">
        <v>0.0</v>
      </c>
      <c r="L349" s="53">
        <v>0.0</v>
      </c>
      <c r="M349" s="53">
        <v>0.0</v>
      </c>
      <c r="N349" s="53">
        <v>0.0</v>
      </c>
      <c r="O349" s="53">
        <v>1.0</v>
      </c>
      <c r="P349" s="53">
        <v>0.0</v>
      </c>
      <c r="Q349" s="53">
        <v>3.0</v>
      </c>
      <c r="R349" s="53">
        <v>3.0</v>
      </c>
      <c r="S349" s="53">
        <v>1.0</v>
      </c>
      <c r="T349" s="53">
        <v>0.0</v>
      </c>
      <c r="U349" s="53">
        <v>4.0</v>
      </c>
      <c r="V349" s="53">
        <v>0.0</v>
      </c>
      <c r="W349" s="53">
        <v>1.0</v>
      </c>
      <c r="X349" s="53">
        <v>2.0</v>
      </c>
      <c r="Y349" s="53">
        <v>1.0</v>
      </c>
      <c r="Z349" s="53">
        <v>2.0</v>
      </c>
      <c r="AA349" s="53">
        <v>2.0</v>
      </c>
      <c r="AB349" s="53">
        <v>0.0</v>
      </c>
      <c r="AC349" s="53">
        <v>5.0</v>
      </c>
      <c r="AD349" s="53">
        <v>2.0</v>
      </c>
      <c r="AE349" s="53">
        <v>2.0</v>
      </c>
      <c r="AF349" s="53">
        <v>5.0</v>
      </c>
      <c r="AG349" s="53">
        <v>2.0</v>
      </c>
      <c r="AH349" s="53">
        <v>2.0</v>
      </c>
      <c r="AI349" s="53">
        <v>3.0</v>
      </c>
      <c r="AJ349" s="53">
        <v>3.0</v>
      </c>
      <c r="AK349" s="53">
        <v>2.0</v>
      </c>
      <c r="AL349" s="53">
        <v>0.0</v>
      </c>
      <c r="AM349" s="53">
        <v>2.0</v>
      </c>
      <c r="AN349" s="53">
        <v>1.0</v>
      </c>
      <c r="AO349" s="55">
        <v>16.2</v>
      </c>
      <c r="AP349" s="54"/>
      <c r="AQ349" s="54"/>
      <c r="AR349" s="54"/>
      <c r="AS349" s="54"/>
      <c r="AT349" s="54"/>
      <c r="AU349" s="53">
        <v>18.2</v>
      </c>
      <c r="AV349" s="54"/>
      <c r="AW349" s="53">
        <v>18.48</v>
      </c>
      <c r="AX349" s="53">
        <v>16.19</v>
      </c>
      <c r="AY349" s="53">
        <v>9.87</v>
      </c>
      <c r="AZ349" s="54"/>
      <c r="BA349" s="53">
        <v>16.99</v>
      </c>
      <c r="BB349" s="54"/>
      <c r="BC349" s="53">
        <v>13.3</v>
      </c>
      <c r="BD349" s="53">
        <v>14.53</v>
      </c>
      <c r="BE349" s="53">
        <v>13.45</v>
      </c>
      <c r="BF349" s="53">
        <v>17.89</v>
      </c>
      <c r="BG349" s="53">
        <v>13.29</v>
      </c>
      <c r="BH349" s="54"/>
      <c r="BI349" s="53">
        <v>15.53</v>
      </c>
      <c r="BJ349" s="53">
        <v>14.29</v>
      </c>
      <c r="BK349" s="53">
        <v>13.61</v>
      </c>
      <c r="BL349" s="53">
        <v>15.84</v>
      </c>
      <c r="BM349" s="53">
        <v>17.63</v>
      </c>
      <c r="BN349" s="53">
        <v>14.07</v>
      </c>
      <c r="BO349" s="53">
        <v>0.3</v>
      </c>
      <c r="BP349" s="53">
        <v>1.18</v>
      </c>
      <c r="BQ349" s="53">
        <v>6.33</v>
      </c>
      <c r="BR349" s="53">
        <v>7.3</v>
      </c>
      <c r="BS349" s="55">
        <v>3.02</v>
      </c>
      <c r="BT349" s="91">
        <v>15.1</v>
      </c>
      <c r="BU349" s="57">
        <v>2.2</v>
      </c>
      <c r="BV349" s="57">
        <v>5.39</v>
      </c>
      <c r="BW349" s="54"/>
      <c r="BX349" s="53">
        <v>3000.0</v>
      </c>
      <c r="BY349" s="53" t="s">
        <v>123</v>
      </c>
      <c r="BZ349" s="58">
        <v>3000.0</v>
      </c>
      <c r="CA349" s="72"/>
      <c r="CB349" s="30">
        <v>3000.0</v>
      </c>
      <c r="CC349" s="31"/>
      <c r="CD349" s="58">
        <v>3000.0</v>
      </c>
      <c r="CE349" s="59" t="e">
        <v>#REF!</v>
      </c>
      <c r="CF349" s="60"/>
      <c r="CG349" s="61">
        <v>0.0</v>
      </c>
      <c r="CH349" s="62">
        <v>0.0</v>
      </c>
      <c r="CI349" s="63">
        <v>49.0</v>
      </c>
      <c r="CJ349" s="63">
        <v>3619.0</v>
      </c>
      <c r="CK349" s="64">
        <v>-8.0</v>
      </c>
      <c r="CL349" s="63">
        <v>3611.0</v>
      </c>
      <c r="CM349" s="65">
        <v>794.0</v>
      </c>
      <c r="CN349" s="63">
        <v>0.0</v>
      </c>
      <c r="CO349" s="66">
        <v>16.2</v>
      </c>
      <c r="CP349" s="67">
        <v>0.0</v>
      </c>
      <c r="CQ349" s="63">
        <v>58.0</v>
      </c>
      <c r="CR349" s="63">
        <v>58.0</v>
      </c>
      <c r="CS349" s="63">
        <v>148.0</v>
      </c>
      <c r="CT349" s="68"/>
      <c r="CU349" s="69"/>
      <c r="CV349" s="70"/>
      <c r="CW349" s="71">
        <v>10.0</v>
      </c>
      <c r="CX349" s="71" t="s">
        <v>138</v>
      </c>
      <c r="CY349" s="71" t="s">
        <v>139</v>
      </c>
      <c r="CZ349" s="45"/>
      <c r="DA349" s="44">
        <v>3000.0</v>
      </c>
      <c r="DB349" s="44">
        <v>0.0</v>
      </c>
      <c r="DC349" s="46" t="s">
        <v>127</v>
      </c>
      <c r="DD349" s="47">
        <v>46174.0</v>
      </c>
      <c r="DE349" s="43"/>
      <c r="DF349" s="43"/>
      <c r="DG349" s="48" t="s">
        <v>128</v>
      </c>
      <c r="DH349" s="48" t="s">
        <v>128</v>
      </c>
      <c r="DI349" s="48" t="s">
        <v>128</v>
      </c>
      <c r="DJ349" s="49">
        <v>1.0</v>
      </c>
      <c r="DK349" s="48" t="b">
        <v>1</v>
      </c>
      <c r="DL349" s="50" t="s">
        <v>887</v>
      </c>
      <c r="DM349" s="50" t="s">
        <v>128</v>
      </c>
      <c r="DN349" s="50" t="s">
        <v>888</v>
      </c>
      <c r="DO349" s="49">
        <v>0.94</v>
      </c>
      <c r="DP349" s="48" t="s">
        <v>128</v>
      </c>
      <c r="DQ349" s="48" t="s">
        <v>128</v>
      </c>
      <c r="DR349" s="51"/>
      <c r="DS349" s="48" t="s">
        <v>134</v>
      </c>
    </row>
    <row r="350">
      <c r="A350" s="23" t="s">
        <v>118</v>
      </c>
      <c r="B350" s="24">
        <v>6.0</v>
      </c>
      <c r="C350" s="23" t="s">
        <v>747</v>
      </c>
      <c r="D350" s="24">
        <v>648806.0</v>
      </c>
      <c r="E350" s="23" t="s">
        <v>179</v>
      </c>
      <c r="F350" s="23" t="s">
        <v>917</v>
      </c>
      <c r="G350" s="23" t="s">
        <v>918</v>
      </c>
      <c r="H350" s="24">
        <v>48398.0</v>
      </c>
      <c r="I350" s="24">
        <v>7.0</v>
      </c>
      <c r="J350" s="24">
        <v>0.0</v>
      </c>
      <c r="K350" s="24">
        <v>0.0</v>
      </c>
      <c r="L350" s="24">
        <v>0.0</v>
      </c>
      <c r="M350" s="24">
        <v>0.0</v>
      </c>
      <c r="N350" s="24">
        <v>0.0</v>
      </c>
      <c r="O350" s="24">
        <v>0.0</v>
      </c>
      <c r="P350" s="24">
        <v>0.0</v>
      </c>
      <c r="Q350" s="24">
        <v>0.0</v>
      </c>
      <c r="R350" s="24">
        <v>0.0</v>
      </c>
      <c r="S350" s="24">
        <v>0.0</v>
      </c>
      <c r="T350" s="24">
        <v>0.0</v>
      </c>
      <c r="U350" s="24">
        <v>0.0</v>
      </c>
      <c r="V350" s="24">
        <v>1.0</v>
      </c>
      <c r="W350" s="24">
        <v>0.0</v>
      </c>
      <c r="X350" s="24">
        <v>0.0</v>
      </c>
      <c r="Y350" s="24">
        <v>1.0</v>
      </c>
      <c r="Z350" s="24">
        <v>0.0</v>
      </c>
      <c r="AA350" s="24">
        <v>0.0</v>
      </c>
      <c r="AB350" s="24">
        <v>1.0</v>
      </c>
      <c r="AC350" s="24">
        <v>0.0</v>
      </c>
      <c r="AD350" s="24">
        <v>2.0</v>
      </c>
      <c r="AE350" s="24">
        <v>0.0</v>
      </c>
      <c r="AF350" s="24">
        <v>0.0</v>
      </c>
      <c r="AG350" s="24">
        <v>0.0</v>
      </c>
      <c r="AH350" s="24">
        <v>0.0</v>
      </c>
      <c r="AI350" s="24">
        <v>0.0</v>
      </c>
      <c r="AJ350" s="24">
        <v>1.0</v>
      </c>
      <c r="AK350" s="24">
        <v>0.0</v>
      </c>
      <c r="AL350" s="24">
        <v>1.0</v>
      </c>
      <c r="AM350" s="24">
        <v>0.0</v>
      </c>
      <c r="AN350" s="24">
        <v>0.0</v>
      </c>
      <c r="AO350" s="57">
        <v>14.7</v>
      </c>
      <c r="AP350" s="26"/>
      <c r="AQ350" s="26"/>
      <c r="AR350" s="26"/>
      <c r="AS350" s="26"/>
      <c r="AT350" s="26"/>
      <c r="AU350" s="26"/>
      <c r="AV350" s="26"/>
      <c r="AW350" s="26"/>
      <c r="AX350" s="26"/>
      <c r="AY350" s="26"/>
      <c r="AZ350" s="26"/>
      <c r="BA350" s="26"/>
      <c r="BB350" s="24">
        <v>22.53</v>
      </c>
      <c r="BC350" s="26"/>
      <c r="BD350" s="26"/>
      <c r="BE350" s="24">
        <v>9.82</v>
      </c>
      <c r="BF350" s="26"/>
      <c r="BG350" s="26"/>
      <c r="BH350" s="24">
        <v>14.17</v>
      </c>
      <c r="BI350" s="26"/>
      <c r="BJ350" s="24">
        <v>13.43</v>
      </c>
      <c r="BK350" s="26"/>
      <c r="BL350" s="26"/>
      <c r="BM350" s="26"/>
      <c r="BN350" s="26"/>
      <c r="BO350" s="24">
        <v>0.25</v>
      </c>
      <c r="BP350" s="24">
        <v>0.78</v>
      </c>
      <c r="BQ350" s="24">
        <v>4.95</v>
      </c>
      <c r="BR350" s="24">
        <v>5.53</v>
      </c>
      <c r="BS350" s="57">
        <v>2.8</v>
      </c>
      <c r="BT350" s="91">
        <v>15.3</v>
      </c>
      <c r="BU350" s="55">
        <v>3.8</v>
      </c>
      <c r="BV350" s="57">
        <v>5.69</v>
      </c>
      <c r="BW350" s="26"/>
      <c r="BX350" s="24">
        <v>3000.0</v>
      </c>
      <c r="BY350" s="24" t="s">
        <v>123</v>
      </c>
      <c r="BZ350" s="28">
        <v>3000.0</v>
      </c>
      <c r="CA350" s="72"/>
      <c r="CB350" s="30">
        <v>3000.0</v>
      </c>
      <c r="CC350" s="31"/>
      <c r="CD350" s="28">
        <v>3000.0</v>
      </c>
      <c r="CE350" s="32" t="e">
        <v>#REF!</v>
      </c>
      <c r="CF350" s="33"/>
      <c r="CG350" s="34">
        <v>0.0</v>
      </c>
      <c r="CH350" s="35">
        <v>0.0</v>
      </c>
      <c r="CI350" s="36">
        <v>7.0</v>
      </c>
      <c r="CJ350" s="36">
        <v>3619.0</v>
      </c>
      <c r="CK350" s="37">
        <v>-8.0</v>
      </c>
      <c r="CL350" s="36">
        <v>3611.0</v>
      </c>
      <c r="CM350" s="38">
        <v>103.0</v>
      </c>
      <c r="CN350" s="36">
        <v>0.0</v>
      </c>
      <c r="CO350" s="39">
        <v>14.7</v>
      </c>
      <c r="CP350" s="40">
        <v>0.0</v>
      </c>
      <c r="CQ350" s="36">
        <v>5.0</v>
      </c>
      <c r="CR350" s="36">
        <v>5.0</v>
      </c>
      <c r="CS350" s="36">
        <v>20.0</v>
      </c>
      <c r="CT350" s="41"/>
      <c r="CU350" s="42"/>
      <c r="CV350" s="43"/>
      <c r="CW350" s="44">
        <v>10.0</v>
      </c>
      <c r="CX350" s="44" t="s">
        <v>138</v>
      </c>
      <c r="CY350" s="44" t="s">
        <v>139</v>
      </c>
      <c r="CZ350" s="45"/>
      <c r="DA350" s="44">
        <v>3000.0</v>
      </c>
      <c r="DB350" s="44">
        <v>0.0</v>
      </c>
      <c r="DC350" s="46" t="s">
        <v>127</v>
      </c>
      <c r="DD350" s="47">
        <v>46228.0</v>
      </c>
      <c r="DE350" s="43"/>
      <c r="DF350" s="43"/>
      <c r="DG350" s="48" t="s">
        <v>128</v>
      </c>
      <c r="DH350" s="48" t="s">
        <v>128</v>
      </c>
      <c r="DI350" s="48" t="s">
        <v>128</v>
      </c>
      <c r="DJ350" s="49">
        <v>1.0</v>
      </c>
      <c r="DK350" s="48" t="b">
        <v>1</v>
      </c>
      <c r="DL350" s="50" t="s">
        <v>887</v>
      </c>
      <c r="DM350" s="50" t="s">
        <v>128</v>
      </c>
      <c r="DN350" s="50" t="s">
        <v>888</v>
      </c>
      <c r="DO350" s="49">
        <v>0.94</v>
      </c>
      <c r="DP350" s="48" t="s">
        <v>128</v>
      </c>
      <c r="DQ350" s="48" t="s">
        <v>128</v>
      </c>
      <c r="DR350" s="51"/>
      <c r="DS350" s="48" t="s">
        <v>134</v>
      </c>
    </row>
    <row r="351">
      <c r="A351" s="52" t="s">
        <v>118</v>
      </c>
      <c r="B351" s="53">
        <v>6.0</v>
      </c>
      <c r="C351" s="52" t="s">
        <v>747</v>
      </c>
      <c r="D351" s="53">
        <v>643373.0</v>
      </c>
      <c r="E351" s="52" t="s">
        <v>120</v>
      </c>
      <c r="F351" s="52" t="s">
        <v>919</v>
      </c>
      <c r="G351" s="52" t="s">
        <v>920</v>
      </c>
      <c r="H351" s="53">
        <v>48398.0</v>
      </c>
      <c r="I351" s="53">
        <v>12.0</v>
      </c>
      <c r="J351" s="53">
        <v>0.0</v>
      </c>
      <c r="K351" s="53">
        <v>0.0</v>
      </c>
      <c r="L351" s="53">
        <v>0.0</v>
      </c>
      <c r="M351" s="53">
        <v>0.0</v>
      </c>
      <c r="N351" s="53">
        <v>0.0</v>
      </c>
      <c r="O351" s="53">
        <v>0.0</v>
      </c>
      <c r="P351" s="53">
        <v>0.0</v>
      </c>
      <c r="Q351" s="53">
        <v>1.0</v>
      </c>
      <c r="R351" s="53">
        <v>0.0</v>
      </c>
      <c r="S351" s="53">
        <v>0.0</v>
      </c>
      <c r="T351" s="53">
        <v>0.0</v>
      </c>
      <c r="U351" s="53">
        <v>0.0</v>
      </c>
      <c r="V351" s="53">
        <v>0.0</v>
      </c>
      <c r="W351" s="53">
        <v>0.0</v>
      </c>
      <c r="X351" s="53">
        <v>0.0</v>
      </c>
      <c r="Y351" s="53">
        <v>2.0</v>
      </c>
      <c r="Z351" s="53">
        <v>0.0</v>
      </c>
      <c r="AA351" s="53">
        <v>1.0</v>
      </c>
      <c r="AB351" s="53">
        <v>0.0</v>
      </c>
      <c r="AC351" s="53">
        <v>1.0</v>
      </c>
      <c r="AD351" s="53">
        <v>0.0</v>
      </c>
      <c r="AE351" s="53">
        <v>1.0</v>
      </c>
      <c r="AF351" s="53">
        <v>1.0</v>
      </c>
      <c r="AG351" s="53">
        <v>0.0</v>
      </c>
      <c r="AH351" s="53">
        <v>2.0</v>
      </c>
      <c r="AI351" s="53">
        <v>0.0</v>
      </c>
      <c r="AJ351" s="53">
        <v>2.0</v>
      </c>
      <c r="AK351" s="53">
        <v>0.0</v>
      </c>
      <c r="AL351" s="53">
        <v>1.0</v>
      </c>
      <c r="AM351" s="53">
        <v>0.0</v>
      </c>
      <c r="AN351" s="53">
        <v>0.0</v>
      </c>
      <c r="AO351" s="55">
        <v>15.2</v>
      </c>
      <c r="AP351" s="54"/>
      <c r="AQ351" s="54"/>
      <c r="AR351" s="54"/>
      <c r="AS351" s="54"/>
      <c r="AT351" s="54"/>
      <c r="AU351" s="54"/>
      <c r="AV351" s="54"/>
      <c r="AW351" s="53">
        <v>13.7</v>
      </c>
      <c r="AX351" s="54"/>
      <c r="AY351" s="54"/>
      <c r="AZ351" s="54"/>
      <c r="BA351" s="54"/>
      <c r="BB351" s="54"/>
      <c r="BC351" s="54"/>
      <c r="BD351" s="54"/>
      <c r="BE351" s="53">
        <v>16.04</v>
      </c>
      <c r="BF351" s="54"/>
      <c r="BG351" s="53">
        <v>11.73</v>
      </c>
      <c r="BH351" s="54"/>
      <c r="BI351" s="53">
        <v>13.53</v>
      </c>
      <c r="BJ351" s="54"/>
      <c r="BK351" s="53">
        <v>13.03</v>
      </c>
      <c r="BL351" s="53">
        <v>17.55</v>
      </c>
      <c r="BM351" s="54"/>
      <c r="BN351" s="53">
        <v>14.34</v>
      </c>
      <c r="BO351" s="53">
        <v>0.29</v>
      </c>
      <c r="BP351" s="53">
        <v>0.8</v>
      </c>
      <c r="BQ351" s="53">
        <v>5.99</v>
      </c>
      <c r="BR351" s="53">
        <v>6.6</v>
      </c>
      <c r="BS351" s="57">
        <v>2.14</v>
      </c>
      <c r="BT351" s="91">
        <v>15.4</v>
      </c>
      <c r="BU351" s="57">
        <v>1.4</v>
      </c>
      <c r="BV351" s="25">
        <v>7.35</v>
      </c>
      <c r="BW351" s="54"/>
      <c r="BX351" s="53">
        <v>3000.0</v>
      </c>
      <c r="BY351" s="53" t="s">
        <v>123</v>
      </c>
      <c r="BZ351" s="58">
        <v>3000.0</v>
      </c>
      <c r="CA351" s="72"/>
      <c r="CB351" s="30">
        <v>3000.0</v>
      </c>
      <c r="CC351" s="31"/>
      <c r="CD351" s="58">
        <v>3000.0</v>
      </c>
      <c r="CE351" s="59" t="e">
        <v>#REF!</v>
      </c>
      <c r="CF351" s="60"/>
      <c r="CG351" s="61">
        <v>0.0</v>
      </c>
      <c r="CH351" s="62">
        <v>0.0</v>
      </c>
      <c r="CI351" s="63">
        <v>12.0</v>
      </c>
      <c r="CJ351" s="63">
        <v>3619.0</v>
      </c>
      <c r="CK351" s="64">
        <v>-8.0</v>
      </c>
      <c r="CL351" s="63">
        <v>3611.0</v>
      </c>
      <c r="CM351" s="65">
        <v>182.0</v>
      </c>
      <c r="CN351" s="63">
        <v>0.0</v>
      </c>
      <c r="CO351" s="66">
        <v>15.2</v>
      </c>
      <c r="CP351" s="67">
        <v>0.0</v>
      </c>
      <c r="CQ351" s="63">
        <v>10.0</v>
      </c>
      <c r="CR351" s="63">
        <v>10.0</v>
      </c>
      <c r="CS351" s="63">
        <v>26.0</v>
      </c>
      <c r="CT351" s="68"/>
      <c r="CU351" s="69"/>
      <c r="CV351" s="70"/>
      <c r="CW351" s="71">
        <v>10.0</v>
      </c>
      <c r="CX351" s="71" t="s">
        <v>138</v>
      </c>
      <c r="CY351" s="71" t="s">
        <v>139</v>
      </c>
      <c r="CZ351" s="45"/>
      <c r="DA351" s="44">
        <v>3000.0</v>
      </c>
      <c r="DB351" s="44">
        <v>0.0</v>
      </c>
      <c r="DC351" s="46" t="s">
        <v>127</v>
      </c>
      <c r="DD351" s="47">
        <v>46228.0</v>
      </c>
      <c r="DE351" s="43"/>
      <c r="DF351" s="43"/>
      <c r="DG351" s="48" t="s">
        <v>128</v>
      </c>
      <c r="DH351" s="48" t="s">
        <v>128</v>
      </c>
      <c r="DI351" s="48" t="s">
        <v>128</v>
      </c>
      <c r="DJ351" s="49">
        <v>0.0</v>
      </c>
      <c r="DK351" s="48" t="b">
        <v>0</v>
      </c>
      <c r="DL351" s="50" t="s">
        <v>887</v>
      </c>
      <c r="DM351" s="50" t="s">
        <v>128</v>
      </c>
      <c r="DN351" s="50" t="s">
        <v>888</v>
      </c>
      <c r="DO351" s="49">
        <v>0.94</v>
      </c>
      <c r="DP351" s="48" t="s">
        <v>128</v>
      </c>
      <c r="DQ351" s="48" t="s">
        <v>128</v>
      </c>
      <c r="DR351" s="51"/>
      <c r="DS351" s="48" t="s">
        <v>134</v>
      </c>
    </row>
    <row r="352">
      <c r="A352" s="23" t="s">
        <v>118</v>
      </c>
      <c r="B352" s="24">
        <v>6.0</v>
      </c>
      <c r="C352" s="23" t="s">
        <v>747</v>
      </c>
      <c r="D352" s="24">
        <v>648803.0</v>
      </c>
      <c r="E352" s="23" t="s">
        <v>189</v>
      </c>
      <c r="F352" s="23" t="s">
        <v>921</v>
      </c>
      <c r="G352" s="23" t="s">
        <v>922</v>
      </c>
      <c r="H352" s="24">
        <v>48398.0</v>
      </c>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7"/>
      <c r="BU352" s="26"/>
      <c r="BV352" s="26"/>
      <c r="BW352" s="26"/>
      <c r="BX352" s="24">
        <v>3000.0</v>
      </c>
      <c r="BY352" s="24" t="s">
        <v>123</v>
      </c>
      <c r="BZ352" s="28">
        <v>3000.0</v>
      </c>
      <c r="CA352" s="72"/>
      <c r="CB352" s="82"/>
      <c r="CC352" s="31"/>
      <c r="CD352" s="28">
        <v>3000.0</v>
      </c>
      <c r="CE352" s="88" t="s">
        <v>185</v>
      </c>
      <c r="CF352" s="33"/>
      <c r="CG352" s="34">
        <v>0.0</v>
      </c>
      <c r="CH352" s="89"/>
      <c r="CI352" s="36">
        <v>0.0</v>
      </c>
      <c r="CJ352" s="36">
        <v>3619.0</v>
      </c>
      <c r="CK352" s="37">
        <v>-8.0</v>
      </c>
      <c r="CL352" s="36">
        <v>3611.0</v>
      </c>
      <c r="CM352" s="38">
        <v>0.0</v>
      </c>
      <c r="CN352" s="36">
        <v>0.0</v>
      </c>
      <c r="CO352" s="39">
        <v>0.0</v>
      </c>
      <c r="CP352" s="40">
        <v>0.0</v>
      </c>
      <c r="CQ352" s="36">
        <v>0.0</v>
      </c>
      <c r="CR352" s="36">
        <v>0.0</v>
      </c>
      <c r="CS352" s="36">
        <v>0.0</v>
      </c>
      <c r="CT352" s="41"/>
      <c r="CU352" s="42"/>
      <c r="CV352" s="43"/>
      <c r="CW352" s="44">
        <v>10.0</v>
      </c>
      <c r="CX352" s="44" t="s">
        <v>138</v>
      </c>
      <c r="CY352" s="44" t="s">
        <v>139</v>
      </c>
      <c r="CZ352" s="45"/>
      <c r="DA352" s="43"/>
      <c r="DB352" s="44">
        <v>0.0</v>
      </c>
      <c r="DC352" s="43"/>
      <c r="DD352" s="78"/>
      <c r="DE352" s="43"/>
      <c r="DF352" s="43"/>
      <c r="DG352" s="48" t="s">
        <v>128</v>
      </c>
      <c r="DH352" s="48" t="s">
        <v>128</v>
      </c>
      <c r="DI352" s="85" t="str">
        <f>+ OFF 30 DIAS SIN VENTA</f>
        <v>#ERROR!</v>
      </c>
      <c r="DJ352" s="49">
        <v>1.0</v>
      </c>
      <c r="DK352" s="48" t="b">
        <v>0</v>
      </c>
      <c r="DL352" s="50" t="s">
        <v>887</v>
      </c>
      <c r="DM352" s="50" t="s">
        <v>128</v>
      </c>
      <c r="DN352" s="50" t="s">
        <v>888</v>
      </c>
      <c r="DO352" s="49">
        <v>0.94</v>
      </c>
      <c r="DP352" s="48" t="s">
        <v>128</v>
      </c>
      <c r="DQ352" s="86" t="str">
        <f>+ OFF 30 DIAS SIN VENTA</f>
        <v>#ERROR!</v>
      </c>
      <c r="DR352" s="51"/>
      <c r="DS352" s="48" t="s">
        <v>134</v>
      </c>
    </row>
    <row r="353">
      <c r="A353" s="52" t="s">
        <v>118</v>
      </c>
      <c r="B353" s="53">
        <v>6.0</v>
      </c>
      <c r="C353" s="52" t="s">
        <v>747</v>
      </c>
      <c r="D353" s="53">
        <v>536832.0</v>
      </c>
      <c r="E353" s="52" t="s">
        <v>158</v>
      </c>
      <c r="F353" s="52" t="s">
        <v>923</v>
      </c>
      <c r="G353" s="52" t="s">
        <v>924</v>
      </c>
      <c r="H353" s="53">
        <v>48398.0</v>
      </c>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c r="BS353" s="54"/>
      <c r="BT353" s="81"/>
      <c r="BU353" s="54"/>
      <c r="BV353" s="54"/>
      <c r="BW353" s="54"/>
      <c r="BX353" s="53">
        <v>1.0</v>
      </c>
      <c r="BY353" s="53" t="s">
        <v>123</v>
      </c>
      <c r="BZ353" s="87">
        <v>1.0</v>
      </c>
      <c r="CA353" s="72"/>
      <c r="CB353" s="82"/>
      <c r="CC353" s="31"/>
      <c r="CD353" s="58">
        <v>1.0</v>
      </c>
      <c r="CE353" s="83" t="s">
        <v>185</v>
      </c>
      <c r="CF353" s="60"/>
      <c r="CG353" s="61">
        <v>0.0</v>
      </c>
      <c r="CH353" s="84"/>
      <c r="CI353" s="63">
        <v>0.0</v>
      </c>
      <c r="CJ353" s="63">
        <v>3619.0</v>
      </c>
      <c r="CK353" s="64">
        <v>-8.0</v>
      </c>
      <c r="CL353" s="63">
        <v>3611.0</v>
      </c>
      <c r="CM353" s="65">
        <v>0.0</v>
      </c>
      <c r="CN353" s="63">
        <v>0.0</v>
      </c>
      <c r="CO353" s="66">
        <v>0.0</v>
      </c>
      <c r="CP353" s="67">
        <v>0.0</v>
      </c>
      <c r="CQ353" s="63">
        <v>0.0</v>
      </c>
      <c r="CR353" s="63">
        <v>0.0</v>
      </c>
      <c r="CS353" s="63">
        <v>0.0</v>
      </c>
      <c r="CT353" s="68"/>
      <c r="CU353" s="69"/>
      <c r="CV353" s="70"/>
      <c r="CW353" s="71">
        <v>1.0</v>
      </c>
      <c r="CX353" s="71">
        <v>1.0</v>
      </c>
      <c r="CY353" s="71">
        <v>0.1</v>
      </c>
      <c r="CZ353" s="45"/>
      <c r="DA353" s="43"/>
      <c r="DB353" s="44">
        <v>0.0</v>
      </c>
      <c r="DC353" s="43"/>
      <c r="DD353" s="78"/>
      <c r="DE353" s="43"/>
      <c r="DF353" s="43"/>
      <c r="DG353" s="48" t="s">
        <v>128</v>
      </c>
      <c r="DH353" s="48" t="s">
        <v>131</v>
      </c>
      <c r="DI353" s="48" t="s">
        <v>188</v>
      </c>
      <c r="DJ353" s="49">
        <v>1.0</v>
      </c>
      <c r="DK353" s="48" t="b">
        <v>0</v>
      </c>
      <c r="DL353" s="50" t="s">
        <v>887</v>
      </c>
      <c r="DM353" s="50" t="s">
        <v>128</v>
      </c>
      <c r="DN353" s="50" t="s">
        <v>888</v>
      </c>
      <c r="DO353" s="49">
        <v>0.94</v>
      </c>
      <c r="DP353" s="51"/>
      <c r="DQ353" s="48" t="s">
        <v>188</v>
      </c>
      <c r="DR353" s="51"/>
      <c r="DS353" s="48" t="s">
        <v>134</v>
      </c>
    </row>
    <row r="354">
      <c r="A354" s="23" t="s">
        <v>118</v>
      </c>
      <c r="B354" s="24">
        <v>6.0</v>
      </c>
      <c r="C354" s="23" t="s">
        <v>747</v>
      </c>
      <c r="D354" s="24">
        <v>627274.0</v>
      </c>
      <c r="E354" s="23" t="s">
        <v>173</v>
      </c>
      <c r="F354" s="23" t="s">
        <v>925</v>
      </c>
      <c r="G354" s="23" t="s">
        <v>926</v>
      </c>
      <c r="H354" s="24">
        <v>48398.0</v>
      </c>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7"/>
      <c r="BU354" s="26"/>
      <c r="BV354" s="26"/>
      <c r="BW354" s="26"/>
      <c r="BX354" s="24">
        <v>3000.0</v>
      </c>
      <c r="BY354" s="24" t="s">
        <v>123</v>
      </c>
      <c r="BZ354" s="28">
        <v>3000.0</v>
      </c>
      <c r="CA354" s="72"/>
      <c r="CB354" s="82"/>
      <c r="CC354" s="31"/>
      <c r="CD354" s="28">
        <v>3000.0</v>
      </c>
      <c r="CE354" s="88" t="s">
        <v>185</v>
      </c>
      <c r="CF354" s="33"/>
      <c r="CG354" s="34">
        <v>0.0</v>
      </c>
      <c r="CH354" s="89"/>
      <c r="CI354" s="36">
        <v>0.0</v>
      </c>
      <c r="CJ354" s="36">
        <v>3619.0</v>
      </c>
      <c r="CK354" s="37">
        <v>-8.0</v>
      </c>
      <c r="CL354" s="36">
        <v>3611.0</v>
      </c>
      <c r="CM354" s="38">
        <v>0.0</v>
      </c>
      <c r="CN354" s="36">
        <v>0.0</v>
      </c>
      <c r="CO354" s="39">
        <v>0.0</v>
      </c>
      <c r="CP354" s="40">
        <v>0.0</v>
      </c>
      <c r="CQ354" s="36">
        <v>0.0</v>
      </c>
      <c r="CR354" s="36">
        <v>0.0</v>
      </c>
      <c r="CS354" s="36">
        <v>0.0</v>
      </c>
      <c r="CT354" s="41"/>
      <c r="CU354" s="42"/>
      <c r="CV354" s="43"/>
      <c r="CW354" s="44">
        <v>10.0</v>
      </c>
      <c r="CX354" s="44" t="s">
        <v>138</v>
      </c>
      <c r="CY354" s="44" t="s">
        <v>139</v>
      </c>
      <c r="CZ354" s="45"/>
      <c r="DA354" s="43"/>
      <c r="DB354" s="44">
        <v>0.0</v>
      </c>
      <c r="DC354" s="46" t="s">
        <v>127</v>
      </c>
      <c r="DD354" s="47">
        <v>46174.0</v>
      </c>
      <c r="DE354" s="43"/>
      <c r="DF354" s="43"/>
      <c r="DG354" s="48" t="s">
        <v>128</v>
      </c>
      <c r="DH354" s="48" t="s">
        <v>128</v>
      </c>
      <c r="DI354" s="85" t="str">
        <f>+ OFF 30 DIAS SIN VENTA</f>
        <v>#ERROR!</v>
      </c>
      <c r="DJ354" s="49">
        <v>1.0</v>
      </c>
      <c r="DK354" s="48" t="b">
        <v>0</v>
      </c>
      <c r="DL354" s="50" t="s">
        <v>887</v>
      </c>
      <c r="DM354" s="50" t="s">
        <v>128</v>
      </c>
      <c r="DN354" s="50" t="s">
        <v>888</v>
      </c>
      <c r="DO354" s="49">
        <v>0.94</v>
      </c>
      <c r="DP354" s="48" t="s">
        <v>128</v>
      </c>
      <c r="DQ354" s="86" t="str">
        <f>+ OFF 30 DIAS SIN VENTA</f>
        <v>#ERROR!</v>
      </c>
      <c r="DR354" s="51"/>
      <c r="DS354" s="48" t="s">
        <v>134</v>
      </c>
    </row>
    <row r="355">
      <c r="A355" s="52" t="s">
        <v>118</v>
      </c>
      <c r="B355" s="53">
        <v>6.0</v>
      </c>
      <c r="C355" s="52" t="s">
        <v>747</v>
      </c>
      <c r="D355" s="53">
        <v>648803.0</v>
      </c>
      <c r="E355" s="52" t="s">
        <v>189</v>
      </c>
      <c r="F355" s="52" t="s">
        <v>927</v>
      </c>
      <c r="G355" s="52" t="s">
        <v>928</v>
      </c>
      <c r="H355" s="53">
        <v>77103.0</v>
      </c>
      <c r="I355" s="53">
        <v>3.0</v>
      </c>
      <c r="J355" s="53">
        <v>0.0</v>
      </c>
      <c r="K355" s="53">
        <v>0.0</v>
      </c>
      <c r="L355" s="53">
        <v>0.0</v>
      </c>
      <c r="M355" s="53">
        <v>0.0</v>
      </c>
      <c r="N355" s="53">
        <v>0.0</v>
      </c>
      <c r="O355" s="53">
        <v>0.0</v>
      </c>
      <c r="P355" s="53">
        <v>0.0</v>
      </c>
      <c r="Q355" s="53">
        <v>0.0</v>
      </c>
      <c r="R355" s="53">
        <v>0.0</v>
      </c>
      <c r="S355" s="53">
        <v>0.0</v>
      </c>
      <c r="T355" s="53">
        <v>0.0</v>
      </c>
      <c r="U355" s="53">
        <v>0.0</v>
      </c>
      <c r="V355" s="53">
        <v>0.0</v>
      </c>
      <c r="W355" s="53">
        <v>0.0</v>
      </c>
      <c r="X355" s="53">
        <v>0.0</v>
      </c>
      <c r="Y355" s="53">
        <v>1.0</v>
      </c>
      <c r="Z355" s="53">
        <v>0.0</v>
      </c>
      <c r="AA355" s="53">
        <v>0.0</v>
      </c>
      <c r="AB355" s="53">
        <v>2.0</v>
      </c>
      <c r="AC355" s="53">
        <v>0.0</v>
      </c>
      <c r="AD355" s="53">
        <v>0.0</v>
      </c>
      <c r="AE355" s="53">
        <v>0.0</v>
      </c>
      <c r="AF355" s="53">
        <v>0.0</v>
      </c>
      <c r="AG355" s="53">
        <v>0.0</v>
      </c>
      <c r="AH355" s="53">
        <v>0.0</v>
      </c>
      <c r="AI355" s="53">
        <v>0.0</v>
      </c>
      <c r="AJ355" s="53">
        <v>0.0</v>
      </c>
      <c r="AK355" s="53">
        <v>0.0</v>
      </c>
      <c r="AL355" s="53">
        <v>0.0</v>
      </c>
      <c r="AM355" s="53">
        <v>0.0</v>
      </c>
      <c r="AN355" s="53">
        <v>0.0</v>
      </c>
      <c r="AO355" s="55">
        <v>15.4</v>
      </c>
      <c r="AP355" s="54"/>
      <c r="AQ355" s="54"/>
      <c r="AR355" s="54"/>
      <c r="AS355" s="54"/>
      <c r="AT355" s="54"/>
      <c r="AU355" s="54"/>
      <c r="AV355" s="54"/>
      <c r="AW355" s="54"/>
      <c r="AX355" s="54"/>
      <c r="AY355" s="54"/>
      <c r="AZ355" s="54"/>
      <c r="BA355" s="54"/>
      <c r="BB355" s="54"/>
      <c r="BC355" s="54"/>
      <c r="BD355" s="54"/>
      <c r="BE355" s="53">
        <v>17.53</v>
      </c>
      <c r="BF355" s="54"/>
      <c r="BG355" s="54"/>
      <c r="BH355" s="53">
        <v>14.27</v>
      </c>
      <c r="BI355" s="54"/>
      <c r="BJ355" s="54"/>
      <c r="BK355" s="54"/>
      <c r="BL355" s="54"/>
      <c r="BM355" s="54"/>
      <c r="BN355" s="54"/>
      <c r="BO355" s="54"/>
      <c r="BP355" s="53">
        <v>0.82</v>
      </c>
      <c r="BQ355" s="53">
        <v>4.89</v>
      </c>
      <c r="BR355" s="53">
        <v>5.52</v>
      </c>
      <c r="BS355" s="55">
        <v>3.47</v>
      </c>
      <c r="BT355" s="77">
        <v>13.9</v>
      </c>
      <c r="BU355" s="25">
        <v>4.8</v>
      </c>
      <c r="BV355" s="57">
        <v>4.12</v>
      </c>
      <c r="BW355" s="54"/>
      <c r="BX355" s="53">
        <v>3000.0</v>
      </c>
      <c r="BY355" s="53" t="s">
        <v>123</v>
      </c>
      <c r="BZ355" s="58">
        <v>3000.0</v>
      </c>
      <c r="CA355" s="72"/>
      <c r="CB355" s="30">
        <v>3000.0</v>
      </c>
      <c r="CC355" s="31"/>
      <c r="CD355" s="58">
        <v>3000.0</v>
      </c>
      <c r="CE355" s="59" t="e">
        <v>#REF!</v>
      </c>
      <c r="CF355" s="60"/>
      <c r="CG355" s="61">
        <v>0.0</v>
      </c>
      <c r="CH355" s="62">
        <v>0.0</v>
      </c>
      <c r="CI355" s="63">
        <v>3.0</v>
      </c>
      <c r="CJ355" s="63">
        <v>1655.0</v>
      </c>
      <c r="CK355" s="64">
        <v>0.0</v>
      </c>
      <c r="CL355" s="63">
        <v>1655.0</v>
      </c>
      <c r="CM355" s="65">
        <v>46.0</v>
      </c>
      <c r="CN355" s="63">
        <v>0.0</v>
      </c>
      <c r="CO355" s="66">
        <v>15.4</v>
      </c>
      <c r="CP355" s="67">
        <v>0.0</v>
      </c>
      <c r="CQ355" s="63">
        <v>2.0</v>
      </c>
      <c r="CR355" s="63">
        <v>2.0</v>
      </c>
      <c r="CS355" s="63">
        <v>10.0</v>
      </c>
      <c r="CT355" s="68"/>
      <c r="CU355" s="69"/>
      <c r="CV355" s="70"/>
      <c r="CW355" s="71">
        <v>10.0</v>
      </c>
      <c r="CX355" s="71" t="s">
        <v>138</v>
      </c>
      <c r="CY355" s="71" t="s">
        <v>139</v>
      </c>
      <c r="CZ355" s="45"/>
      <c r="DA355" s="44">
        <v>3000.0</v>
      </c>
      <c r="DB355" s="44">
        <v>0.0</v>
      </c>
      <c r="DC355" s="43"/>
      <c r="DD355" s="78"/>
      <c r="DE355" s="43"/>
      <c r="DF355" s="43"/>
      <c r="DG355" s="48" t="s">
        <v>128</v>
      </c>
      <c r="DH355" s="48" t="s">
        <v>128</v>
      </c>
      <c r="DI355" s="48" t="s">
        <v>128</v>
      </c>
      <c r="DJ355" s="51"/>
      <c r="DK355" s="48" t="b">
        <v>0</v>
      </c>
      <c r="DL355" s="50" t="s">
        <v>929</v>
      </c>
      <c r="DM355" s="50" t="s">
        <v>128</v>
      </c>
      <c r="DN355" s="50" t="s">
        <v>930</v>
      </c>
      <c r="DO355" s="49">
        <v>0.64</v>
      </c>
      <c r="DP355" s="48" t="s">
        <v>128</v>
      </c>
      <c r="DQ355" s="48" t="s">
        <v>128</v>
      </c>
      <c r="DR355" s="51"/>
      <c r="DS355" s="48" t="s">
        <v>134</v>
      </c>
    </row>
    <row r="356">
      <c r="A356" s="23" t="s">
        <v>118</v>
      </c>
      <c r="B356" s="24">
        <v>6.0</v>
      </c>
      <c r="C356" s="23" t="s">
        <v>747</v>
      </c>
      <c r="D356" s="24">
        <v>558730.0</v>
      </c>
      <c r="E356" s="23" t="s">
        <v>148</v>
      </c>
      <c r="F356" s="23" t="s">
        <v>931</v>
      </c>
      <c r="G356" s="23" t="s">
        <v>932</v>
      </c>
      <c r="H356" s="24">
        <v>77103.0</v>
      </c>
      <c r="I356" s="24">
        <v>5.0</v>
      </c>
      <c r="J356" s="24">
        <v>0.0</v>
      </c>
      <c r="K356" s="24">
        <v>0.0</v>
      </c>
      <c r="L356" s="24">
        <v>0.0</v>
      </c>
      <c r="M356" s="24">
        <v>0.0</v>
      </c>
      <c r="N356" s="24">
        <v>0.0</v>
      </c>
      <c r="O356" s="24">
        <v>0.0</v>
      </c>
      <c r="P356" s="24">
        <v>0.0</v>
      </c>
      <c r="Q356" s="24">
        <v>0.0</v>
      </c>
      <c r="R356" s="24">
        <v>0.0</v>
      </c>
      <c r="S356" s="24">
        <v>0.0</v>
      </c>
      <c r="T356" s="24">
        <v>1.0</v>
      </c>
      <c r="U356" s="24">
        <v>0.0</v>
      </c>
      <c r="V356" s="24">
        <v>0.0</v>
      </c>
      <c r="W356" s="24">
        <v>0.0</v>
      </c>
      <c r="X356" s="24">
        <v>0.0</v>
      </c>
      <c r="Y356" s="24">
        <v>0.0</v>
      </c>
      <c r="Z356" s="24">
        <v>0.0</v>
      </c>
      <c r="AA356" s="24">
        <v>0.0</v>
      </c>
      <c r="AB356" s="24">
        <v>0.0</v>
      </c>
      <c r="AC356" s="24">
        <v>0.0</v>
      </c>
      <c r="AD356" s="24">
        <v>1.0</v>
      </c>
      <c r="AE356" s="24">
        <v>0.0</v>
      </c>
      <c r="AF356" s="24">
        <v>1.0</v>
      </c>
      <c r="AG356" s="24">
        <v>1.0</v>
      </c>
      <c r="AH356" s="24">
        <v>0.0</v>
      </c>
      <c r="AI356" s="24">
        <v>0.0</v>
      </c>
      <c r="AJ356" s="24">
        <v>0.0</v>
      </c>
      <c r="AK356" s="24">
        <v>0.0</v>
      </c>
      <c r="AL356" s="24">
        <v>1.0</v>
      </c>
      <c r="AM356" s="24">
        <v>0.0</v>
      </c>
      <c r="AN356" s="24">
        <v>0.0</v>
      </c>
      <c r="AO356" s="25">
        <v>20.1</v>
      </c>
      <c r="AP356" s="26"/>
      <c r="AQ356" s="26"/>
      <c r="AR356" s="26"/>
      <c r="AS356" s="26"/>
      <c r="AT356" s="26"/>
      <c r="AU356" s="26"/>
      <c r="AV356" s="26"/>
      <c r="AW356" s="26"/>
      <c r="AX356" s="26"/>
      <c r="AY356" s="26"/>
      <c r="AZ356" s="24">
        <v>16.72</v>
      </c>
      <c r="BA356" s="26"/>
      <c r="BB356" s="26"/>
      <c r="BC356" s="26"/>
      <c r="BD356" s="26"/>
      <c r="BE356" s="26"/>
      <c r="BF356" s="26"/>
      <c r="BG356" s="26"/>
      <c r="BH356" s="26"/>
      <c r="BI356" s="26"/>
      <c r="BJ356" s="24">
        <v>18.92</v>
      </c>
      <c r="BK356" s="26"/>
      <c r="BL356" s="24">
        <v>22.0</v>
      </c>
      <c r="BM356" s="24">
        <v>19.32</v>
      </c>
      <c r="BN356" s="26"/>
      <c r="BO356" s="24">
        <v>0.39</v>
      </c>
      <c r="BP356" s="24">
        <v>1.27</v>
      </c>
      <c r="BQ356" s="24">
        <v>9.19</v>
      </c>
      <c r="BR356" s="24">
        <v>10.26</v>
      </c>
      <c r="BS356" s="57">
        <v>2.86</v>
      </c>
      <c r="BT356" s="56">
        <v>19.8</v>
      </c>
      <c r="BU356" s="57">
        <v>2.6</v>
      </c>
      <c r="BV356" s="55">
        <v>6.31</v>
      </c>
      <c r="BW356" s="26"/>
      <c r="BX356" s="24">
        <v>3000.0</v>
      </c>
      <c r="BY356" s="24" t="s">
        <v>123</v>
      </c>
      <c r="BZ356" s="28">
        <v>2700.0</v>
      </c>
      <c r="CA356" s="29" t="s">
        <v>124</v>
      </c>
      <c r="CB356" s="30">
        <v>3000.0</v>
      </c>
      <c r="CC356" s="31"/>
      <c r="CD356" s="28">
        <v>3000.0</v>
      </c>
      <c r="CE356" s="32" t="e">
        <v>#REF!</v>
      </c>
      <c r="CF356" s="33"/>
      <c r="CG356" s="34">
        <v>0.0</v>
      </c>
      <c r="CH356" s="35">
        <v>0.0</v>
      </c>
      <c r="CI356" s="36">
        <v>5.0</v>
      </c>
      <c r="CJ356" s="36">
        <v>1655.0</v>
      </c>
      <c r="CK356" s="37">
        <v>0.0</v>
      </c>
      <c r="CL356" s="36">
        <v>1655.0</v>
      </c>
      <c r="CM356" s="38">
        <v>101.0</v>
      </c>
      <c r="CN356" s="36">
        <v>0.0</v>
      </c>
      <c r="CO356" s="39">
        <v>20.1</v>
      </c>
      <c r="CP356" s="40">
        <v>0.0</v>
      </c>
      <c r="CQ356" s="36">
        <v>6.0</v>
      </c>
      <c r="CR356" s="36">
        <v>6.0</v>
      </c>
      <c r="CS356" s="36">
        <v>14.0</v>
      </c>
      <c r="CT356" s="41"/>
      <c r="CU356" s="42"/>
      <c r="CV356" s="43"/>
      <c r="CW356" s="44">
        <v>10.0</v>
      </c>
      <c r="CX356" s="44" t="s">
        <v>138</v>
      </c>
      <c r="CY356" s="44" t="s">
        <v>139</v>
      </c>
      <c r="CZ356" s="45"/>
      <c r="DA356" s="44">
        <v>3000.0</v>
      </c>
      <c r="DB356" s="44">
        <v>0.0</v>
      </c>
      <c r="DC356" s="43"/>
      <c r="DD356" s="78"/>
      <c r="DE356" s="43"/>
      <c r="DF356" s="43"/>
      <c r="DG356" s="48" t="s">
        <v>128</v>
      </c>
      <c r="DH356" s="48" t="s">
        <v>128</v>
      </c>
      <c r="DI356" s="48" t="s">
        <v>128</v>
      </c>
      <c r="DJ356" s="51"/>
      <c r="DK356" s="48" t="b">
        <v>0</v>
      </c>
      <c r="DL356" s="50" t="s">
        <v>929</v>
      </c>
      <c r="DM356" s="50" t="s">
        <v>128</v>
      </c>
      <c r="DN356" s="50" t="s">
        <v>930</v>
      </c>
      <c r="DO356" s="49">
        <v>0.64</v>
      </c>
      <c r="DP356" s="48" t="s">
        <v>128</v>
      </c>
      <c r="DQ356" s="48" t="s">
        <v>128</v>
      </c>
      <c r="DR356" s="51"/>
      <c r="DS356" s="48" t="s">
        <v>134</v>
      </c>
    </row>
    <row r="357">
      <c r="A357" s="52" t="s">
        <v>118</v>
      </c>
      <c r="B357" s="53">
        <v>6.0</v>
      </c>
      <c r="C357" s="52" t="s">
        <v>747</v>
      </c>
      <c r="D357" s="53">
        <v>604008.0</v>
      </c>
      <c r="E357" s="52" t="s">
        <v>176</v>
      </c>
      <c r="F357" s="52" t="s">
        <v>933</v>
      </c>
      <c r="G357" s="52" t="s">
        <v>934</v>
      </c>
      <c r="H357" s="53">
        <v>77103.0</v>
      </c>
      <c r="I357" s="53">
        <v>1.0</v>
      </c>
      <c r="J357" s="53">
        <v>1.0</v>
      </c>
      <c r="K357" s="53">
        <v>0.0</v>
      </c>
      <c r="L357" s="53">
        <v>0.0</v>
      </c>
      <c r="M357" s="53">
        <v>0.0</v>
      </c>
      <c r="N357" s="53">
        <v>0.0</v>
      </c>
      <c r="O357" s="53">
        <v>0.0</v>
      </c>
      <c r="P357" s="53">
        <v>0.0</v>
      </c>
      <c r="Q357" s="53">
        <v>0.0</v>
      </c>
      <c r="R357" s="53">
        <v>0.0</v>
      </c>
      <c r="S357" s="53">
        <v>0.0</v>
      </c>
      <c r="T357" s="53">
        <v>0.0</v>
      </c>
      <c r="U357" s="53">
        <v>0.0</v>
      </c>
      <c r="V357" s="53">
        <v>0.0</v>
      </c>
      <c r="W357" s="53">
        <v>0.0</v>
      </c>
      <c r="X357" s="53">
        <v>0.0</v>
      </c>
      <c r="Y357" s="53">
        <v>0.0</v>
      </c>
      <c r="Z357" s="53">
        <v>0.0</v>
      </c>
      <c r="AA357" s="53">
        <v>0.0</v>
      </c>
      <c r="AB357" s="53">
        <v>0.0</v>
      </c>
      <c r="AC357" s="53">
        <v>0.0</v>
      </c>
      <c r="AD357" s="53">
        <v>0.0</v>
      </c>
      <c r="AE357" s="53">
        <v>0.0</v>
      </c>
      <c r="AF357" s="53">
        <v>0.0</v>
      </c>
      <c r="AG357" s="53">
        <v>0.0</v>
      </c>
      <c r="AH357" s="53">
        <v>0.0</v>
      </c>
      <c r="AI357" s="53">
        <v>0.0</v>
      </c>
      <c r="AJ357" s="53">
        <v>0.0</v>
      </c>
      <c r="AK357" s="53">
        <v>0.0</v>
      </c>
      <c r="AL357" s="53">
        <v>0.0</v>
      </c>
      <c r="AM357" s="53">
        <v>0.0</v>
      </c>
      <c r="AN357" s="53">
        <v>0.0</v>
      </c>
      <c r="AO357" s="57">
        <v>10.9</v>
      </c>
      <c r="AP357" s="53">
        <v>10.85</v>
      </c>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3">
        <v>3.07</v>
      </c>
      <c r="BQ357" s="53">
        <v>1.97</v>
      </c>
      <c r="BR357" s="53">
        <v>4.83</v>
      </c>
      <c r="BS357" s="57">
        <v>2.63</v>
      </c>
      <c r="BT357" s="77">
        <v>10.9</v>
      </c>
      <c r="BU357" s="57">
        <v>2.6</v>
      </c>
      <c r="BV357" s="57">
        <v>3.18</v>
      </c>
      <c r="BW357" s="54"/>
      <c r="BX357" s="53">
        <v>3000.0</v>
      </c>
      <c r="BY357" s="53" t="s">
        <v>123</v>
      </c>
      <c r="BZ357" s="58">
        <v>3000.0</v>
      </c>
      <c r="CA357" s="72"/>
      <c r="CB357" s="30">
        <v>3000.0</v>
      </c>
      <c r="CC357" s="31"/>
      <c r="CD357" s="58">
        <v>3000.0</v>
      </c>
      <c r="CE357" s="59" t="e">
        <v>#REF!</v>
      </c>
      <c r="CF357" s="60"/>
      <c r="CG357" s="61">
        <v>0.0</v>
      </c>
      <c r="CH357" s="62">
        <v>0.0</v>
      </c>
      <c r="CI357" s="63">
        <v>1.0</v>
      </c>
      <c r="CJ357" s="63">
        <v>1655.0</v>
      </c>
      <c r="CK357" s="64">
        <v>0.0</v>
      </c>
      <c r="CL357" s="63">
        <v>1655.0</v>
      </c>
      <c r="CM357" s="65">
        <v>11.0</v>
      </c>
      <c r="CN357" s="63">
        <v>0.0</v>
      </c>
      <c r="CO357" s="66">
        <v>10.9</v>
      </c>
      <c r="CP357" s="67">
        <v>0.0</v>
      </c>
      <c r="CQ357" s="63">
        <v>3.0</v>
      </c>
      <c r="CR357" s="63">
        <v>3.0</v>
      </c>
      <c r="CS357" s="63">
        <v>3.0</v>
      </c>
      <c r="CT357" s="68"/>
      <c r="CU357" s="69"/>
      <c r="CV357" s="70"/>
      <c r="CW357" s="71">
        <v>10.0</v>
      </c>
      <c r="CX357" s="71" t="s">
        <v>138</v>
      </c>
      <c r="CY357" s="71" t="s">
        <v>139</v>
      </c>
      <c r="CZ357" s="45"/>
      <c r="DA357" s="44">
        <v>3000.0</v>
      </c>
      <c r="DB357" s="44">
        <v>0.0</v>
      </c>
      <c r="DC357" s="46" t="s">
        <v>127</v>
      </c>
      <c r="DD357" s="47">
        <v>46246.0</v>
      </c>
      <c r="DE357" s="43"/>
      <c r="DF357" s="43"/>
      <c r="DG357" s="48" t="s">
        <v>128</v>
      </c>
      <c r="DH357" s="48" t="s">
        <v>128</v>
      </c>
      <c r="DI357" s="48" t="s">
        <v>128</v>
      </c>
      <c r="DJ357" s="49">
        <v>1.0</v>
      </c>
      <c r="DK357" s="48" t="b">
        <v>1</v>
      </c>
      <c r="DL357" s="50" t="s">
        <v>929</v>
      </c>
      <c r="DM357" s="50" t="s">
        <v>128</v>
      </c>
      <c r="DN357" s="50" t="s">
        <v>930</v>
      </c>
      <c r="DO357" s="49">
        <v>0.64</v>
      </c>
      <c r="DP357" s="48" t="s">
        <v>128</v>
      </c>
      <c r="DQ357" s="48" t="s">
        <v>128</v>
      </c>
      <c r="DR357" s="51"/>
      <c r="DS357" s="48" t="s">
        <v>134</v>
      </c>
    </row>
    <row r="358">
      <c r="A358" s="23" t="s">
        <v>118</v>
      </c>
      <c r="B358" s="24">
        <v>6.0</v>
      </c>
      <c r="C358" s="23" t="s">
        <v>747</v>
      </c>
      <c r="D358" s="24">
        <v>610881.0</v>
      </c>
      <c r="E358" s="23" t="s">
        <v>167</v>
      </c>
      <c r="F358" s="23" t="s">
        <v>935</v>
      </c>
      <c r="G358" s="23" t="s">
        <v>936</v>
      </c>
      <c r="H358" s="24">
        <v>77103.0</v>
      </c>
      <c r="I358" s="24">
        <v>6.0</v>
      </c>
      <c r="J358" s="24">
        <v>0.0</v>
      </c>
      <c r="K358" s="24">
        <v>0.0</v>
      </c>
      <c r="L358" s="24">
        <v>0.0</v>
      </c>
      <c r="M358" s="24">
        <v>0.0</v>
      </c>
      <c r="N358" s="24">
        <v>0.0</v>
      </c>
      <c r="O358" s="24">
        <v>0.0</v>
      </c>
      <c r="P358" s="24">
        <v>0.0</v>
      </c>
      <c r="Q358" s="24">
        <v>0.0</v>
      </c>
      <c r="R358" s="24">
        <v>0.0</v>
      </c>
      <c r="S358" s="24">
        <v>0.0</v>
      </c>
      <c r="T358" s="24">
        <v>0.0</v>
      </c>
      <c r="U358" s="24">
        <v>0.0</v>
      </c>
      <c r="V358" s="24">
        <v>0.0</v>
      </c>
      <c r="W358" s="24">
        <v>0.0</v>
      </c>
      <c r="X358" s="24">
        <v>1.0</v>
      </c>
      <c r="Y358" s="24">
        <v>0.0</v>
      </c>
      <c r="Z358" s="24">
        <v>0.0</v>
      </c>
      <c r="AA358" s="24">
        <v>1.0</v>
      </c>
      <c r="AB358" s="24">
        <v>1.0</v>
      </c>
      <c r="AC358" s="24">
        <v>1.0</v>
      </c>
      <c r="AD358" s="24">
        <v>0.0</v>
      </c>
      <c r="AE358" s="24">
        <v>0.0</v>
      </c>
      <c r="AF358" s="24">
        <v>0.0</v>
      </c>
      <c r="AG358" s="24">
        <v>1.0</v>
      </c>
      <c r="AH358" s="24">
        <v>0.0</v>
      </c>
      <c r="AI358" s="24">
        <v>1.0</v>
      </c>
      <c r="AJ358" s="24">
        <v>0.0</v>
      </c>
      <c r="AK358" s="24">
        <v>0.0</v>
      </c>
      <c r="AL358" s="24">
        <v>0.0</v>
      </c>
      <c r="AM358" s="24">
        <v>0.0</v>
      </c>
      <c r="AN358" s="24">
        <v>0.0</v>
      </c>
      <c r="AO358" s="25">
        <v>20.2</v>
      </c>
      <c r="AP358" s="26"/>
      <c r="AQ358" s="26"/>
      <c r="AR358" s="26"/>
      <c r="AS358" s="26"/>
      <c r="AT358" s="26"/>
      <c r="AU358" s="26"/>
      <c r="AV358" s="26"/>
      <c r="AW358" s="26"/>
      <c r="AX358" s="26"/>
      <c r="AY358" s="26"/>
      <c r="AZ358" s="26"/>
      <c r="BA358" s="26"/>
      <c r="BB358" s="26"/>
      <c r="BC358" s="26"/>
      <c r="BD358" s="24">
        <v>17.92</v>
      </c>
      <c r="BE358" s="26"/>
      <c r="BF358" s="26"/>
      <c r="BG358" s="24">
        <v>25.67</v>
      </c>
      <c r="BH358" s="24">
        <v>13.28</v>
      </c>
      <c r="BI358" s="24">
        <v>22.47</v>
      </c>
      <c r="BJ358" s="26"/>
      <c r="BK358" s="26"/>
      <c r="BL358" s="26"/>
      <c r="BM358" s="24">
        <v>26.92</v>
      </c>
      <c r="BN358" s="26"/>
      <c r="BO358" s="24">
        <v>0.25</v>
      </c>
      <c r="BP358" s="24">
        <v>0.85</v>
      </c>
      <c r="BQ358" s="24">
        <v>9.94</v>
      </c>
      <c r="BR358" s="24">
        <v>10.61</v>
      </c>
      <c r="BS358" s="57">
        <v>2.42</v>
      </c>
      <c r="BT358" s="56">
        <v>20.5</v>
      </c>
      <c r="BU358" s="25">
        <v>4.1</v>
      </c>
      <c r="BV358" s="55">
        <v>6.76</v>
      </c>
      <c r="BW358" s="26"/>
      <c r="BX358" s="24">
        <v>3000.0</v>
      </c>
      <c r="BY358" s="24" t="s">
        <v>123</v>
      </c>
      <c r="BZ358" s="28">
        <v>2700.0</v>
      </c>
      <c r="CA358" s="29" t="s">
        <v>124</v>
      </c>
      <c r="CB358" s="30">
        <v>3000.0</v>
      </c>
      <c r="CC358" s="31"/>
      <c r="CD358" s="28">
        <v>3000.0</v>
      </c>
      <c r="CE358" s="32" t="e">
        <v>#REF!</v>
      </c>
      <c r="CF358" s="33"/>
      <c r="CG358" s="34">
        <v>0.0</v>
      </c>
      <c r="CH358" s="35">
        <v>0.0</v>
      </c>
      <c r="CI358" s="36">
        <v>6.0</v>
      </c>
      <c r="CJ358" s="36">
        <v>1655.0</v>
      </c>
      <c r="CK358" s="37">
        <v>0.0</v>
      </c>
      <c r="CL358" s="36">
        <v>1655.0</v>
      </c>
      <c r="CM358" s="38">
        <v>121.0</v>
      </c>
      <c r="CN358" s="36">
        <v>0.0</v>
      </c>
      <c r="CO358" s="39">
        <v>20.2</v>
      </c>
      <c r="CP358" s="40">
        <v>0.0</v>
      </c>
      <c r="CQ358" s="36">
        <v>5.0</v>
      </c>
      <c r="CR358" s="36">
        <v>5.0</v>
      </c>
      <c r="CS358" s="36">
        <v>15.0</v>
      </c>
      <c r="CT358" s="41"/>
      <c r="CU358" s="42"/>
      <c r="CV358" s="43"/>
      <c r="CW358" s="44">
        <v>10.0</v>
      </c>
      <c r="CX358" s="44" t="s">
        <v>138</v>
      </c>
      <c r="CY358" s="44" t="s">
        <v>139</v>
      </c>
      <c r="CZ358" s="45"/>
      <c r="DA358" s="44">
        <v>3000.0</v>
      </c>
      <c r="DB358" s="44">
        <v>0.0</v>
      </c>
      <c r="DC358" s="46" t="s">
        <v>127</v>
      </c>
      <c r="DD358" s="47">
        <v>46228.0</v>
      </c>
      <c r="DE358" s="43"/>
      <c r="DF358" s="43"/>
      <c r="DG358" s="48" t="s">
        <v>128</v>
      </c>
      <c r="DH358" s="48" t="s">
        <v>128</v>
      </c>
      <c r="DI358" s="48" t="s">
        <v>128</v>
      </c>
      <c r="DJ358" s="49">
        <v>0.0</v>
      </c>
      <c r="DK358" s="48" t="b">
        <v>0</v>
      </c>
      <c r="DL358" s="50" t="s">
        <v>929</v>
      </c>
      <c r="DM358" s="50" t="s">
        <v>128</v>
      </c>
      <c r="DN358" s="50" t="s">
        <v>930</v>
      </c>
      <c r="DO358" s="49">
        <v>0.64</v>
      </c>
      <c r="DP358" s="48" t="s">
        <v>128</v>
      </c>
      <c r="DQ358" s="48" t="s">
        <v>128</v>
      </c>
      <c r="DR358" s="51"/>
      <c r="DS358" s="48" t="s">
        <v>134</v>
      </c>
    </row>
    <row r="359">
      <c r="A359" s="52" t="s">
        <v>118</v>
      </c>
      <c r="B359" s="53">
        <v>6.0</v>
      </c>
      <c r="C359" s="52" t="s">
        <v>747</v>
      </c>
      <c r="D359" s="53">
        <v>536832.0</v>
      </c>
      <c r="E359" s="52" t="s">
        <v>158</v>
      </c>
      <c r="F359" s="52" t="s">
        <v>937</v>
      </c>
      <c r="G359" s="52" t="s">
        <v>938</v>
      </c>
      <c r="H359" s="53">
        <v>77103.0</v>
      </c>
      <c r="I359" s="53">
        <v>13.0</v>
      </c>
      <c r="J359" s="53">
        <v>0.0</v>
      </c>
      <c r="K359" s="53">
        <v>0.0</v>
      </c>
      <c r="L359" s="53">
        <v>0.0</v>
      </c>
      <c r="M359" s="53">
        <v>0.0</v>
      </c>
      <c r="N359" s="53">
        <v>0.0</v>
      </c>
      <c r="O359" s="53">
        <v>0.0</v>
      </c>
      <c r="P359" s="53">
        <v>0.0</v>
      </c>
      <c r="Q359" s="53">
        <v>1.0</v>
      </c>
      <c r="R359" s="53">
        <v>1.0</v>
      </c>
      <c r="S359" s="53">
        <v>0.0</v>
      </c>
      <c r="T359" s="53">
        <v>2.0</v>
      </c>
      <c r="U359" s="53">
        <v>0.0</v>
      </c>
      <c r="V359" s="53">
        <v>0.0</v>
      </c>
      <c r="W359" s="53">
        <v>0.0</v>
      </c>
      <c r="X359" s="53">
        <v>1.0</v>
      </c>
      <c r="Y359" s="53">
        <v>0.0</v>
      </c>
      <c r="Z359" s="53">
        <v>0.0</v>
      </c>
      <c r="AA359" s="53">
        <v>1.0</v>
      </c>
      <c r="AB359" s="53">
        <v>2.0</v>
      </c>
      <c r="AC359" s="53">
        <v>0.0</v>
      </c>
      <c r="AD359" s="53">
        <v>1.0</v>
      </c>
      <c r="AE359" s="53">
        <v>2.0</v>
      </c>
      <c r="AF359" s="53">
        <v>0.0</v>
      </c>
      <c r="AG359" s="53">
        <v>0.0</v>
      </c>
      <c r="AH359" s="53">
        <v>0.0</v>
      </c>
      <c r="AI359" s="53">
        <v>0.0</v>
      </c>
      <c r="AJ359" s="53">
        <v>0.0</v>
      </c>
      <c r="AK359" s="53">
        <v>0.0</v>
      </c>
      <c r="AL359" s="53">
        <v>1.0</v>
      </c>
      <c r="AM359" s="53">
        <v>0.0</v>
      </c>
      <c r="AN359" s="53">
        <v>1.0</v>
      </c>
      <c r="AO359" s="25">
        <v>20.3</v>
      </c>
      <c r="AP359" s="54"/>
      <c r="AQ359" s="54"/>
      <c r="AR359" s="54"/>
      <c r="AS359" s="54"/>
      <c r="AT359" s="54"/>
      <c r="AU359" s="54"/>
      <c r="AV359" s="54"/>
      <c r="AW359" s="53">
        <v>57.75</v>
      </c>
      <c r="AX359" s="53">
        <v>19.58</v>
      </c>
      <c r="AY359" s="54"/>
      <c r="AZ359" s="53">
        <v>12.38</v>
      </c>
      <c r="BA359" s="54"/>
      <c r="BB359" s="54"/>
      <c r="BC359" s="54"/>
      <c r="BD359" s="53">
        <v>15.18</v>
      </c>
      <c r="BE359" s="54"/>
      <c r="BF359" s="54"/>
      <c r="BG359" s="53">
        <v>16.97</v>
      </c>
      <c r="BH359" s="53">
        <v>19.33</v>
      </c>
      <c r="BI359" s="54"/>
      <c r="BJ359" s="53">
        <v>19.6</v>
      </c>
      <c r="BK359" s="53">
        <v>19.33</v>
      </c>
      <c r="BL359" s="54"/>
      <c r="BM359" s="54"/>
      <c r="BN359" s="54"/>
      <c r="BO359" s="53">
        <v>0.27</v>
      </c>
      <c r="BP359" s="53">
        <v>1.0</v>
      </c>
      <c r="BQ359" s="53">
        <v>8.01</v>
      </c>
      <c r="BR359" s="53">
        <v>8.79</v>
      </c>
      <c r="BS359" s="57">
        <v>1.8</v>
      </c>
      <c r="BT359" s="77">
        <v>12.7</v>
      </c>
      <c r="BU359" s="57">
        <v>1.3</v>
      </c>
      <c r="BV359" s="57">
        <v>5.77</v>
      </c>
      <c r="BW359" s="54"/>
      <c r="BX359" s="53">
        <v>3000.0</v>
      </c>
      <c r="BY359" s="53" t="s">
        <v>123</v>
      </c>
      <c r="BZ359" s="58">
        <v>2700.0</v>
      </c>
      <c r="CA359" s="29" t="s">
        <v>124</v>
      </c>
      <c r="CB359" s="30">
        <v>3000.0</v>
      </c>
      <c r="CC359" s="31"/>
      <c r="CD359" s="58">
        <v>3000.0</v>
      </c>
      <c r="CE359" s="59" t="e">
        <v>#REF!</v>
      </c>
      <c r="CF359" s="60"/>
      <c r="CG359" s="61">
        <v>0.0</v>
      </c>
      <c r="CH359" s="62">
        <v>0.0</v>
      </c>
      <c r="CI359" s="63">
        <v>13.0</v>
      </c>
      <c r="CJ359" s="63">
        <v>1655.0</v>
      </c>
      <c r="CK359" s="64">
        <v>0.0</v>
      </c>
      <c r="CL359" s="63">
        <v>1655.0</v>
      </c>
      <c r="CM359" s="65">
        <v>264.0</v>
      </c>
      <c r="CN359" s="63">
        <v>0.0</v>
      </c>
      <c r="CO359" s="66">
        <v>20.3</v>
      </c>
      <c r="CP359" s="67">
        <v>0.0</v>
      </c>
      <c r="CQ359" s="63">
        <v>13.0</v>
      </c>
      <c r="CR359" s="63">
        <v>13.0</v>
      </c>
      <c r="CS359" s="63">
        <v>23.0</v>
      </c>
      <c r="CT359" s="68"/>
      <c r="CU359" s="69"/>
      <c r="CV359" s="70"/>
      <c r="CW359" s="71">
        <v>10.0</v>
      </c>
      <c r="CX359" s="71" t="s">
        <v>138</v>
      </c>
      <c r="CY359" s="71" t="s">
        <v>139</v>
      </c>
      <c r="CZ359" s="45"/>
      <c r="DA359" s="44">
        <v>3000.0</v>
      </c>
      <c r="DB359" s="44">
        <v>0.0</v>
      </c>
      <c r="DC359" s="46" t="s">
        <v>127</v>
      </c>
      <c r="DD359" s="47">
        <v>46228.0</v>
      </c>
      <c r="DE359" s="43"/>
      <c r="DF359" s="43"/>
      <c r="DG359" s="48" t="s">
        <v>128</v>
      </c>
      <c r="DH359" s="48" t="s">
        <v>128</v>
      </c>
      <c r="DI359" s="48" t="s">
        <v>128</v>
      </c>
      <c r="DJ359" s="51"/>
      <c r="DK359" s="48" t="b">
        <v>0</v>
      </c>
      <c r="DL359" s="50" t="s">
        <v>929</v>
      </c>
      <c r="DM359" s="50" t="s">
        <v>128</v>
      </c>
      <c r="DN359" s="50" t="s">
        <v>930</v>
      </c>
      <c r="DO359" s="49">
        <v>0.64</v>
      </c>
      <c r="DP359" s="48" t="s">
        <v>128</v>
      </c>
      <c r="DQ359" s="48" t="s">
        <v>128</v>
      </c>
      <c r="DR359" s="51"/>
      <c r="DS359" s="48" t="s">
        <v>134</v>
      </c>
    </row>
    <row r="360">
      <c r="A360" s="23" t="s">
        <v>118</v>
      </c>
      <c r="B360" s="24">
        <v>6.0</v>
      </c>
      <c r="C360" s="23" t="s">
        <v>747</v>
      </c>
      <c r="D360" s="24">
        <v>639495.0</v>
      </c>
      <c r="E360" s="23" t="s">
        <v>155</v>
      </c>
      <c r="F360" s="23" t="s">
        <v>939</v>
      </c>
      <c r="G360" s="23" t="s">
        <v>940</v>
      </c>
      <c r="H360" s="24">
        <v>77103.0</v>
      </c>
      <c r="I360" s="24">
        <v>12.0</v>
      </c>
      <c r="J360" s="24">
        <v>0.0</v>
      </c>
      <c r="K360" s="24">
        <v>0.0</v>
      </c>
      <c r="L360" s="24">
        <v>0.0</v>
      </c>
      <c r="M360" s="24">
        <v>0.0</v>
      </c>
      <c r="N360" s="24">
        <v>0.0</v>
      </c>
      <c r="O360" s="24">
        <v>0.0</v>
      </c>
      <c r="P360" s="24">
        <v>1.0</v>
      </c>
      <c r="Q360" s="24">
        <v>0.0</v>
      </c>
      <c r="R360" s="24">
        <v>0.0</v>
      </c>
      <c r="S360" s="24">
        <v>0.0</v>
      </c>
      <c r="T360" s="24">
        <v>1.0</v>
      </c>
      <c r="U360" s="24">
        <v>1.0</v>
      </c>
      <c r="V360" s="24">
        <v>1.0</v>
      </c>
      <c r="W360" s="24">
        <v>0.0</v>
      </c>
      <c r="X360" s="24">
        <v>1.0</v>
      </c>
      <c r="Y360" s="24">
        <v>0.0</v>
      </c>
      <c r="Z360" s="24">
        <v>0.0</v>
      </c>
      <c r="AA360" s="24">
        <v>3.0</v>
      </c>
      <c r="AB360" s="24">
        <v>1.0</v>
      </c>
      <c r="AC360" s="24">
        <v>1.0</v>
      </c>
      <c r="AD360" s="24">
        <v>1.0</v>
      </c>
      <c r="AE360" s="24">
        <v>0.0</v>
      </c>
      <c r="AF360" s="24">
        <v>0.0</v>
      </c>
      <c r="AG360" s="24">
        <v>0.0</v>
      </c>
      <c r="AH360" s="24">
        <v>0.0</v>
      </c>
      <c r="AI360" s="24">
        <v>0.0</v>
      </c>
      <c r="AJ360" s="24">
        <v>0.0</v>
      </c>
      <c r="AK360" s="24">
        <v>0.0</v>
      </c>
      <c r="AL360" s="24">
        <v>0.0</v>
      </c>
      <c r="AM360" s="24">
        <v>1.0</v>
      </c>
      <c r="AN360" s="24">
        <v>0.0</v>
      </c>
      <c r="AO360" s="25">
        <v>18.9</v>
      </c>
      <c r="AP360" s="26"/>
      <c r="AQ360" s="26"/>
      <c r="AR360" s="26"/>
      <c r="AS360" s="26"/>
      <c r="AT360" s="26"/>
      <c r="AU360" s="26"/>
      <c r="AV360" s="24">
        <v>18.23</v>
      </c>
      <c r="AW360" s="26"/>
      <c r="AX360" s="26"/>
      <c r="AY360" s="26"/>
      <c r="AZ360" s="24">
        <v>10.43</v>
      </c>
      <c r="BA360" s="24">
        <v>14.35</v>
      </c>
      <c r="BB360" s="24">
        <v>12.82</v>
      </c>
      <c r="BC360" s="26"/>
      <c r="BD360" s="24">
        <v>17.13</v>
      </c>
      <c r="BE360" s="26"/>
      <c r="BF360" s="26"/>
      <c r="BG360" s="24">
        <v>15.85</v>
      </c>
      <c r="BH360" s="24">
        <v>13.57</v>
      </c>
      <c r="BI360" s="24">
        <v>17.92</v>
      </c>
      <c r="BJ360" s="24">
        <v>22.18</v>
      </c>
      <c r="BK360" s="26"/>
      <c r="BL360" s="26"/>
      <c r="BM360" s="26"/>
      <c r="BN360" s="26"/>
      <c r="BO360" s="24">
        <v>0.88</v>
      </c>
      <c r="BP360" s="24">
        <v>4.04</v>
      </c>
      <c r="BQ360" s="24">
        <v>8.12</v>
      </c>
      <c r="BR360" s="24">
        <v>11.97</v>
      </c>
      <c r="BS360" s="57">
        <v>1.43</v>
      </c>
      <c r="BT360" s="56">
        <v>26.2</v>
      </c>
      <c r="BU360" s="57">
        <v>1.1</v>
      </c>
      <c r="BV360" s="57">
        <v>5.57</v>
      </c>
      <c r="BW360" s="26"/>
      <c r="BX360" s="24">
        <v>3000.0</v>
      </c>
      <c r="BY360" s="24" t="s">
        <v>123</v>
      </c>
      <c r="BZ360" s="28">
        <v>3000.0</v>
      </c>
      <c r="CA360" s="72"/>
      <c r="CB360" s="30">
        <v>3000.0</v>
      </c>
      <c r="CC360" s="31"/>
      <c r="CD360" s="28">
        <v>3000.0</v>
      </c>
      <c r="CE360" s="32" t="e">
        <v>#REF!</v>
      </c>
      <c r="CF360" s="33"/>
      <c r="CG360" s="34">
        <v>0.0</v>
      </c>
      <c r="CH360" s="35">
        <v>0.0</v>
      </c>
      <c r="CI360" s="36">
        <v>12.0</v>
      </c>
      <c r="CJ360" s="36">
        <v>1655.0</v>
      </c>
      <c r="CK360" s="37">
        <v>0.0</v>
      </c>
      <c r="CL360" s="36">
        <v>1655.0</v>
      </c>
      <c r="CM360" s="38">
        <v>227.0</v>
      </c>
      <c r="CN360" s="36">
        <v>0.0</v>
      </c>
      <c r="CO360" s="39">
        <v>18.9</v>
      </c>
      <c r="CP360" s="40">
        <v>0.0</v>
      </c>
      <c r="CQ360" s="36">
        <v>48.0</v>
      </c>
      <c r="CR360" s="36">
        <v>48.0</v>
      </c>
      <c r="CS360" s="36">
        <v>17.0</v>
      </c>
      <c r="CT360" s="41"/>
      <c r="CU360" s="42"/>
      <c r="CV360" s="43"/>
      <c r="CW360" s="44">
        <v>10.0</v>
      </c>
      <c r="CX360" s="44" t="s">
        <v>138</v>
      </c>
      <c r="CY360" s="44" t="s">
        <v>139</v>
      </c>
      <c r="CZ360" s="45"/>
      <c r="DA360" s="44">
        <v>3000.0</v>
      </c>
      <c r="DB360" s="44">
        <v>0.0</v>
      </c>
      <c r="DC360" s="43"/>
      <c r="DD360" s="78"/>
      <c r="DE360" s="43"/>
      <c r="DF360" s="43"/>
      <c r="DG360" s="48" t="s">
        <v>128</v>
      </c>
      <c r="DH360" s="48" t="s">
        <v>128</v>
      </c>
      <c r="DI360" s="48" t="s">
        <v>128</v>
      </c>
      <c r="DJ360" s="51"/>
      <c r="DK360" s="48" t="b">
        <v>0</v>
      </c>
      <c r="DL360" s="50" t="s">
        <v>929</v>
      </c>
      <c r="DM360" s="50" t="s">
        <v>128</v>
      </c>
      <c r="DN360" s="50" t="s">
        <v>930</v>
      </c>
      <c r="DO360" s="49">
        <v>0.64</v>
      </c>
      <c r="DP360" s="48" t="s">
        <v>128</v>
      </c>
      <c r="DQ360" s="48" t="s">
        <v>128</v>
      </c>
      <c r="DR360" s="51"/>
      <c r="DS360" s="48" t="s">
        <v>134</v>
      </c>
    </row>
    <row r="361">
      <c r="A361" s="52" t="s">
        <v>118</v>
      </c>
      <c r="B361" s="53">
        <v>6.0</v>
      </c>
      <c r="C361" s="52" t="s">
        <v>747</v>
      </c>
      <c r="D361" s="53">
        <v>640888.0</v>
      </c>
      <c r="E361" s="52" t="s">
        <v>161</v>
      </c>
      <c r="F361" s="52" t="s">
        <v>941</v>
      </c>
      <c r="G361" s="52" t="s">
        <v>942</v>
      </c>
      <c r="H361" s="53">
        <v>77103.0</v>
      </c>
      <c r="I361" s="53">
        <v>5.0</v>
      </c>
      <c r="J361" s="53">
        <v>0.0</v>
      </c>
      <c r="K361" s="53">
        <v>0.0</v>
      </c>
      <c r="L361" s="53">
        <v>0.0</v>
      </c>
      <c r="M361" s="53">
        <v>1.0</v>
      </c>
      <c r="N361" s="53">
        <v>1.0</v>
      </c>
      <c r="O361" s="53">
        <v>1.0</v>
      </c>
      <c r="P361" s="53">
        <v>0.0</v>
      </c>
      <c r="Q361" s="53">
        <v>0.0</v>
      </c>
      <c r="R361" s="53">
        <v>0.0</v>
      </c>
      <c r="S361" s="53">
        <v>0.0</v>
      </c>
      <c r="T361" s="53">
        <v>0.0</v>
      </c>
      <c r="U361" s="53">
        <v>0.0</v>
      </c>
      <c r="V361" s="53">
        <v>1.0</v>
      </c>
      <c r="W361" s="53">
        <v>0.0</v>
      </c>
      <c r="X361" s="53">
        <v>0.0</v>
      </c>
      <c r="Y361" s="53">
        <v>0.0</v>
      </c>
      <c r="Z361" s="53">
        <v>1.0</v>
      </c>
      <c r="AA361" s="53">
        <v>0.0</v>
      </c>
      <c r="AB361" s="53">
        <v>0.0</v>
      </c>
      <c r="AC361" s="53">
        <v>0.0</v>
      </c>
      <c r="AD361" s="53">
        <v>0.0</v>
      </c>
      <c r="AE361" s="53">
        <v>0.0</v>
      </c>
      <c r="AF361" s="53">
        <v>0.0</v>
      </c>
      <c r="AG361" s="53">
        <v>0.0</v>
      </c>
      <c r="AH361" s="53">
        <v>0.0</v>
      </c>
      <c r="AI361" s="53">
        <v>0.0</v>
      </c>
      <c r="AJ361" s="53">
        <v>0.0</v>
      </c>
      <c r="AK361" s="53">
        <v>0.0</v>
      </c>
      <c r="AL361" s="53">
        <v>0.0</v>
      </c>
      <c r="AM361" s="53">
        <v>0.0</v>
      </c>
      <c r="AN361" s="53">
        <v>0.0</v>
      </c>
      <c r="AO361" s="25">
        <v>17.4</v>
      </c>
      <c r="AP361" s="54"/>
      <c r="AQ361" s="54"/>
      <c r="AR361" s="54"/>
      <c r="AS361" s="53">
        <v>23.0</v>
      </c>
      <c r="AT361" s="53">
        <v>17.07</v>
      </c>
      <c r="AU361" s="53">
        <v>10.47</v>
      </c>
      <c r="AV361" s="54"/>
      <c r="AW361" s="54"/>
      <c r="AX361" s="54"/>
      <c r="AY361" s="54"/>
      <c r="AZ361" s="54"/>
      <c r="BA361" s="54"/>
      <c r="BB361" s="53">
        <v>19.93</v>
      </c>
      <c r="BC361" s="54"/>
      <c r="BD361" s="54"/>
      <c r="BE361" s="54"/>
      <c r="BF361" s="53">
        <v>16.68</v>
      </c>
      <c r="BG361" s="54"/>
      <c r="BH361" s="54"/>
      <c r="BI361" s="54"/>
      <c r="BJ361" s="54"/>
      <c r="BK361" s="54"/>
      <c r="BL361" s="54"/>
      <c r="BM361" s="54"/>
      <c r="BN361" s="54"/>
      <c r="BO361" s="54"/>
      <c r="BP361" s="53">
        <v>1.01</v>
      </c>
      <c r="BQ361" s="53">
        <v>10.62</v>
      </c>
      <c r="BR361" s="53">
        <v>11.42</v>
      </c>
      <c r="BS361" s="57">
        <v>1.29</v>
      </c>
      <c r="BT361" s="56">
        <v>17.1</v>
      </c>
      <c r="BU361" s="57">
        <v>0.4</v>
      </c>
      <c r="BV361" s="57">
        <v>1.28</v>
      </c>
      <c r="BW361" s="54"/>
      <c r="BX361" s="53">
        <v>3000.0</v>
      </c>
      <c r="BY361" s="53" t="s">
        <v>123</v>
      </c>
      <c r="BZ361" s="58">
        <v>3000.0</v>
      </c>
      <c r="CA361" s="72"/>
      <c r="CB361" s="30">
        <v>3000.0</v>
      </c>
      <c r="CC361" s="31"/>
      <c r="CD361" s="58">
        <v>3000.0</v>
      </c>
      <c r="CE361" s="59" t="e">
        <v>#REF!</v>
      </c>
      <c r="CF361" s="60"/>
      <c r="CG361" s="61">
        <v>0.0</v>
      </c>
      <c r="CH361" s="62">
        <v>0.0</v>
      </c>
      <c r="CI361" s="63">
        <v>5.0</v>
      </c>
      <c r="CJ361" s="63">
        <v>1655.0</v>
      </c>
      <c r="CK361" s="64">
        <v>0.0</v>
      </c>
      <c r="CL361" s="63">
        <v>1655.0</v>
      </c>
      <c r="CM361" s="65">
        <v>87.0</v>
      </c>
      <c r="CN361" s="63">
        <v>0.0</v>
      </c>
      <c r="CO361" s="66">
        <v>17.4</v>
      </c>
      <c r="CP361" s="67">
        <v>0.0</v>
      </c>
      <c r="CQ361" s="63">
        <v>5.0</v>
      </c>
      <c r="CR361" s="63">
        <v>5.0</v>
      </c>
      <c r="CS361" s="63">
        <v>6.0</v>
      </c>
      <c r="CT361" s="68"/>
      <c r="CU361" s="69"/>
      <c r="CV361" s="70"/>
      <c r="CW361" s="71">
        <v>10.0</v>
      </c>
      <c r="CX361" s="71" t="s">
        <v>138</v>
      </c>
      <c r="CY361" s="71" t="s">
        <v>139</v>
      </c>
      <c r="CZ361" s="45"/>
      <c r="DA361" s="44">
        <v>3000.0</v>
      </c>
      <c r="DB361" s="44">
        <v>0.0</v>
      </c>
      <c r="DC361" s="43"/>
      <c r="DD361" s="78"/>
      <c r="DE361" s="43"/>
      <c r="DF361" s="43"/>
      <c r="DG361" s="48" t="s">
        <v>128</v>
      </c>
      <c r="DH361" s="48" t="s">
        <v>128</v>
      </c>
      <c r="DI361" s="48" t="s">
        <v>128</v>
      </c>
      <c r="DJ361" s="51"/>
      <c r="DK361" s="48" t="b">
        <v>0</v>
      </c>
      <c r="DL361" s="50" t="s">
        <v>929</v>
      </c>
      <c r="DM361" s="50" t="s">
        <v>128</v>
      </c>
      <c r="DN361" s="50" t="s">
        <v>930</v>
      </c>
      <c r="DO361" s="49">
        <v>0.64</v>
      </c>
      <c r="DP361" s="48" t="s">
        <v>128</v>
      </c>
      <c r="DQ361" s="48" t="s">
        <v>128</v>
      </c>
      <c r="DR361" s="51"/>
      <c r="DS361" s="48" t="s">
        <v>134</v>
      </c>
    </row>
    <row r="362">
      <c r="A362" s="23" t="s">
        <v>118</v>
      </c>
      <c r="B362" s="24">
        <v>6.0</v>
      </c>
      <c r="C362" s="23" t="s">
        <v>747</v>
      </c>
      <c r="D362" s="24">
        <v>627274.0</v>
      </c>
      <c r="E362" s="23" t="s">
        <v>173</v>
      </c>
      <c r="F362" s="23" t="s">
        <v>943</v>
      </c>
      <c r="G362" s="23" t="s">
        <v>944</v>
      </c>
      <c r="H362" s="24">
        <v>77103.0</v>
      </c>
      <c r="I362" s="24">
        <v>2.0</v>
      </c>
      <c r="J362" s="24">
        <v>0.0</v>
      </c>
      <c r="K362" s="24">
        <v>0.0</v>
      </c>
      <c r="L362" s="24">
        <v>0.0</v>
      </c>
      <c r="M362" s="24">
        <v>0.0</v>
      </c>
      <c r="N362" s="24">
        <v>0.0</v>
      </c>
      <c r="O362" s="24">
        <v>0.0</v>
      </c>
      <c r="P362" s="24">
        <v>0.0</v>
      </c>
      <c r="Q362" s="24">
        <v>0.0</v>
      </c>
      <c r="R362" s="24">
        <v>0.0</v>
      </c>
      <c r="S362" s="24">
        <v>0.0</v>
      </c>
      <c r="T362" s="24">
        <v>0.0</v>
      </c>
      <c r="U362" s="24">
        <v>0.0</v>
      </c>
      <c r="V362" s="24">
        <v>0.0</v>
      </c>
      <c r="W362" s="24">
        <v>0.0</v>
      </c>
      <c r="X362" s="24">
        <v>0.0</v>
      </c>
      <c r="Y362" s="24">
        <v>0.0</v>
      </c>
      <c r="Z362" s="24">
        <v>0.0</v>
      </c>
      <c r="AA362" s="24">
        <v>0.0</v>
      </c>
      <c r="AB362" s="24">
        <v>2.0</v>
      </c>
      <c r="AC362" s="24">
        <v>0.0</v>
      </c>
      <c r="AD362" s="24">
        <v>0.0</v>
      </c>
      <c r="AE362" s="24">
        <v>0.0</v>
      </c>
      <c r="AF362" s="24">
        <v>0.0</v>
      </c>
      <c r="AG362" s="24">
        <v>0.0</v>
      </c>
      <c r="AH362" s="24">
        <v>0.0</v>
      </c>
      <c r="AI362" s="24">
        <v>0.0</v>
      </c>
      <c r="AJ362" s="24">
        <v>0.0</v>
      </c>
      <c r="AK362" s="24">
        <v>0.0</v>
      </c>
      <c r="AL362" s="24">
        <v>0.0</v>
      </c>
      <c r="AM362" s="24">
        <v>0.0</v>
      </c>
      <c r="AN362" s="24">
        <v>0.0</v>
      </c>
      <c r="AO362" s="25">
        <v>17.4</v>
      </c>
      <c r="AP362" s="26"/>
      <c r="AQ362" s="26"/>
      <c r="AR362" s="26"/>
      <c r="AS362" s="26"/>
      <c r="AT362" s="26"/>
      <c r="AU362" s="26"/>
      <c r="AV362" s="26"/>
      <c r="AW362" s="26"/>
      <c r="AX362" s="26"/>
      <c r="AY362" s="26"/>
      <c r="AZ362" s="26"/>
      <c r="BA362" s="26"/>
      <c r="BB362" s="26"/>
      <c r="BC362" s="26"/>
      <c r="BD362" s="26"/>
      <c r="BE362" s="26"/>
      <c r="BF362" s="26"/>
      <c r="BG362" s="26"/>
      <c r="BH362" s="24">
        <v>17.43</v>
      </c>
      <c r="BI362" s="26"/>
      <c r="BJ362" s="26"/>
      <c r="BK362" s="26"/>
      <c r="BL362" s="26"/>
      <c r="BM362" s="26"/>
      <c r="BN362" s="26"/>
      <c r="BO362" s="26"/>
      <c r="BP362" s="24">
        <v>1.1</v>
      </c>
      <c r="BQ362" s="24">
        <v>6.83</v>
      </c>
      <c r="BR362" s="24">
        <v>7.72</v>
      </c>
      <c r="BS362" s="57">
        <v>0.58</v>
      </c>
      <c r="BT362" s="27"/>
      <c r="BU362" s="26"/>
      <c r="BV362" s="26"/>
      <c r="BW362" s="26"/>
      <c r="BX362" s="24">
        <v>3000.0</v>
      </c>
      <c r="BY362" s="24" t="s">
        <v>123</v>
      </c>
      <c r="BZ362" s="28">
        <v>3000.0</v>
      </c>
      <c r="CA362" s="72"/>
      <c r="CB362" s="30">
        <v>3000.0</v>
      </c>
      <c r="CC362" s="31"/>
      <c r="CD362" s="28">
        <v>3000.0</v>
      </c>
      <c r="CE362" s="32" t="e">
        <v>#REF!</v>
      </c>
      <c r="CF362" s="33"/>
      <c r="CG362" s="34">
        <v>0.0</v>
      </c>
      <c r="CH362" s="35">
        <v>0.0</v>
      </c>
      <c r="CI362" s="36">
        <v>2.0</v>
      </c>
      <c r="CJ362" s="36">
        <v>1655.0</v>
      </c>
      <c r="CK362" s="37">
        <v>0.0</v>
      </c>
      <c r="CL362" s="36">
        <v>1655.0</v>
      </c>
      <c r="CM362" s="38">
        <v>35.0</v>
      </c>
      <c r="CN362" s="36">
        <v>0.0</v>
      </c>
      <c r="CO362" s="39">
        <v>17.4</v>
      </c>
      <c r="CP362" s="40">
        <v>0.0</v>
      </c>
      <c r="CQ362" s="36">
        <v>2.0</v>
      </c>
      <c r="CR362" s="36">
        <v>2.0</v>
      </c>
      <c r="CS362" s="36">
        <v>1.0</v>
      </c>
      <c r="CT362" s="41"/>
      <c r="CU362" s="42"/>
      <c r="CV362" s="43"/>
      <c r="CW362" s="44">
        <v>10.0</v>
      </c>
      <c r="CX362" s="44" t="s">
        <v>138</v>
      </c>
      <c r="CY362" s="44" t="s">
        <v>139</v>
      </c>
      <c r="CZ362" s="45"/>
      <c r="DA362" s="44">
        <v>3000.0</v>
      </c>
      <c r="DB362" s="44">
        <v>0.0</v>
      </c>
      <c r="DC362" s="46" t="s">
        <v>127</v>
      </c>
      <c r="DD362" s="47">
        <v>46240.0</v>
      </c>
      <c r="DE362" s="43"/>
      <c r="DF362" s="43"/>
      <c r="DG362" s="48" t="s">
        <v>128</v>
      </c>
      <c r="DH362" s="48" t="s">
        <v>128</v>
      </c>
      <c r="DI362" s="48" t="s">
        <v>128</v>
      </c>
      <c r="DJ362" s="49">
        <v>1.0</v>
      </c>
      <c r="DK362" s="48" t="b">
        <v>0</v>
      </c>
      <c r="DL362" s="50" t="s">
        <v>929</v>
      </c>
      <c r="DM362" s="50" t="s">
        <v>128</v>
      </c>
      <c r="DN362" s="50" t="s">
        <v>930</v>
      </c>
      <c r="DO362" s="49">
        <v>0.64</v>
      </c>
      <c r="DP362" s="48" t="s">
        <v>128</v>
      </c>
      <c r="DQ362" s="48" t="s">
        <v>128</v>
      </c>
      <c r="DR362" s="51"/>
      <c r="DS362" s="48" t="s">
        <v>134</v>
      </c>
    </row>
    <row r="363">
      <c r="A363" s="52" t="s">
        <v>118</v>
      </c>
      <c r="B363" s="53">
        <v>6.0</v>
      </c>
      <c r="C363" s="52" t="s">
        <v>747</v>
      </c>
      <c r="D363" s="53">
        <v>588071.0</v>
      </c>
      <c r="E363" s="52" t="s">
        <v>152</v>
      </c>
      <c r="F363" s="52" t="s">
        <v>945</v>
      </c>
      <c r="G363" s="52" t="s">
        <v>946</v>
      </c>
      <c r="H363" s="53">
        <v>77103.0</v>
      </c>
      <c r="I363" s="53">
        <v>3.0</v>
      </c>
      <c r="J363" s="53">
        <v>0.0</v>
      </c>
      <c r="K363" s="53">
        <v>0.0</v>
      </c>
      <c r="L363" s="53">
        <v>0.0</v>
      </c>
      <c r="M363" s="53">
        <v>0.0</v>
      </c>
      <c r="N363" s="53">
        <v>0.0</v>
      </c>
      <c r="O363" s="53">
        <v>0.0</v>
      </c>
      <c r="P363" s="53">
        <v>0.0</v>
      </c>
      <c r="Q363" s="53">
        <v>0.0</v>
      </c>
      <c r="R363" s="53">
        <v>0.0</v>
      </c>
      <c r="S363" s="53">
        <v>0.0</v>
      </c>
      <c r="T363" s="53">
        <v>0.0</v>
      </c>
      <c r="U363" s="53">
        <v>1.0</v>
      </c>
      <c r="V363" s="53">
        <v>0.0</v>
      </c>
      <c r="W363" s="53">
        <v>0.0</v>
      </c>
      <c r="X363" s="53">
        <v>0.0</v>
      </c>
      <c r="Y363" s="53">
        <v>0.0</v>
      </c>
      <c r="Z363" s="53">
        <v>0.0</v>
      </c>
      <c r="AA363" s="53">
        <v>0.0</v>
      </c>
      <c r="AB363" s="53">
        <v>0.0</v>
      </c>
      <c r="AC363" s="53">
        <v>0.0</v>
      </c>
      <c r="AD363" s="53">
        <v>1.0</v>
      </c>
      <c r="AE363" s="53">
        <v>1.0</v>
      </c>
      <c r="AF363" s="53">
        <v>0.0</v>
      </c>
      <c r="AG363" s="53">
        <v>0.0</v>
      </c>
      <c r="AH363" s="53">
        <v>0.0</v>
      </c>
      <c r="AI363" s="53">
        <v>0.0</v>
      </c>
      <c r="AJ363" s="53">
        <v>0.0</v>
      </c>
      <c r="AK363" s="53">
        <v>0.0</v>
      </c>
      <c r="AL363" s="53">
        <v>0.0</v>
      </c>
      <c r="AM363" s="53">
        <v>0.0</v>
      </c>
      <c r="AN363" s="53">
        <v>0.0</v>
      </c>
      <c r="AO363" s="25">
        <v>17.5</v>
      </c>
      <c r="AP363" s="54"/>
      <c r="AQ363" s="54"/>
      <c r="AR363" s="54"/>
      <c r="AS363" s="54"/>
      <c r="AT363" s="54"/>
      <c r="AU363" s="54"/>
      <c r="AV363" s="54"/>
      <c r="AW363" s="54"/>
      <c r="AX363" s="54"/>
      <c r="AY363" s="54"/>
      <c r="AZ363" s="54"/>
      <c r="BA363" s="53">
        <v>13.43</v>
      </c>
      <c r="BB363" s="54"/>
      <c r="BC363" s="54"/>
      <c r="BD363" s="54"/>
      <c r="BE363" s="54"/>
      <c r="BF363" s="54"/>
      <c r="BG363" s="54"/>
      <c r="BH363" s="54"/>
      <c r="BI363" s="54"/>
      <c r="BJ363" s="53">
        <v>16.8</v>
      </c>
      <c r="BK363" s="53">
        <v>22.13</v>
      </c>
      <c r="BL363" s="54"/>
      <c r="BM363" s="54"/>
      <c r="BN363" s="54"/>
      <c r="BO363" s="54"/>
      <c r="BP363" s="53">
        <v>1.14</v>
      </c>
      <c r="BQ363" s="53">
        <v>9.34</v>
      </c>
      <c r="BR363" s="53">
        <v>10.26</v>
      </c>
      <c r="BS363" s="57">
        <v>0.31</v>
      </c>
      <c r="BT363" s="56">
        <v>19.5</v>
      </c>
      <c r="BU363" s="57">
        <v>0.4</v>
      </c>
      <c r="BV363" s="25">
        <v>8.08</v>
      </c>
      <c r="BW363" s="54"/>
      <c r="BX363" s="53">
        <v>3000.0</v>
      </c>
      <c r="BY363" s="53" t="s">
        <v>123</v>
      </c>
      <c r="BZ363" s="58">
        <v>2700.0</v>
      </c>
      <c r="CA363" s="29" t="s">
        <v>124</v>
      </c>
      <c r="CB363" s="30">
        <v>3000.0</v>
      </c>
      <c r="CC363" s="31"/>
      <c r="CD363" s="58">
        <v>3000.0</v>
      </c>
      <c r="CE363" s="59" t="e">
        <v>#REF!</v>
      </c>
      <c r="CF363" s="60"/>
      <c r="CG363" s="61">
        <v>0.0</v>
      </c>
      <c r="CH363" s="62">
        <v>0.0</v>
      </c>
      <c r="CI363" s="63">
        <v>3.0</v>
      </c>
      <c r="CJ363" s="63">
        <v>1655.0</v>
      </c>
      <c r="CK363" s="64">
        <v>0.0</v>
      </c>
      <c r="CL363" s="63">
        <v>1655.0</v>
      </c>
      <c r="CM363" s="65">
        <v>53.0</v>
      </c>
      <c r="CN363" s="63">
        <v>0.0</v>
      </c>
      <c r="CO363" s="66">
        <v>17.5</v>
      </c>
      <c r="CP363" s="67">
        <v>0.0</v>
      </c>
      <c r="CQ363" s="63">
        <v>3.0</v>
      </c>
      <c r="CR363" s="63">
        <v>3.0</v>
      </c>
      <c r="CS363" s="63">
        <v>1.0</v>
      </c>
      <c r="CT363" s="68"/>
      <c r="CU363" s="69"/>
      <c r="CV363" s="70"/>
      <c r="CW363" s="71">
        <v>10.0</v>
      </c>
      <c r="CX363" s="71" t="s">
        <v>138</v>
      </c>
      <c r="CY363" s="71" t="s">
        <v>139</v>
      </c>
      <c r="CZ363" s="45"/>
      <c r="DA363" s="44">
        <v>3000.0</v>
      </c>
      <c r="DB363" s="44">
        <v>0.0</v>
      </c>
      <c r="DC363" s="46" t="s">
        <v>127</v>
      </c>
      <c r="DD363" s="47">
        <v>46245.0</v>
      </c>
      <c r="DE363" s="43"/>
      <c r="DF363" s="43"/>
      <c r="DG363" s="48" t="s">
        <v>128</v>
      </c>
      <c r="DH363" s="48" t="s">
        <v>128</v>
      </c>
      <c r="DI363" s="48" t="s">
        <v>128</v>
      </c>
      <c r="DJ363" s="49">
        <v>1.0</v>
      </c>
      <c r="DK363" s="48" t="b">
        <v>0</v>
      </c>
      <c r="DL363" s="50" t="s">
        <v>929</v>
      </c>
      <c r="DM363" s="50" t="s">
        <v>128</v>
      </c>
      <c r="DN363" s="50" t="s">
        <v>930</v>
      </c>
      <c r="DO363" s="49">
        <v>0.64</v>
      </c>
      <c r="DP363" s="48" t="s">
        <v>128</v>
      </c>
      <c r="DQ363" s="48" t="s">
        <v>128</v>
      </c>
      <c r="DR363" s="51"/>
      <c r="DS363" s="48" t="s">
        <v>134</v>
      </c>
    </row>
    <row r="364">
      <c r="A364" s="23" t="s">
        <v>118</v>
      </c>
      <c r="B364" s="24">
        <v>6.0</v>
      </c>
      <c r="C364" s="23" t="s">
        <v>747</v>
      </c>
      <c r="D364" s="24">
        <v>536832.0</v>
      </c>
      <c r="E364" s="23" t="s">
        <v>158</v>
      </c>
      <c r="F364" s="23" t="s">
        <v>947</v>
      </c>
      <c r="G364" s="23" t="s">
        <v>948</v>
      </c>
      <c r="H364" s="24">
        <v>77103.0</v>
      </c>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7"/>
      <c r="BU364" s="26"/>
      <c r="BV364" s="26"/>
      <c r="BW364" s="26"/>
      <c r="BX364" s="24">
        <v>3000.0</v>
      </c>
      <c r="BY364" s="24" t="s">
        <v>123</v>
      </c>
      <c r="BZ364" s="28">
        <v>3000.0</v>
      </c>
      <c r="CA364" s="72"/>
      <c r="CB364" s="82"/>
      <c r="CC364" s="31"/>
      <c r="CD364" s="28">
        <v>3000.0</v>
      </c>
      <c r="CE364" s="88" t="s">
        <v>185</v>
      </c>
      <c r="CF364" s="33"/>
      <c r="CG364" s="34">
        <v>0.0</v>
      </c>
      <c r="CH364" s="89"/>
      <c r="CI364" s="36">
        <v>0.0</v>
      </c>
      <c r="CJ364" s="36">
        <v>1655.0</v>
      </c>
      <c r="CK364" s="37">
        <v>0.0</v>
      </c>
      <c r="CL364" s="36">
        <v>1655.0</v>
      </c>
      <c r="CM364" s="38">
        <v>0.0</v>
      </c>
      <c r="CN364" s="36">
        <v>0.0</v>
      </c>
      <c r="CO364" s="39">
        <v>0.0</v>
      </c>
      <c r="CP364" s="40">
        <v>0.0</v>
      </c>
      <c r="CQ364" s="36">
        <v>0.0</v>
      </c>
      <c r="CR364" s="36">
        <v>0.0</v>
      </c>
      <c r="CS364" s="36">
        <v>0.0</v>
      </c>
      <c r="CT364" s="41"/>
      <c r="CU364" s="42"/>
      <c r="CV364" s="43"/>
      <c r="CW364" s="44">
        <v>10.0</v>
      </c>
      <c r="CX364" s="44" t="s">
        <v>138</v>
      </c>
      <c r="CY364" s="44" t="s">
        <v>139</v>
      </c>
      <c r="CZ364" s="45"/>
      <c r="DA364" s="43"/>
      <c r="DB364" s="44">
        <v>0.0</v>
      </c>
      <c r="DC364" s="43"/>
      <c r="DD364" s="78"/>
      <c r="DE364" s="43"/>
      <c r="DF364" s="43"/>
      <c r="DG364" s="48" t="s">
        <v>128</v>
      </c>
      <c r="DH364" s="48" t="s">
        <v>128</v>
      </c>
      <c r="DI364" s="48" t="s">
        <v>196</v>
      </c>
      <c r="DJ364" s="49">
        <v>1.0</v>
      </c>
      <c r="DK364" s="48" t="b">
        <v>0</v>
      </c>
      <c r="DL364" s="50" t="s">
        <v>929</v>
      </c>
      <c r="DM364" s="50" t="s">
        <v>128</v>
      </c>
      <c r="DN364" s="50" t="s">
        <v>930</v>
      </c>
      <c r="DO364" s="49">
        <v>0.64</v>
      </c>
      <c r="DP364" s="48" t="s">
        <v>245</v>
      </c>
      <c r="DQ364" s="48" t="s">
        <v>196</v>
      </c>
      <c r="DR364" s="51"/>
      <c r="DS364" s="48" t="s">
        <v>134</v>
      </c>
    </row>
    <row r="365">
      <c r="A365" s="52" t="s">
        <v>118</v>
      </c>
      <c r="B365" s="53">
        <v>6.0</v>
      </c>
      <c r="C365" s="52" t="s">
        <v>747</v>
      </c>
      <c r="D365" s="53">
        <v>680588.0</v>
      </c>
      <c r="E365" s="52" t="s">
        <v>251</v>
      </c>
      <c r="F365" s="52" t="s">
        <v>949</v>
      </c>
      <c r="G365" s="52" t="s">
        <v>950</v>
      </c>
      <c r="H365" s="53">
        <v>77692.0</v>
      </c>
      <c r="I365" s="53">
        <v>6.0</v>
      </c>
      <c r="J365" s="53">
        <v>0.0</v>
      </c>
      <c r="K365" s="53">
        <v>0.0</v>
      </c>
      <c r="L365" s="53">
        <v>0.0</v>
      </c>
      <c r="M365" s="53">
        <v>0.0</v>
      </c>
      <c r="N365" s="53">
        <v>0.0</v>
      </c>
      <c r="O365" s="53">
        <v>0.0</v>
      </c>
      <c r="P365" s="53">
        <v>0.0</v>
      </c>
      <c r="Q365" s="53">
        <v>0.0</v>
      </c>
      <c r="R365" s="53">
        <v>1.0</v>
      </c>
      <c r="S365" s="53">
        <v>0.0</v>
      </c>
      <c r="T365" s="53">
        <v>2.0</v>
      </c>
      <c r="U365" s="53">
        <v>0.0</v>
      </c>
      <c r="V365" s="53">
        <v>0.0</v>
      </c>
      <c r="W365" s="53">
        <v>1.0</v>
      </c>
      <c r="X365" s="53">
        <v>0.0</v>
      </c>
      <c r="Y365" s="53">
        <v>0.0</v>
      </c>
      <c r="Z365" s="53">
        <v>0.0</v>
      </c>
      <c r="AA365" s="53">
        <v>0.0</v>
      </c>
      <c r="AB365" s="53">
        <v>0.0</v>
      </c>
      <c r="AC365" s="53">
        <v>0.0</v>
      </c>
      <c r="AD365" s="53">
        <v>0.0</v>
      </c>
      <c r="AE365" s="53">
        <v>0.0</v>
      </c>
      <c r="AF365" s="53">
        <v>0.0</v>
      </c>
      <c r="AG365" s="53">
        <v>0.0</v>
      </c>
      <c r="AH365" s="53">
        <v>1.0</v>
      </c>
      <c r="AI365" s="53">
        <v>1.0</v>
      </c>
      <c r="AJ365" s="53">
        <v>0.0</v>
      </c>
      <c r="AK365" s="53">
        <v>0.0</v>
      </c>
      <c r="AL365" s="53">
        <v>0.0</v>
      </c>
      <c r="AM365" s="53">
        <v>0.0</v>
      </c>
      <c r="AN365" s="53">
        <v>0.0</v>
      </c>
      <c r="AO365" s="25">
        <v>23.0</v>
      </c>
      <c r="AP365" s="54"/>
      <c r="AQ365" s="54"/>
      <c r="AR365" s="54"/>
      <c r="AS365" s="54"/>
      <c r="AT365" s="54"/>
      <c r="AU365" s="54"/>
      <c r="AV365" s="54"/>
      <c r="AW365" s="54"/>
      <c r="AX365" s="53">
        <v>11.93</v>
      </c>
      <c r="AY365" s="54"/>
      <c r="AZ365" s="53">
        <v>34.61</v>
      </c>
      <c r="BA365" s="54"/>
      <c r="BB365" s="54"/>
      <c r="BC365" s="53">
        <v>18.23</v>
      </c>
      <c r="BD365" s="54"/>
      <c r="BE365" s="54"/>
      <c r="BF365" s="54"/>
      <c r="BG365" s="54"/>
      <c r="BH365" s="54"/>
      <c r="BI365" s="54"/>
      <c r="BJ365" s="54"/>
      <c r="BK365" s="54"/>
      <c r="BL365" s="54"/>
      <c r="BM365" s="54"/>
      <c r="BN365" s="53">
        <v>19.3</v>
      </c>
      <c r="BO365" s="53">
        <v>0.32</v>
      </c>
      <c r="BP365" s="53">
        <v>0.9</v>
      </c>
      <c r="BQ365" s="53">
        <v>4.06</v>
      </c>
      <c r="BR365" s="53">
        <v>4.76</v>
      </c>
      <c r="BS365" s="25">
        <v>11.32</v>
      </c>
      <c r="BT365" s="56">
        <v>22.2</v>
      </c>
      <c r="BU365" s="25">
        <v>12.7</v>
      </c>
      <c r="BV365" s="57">
        <v>4.4</v>
      </c>
      <c r="BW365" s="54"/>
      <c r="BX365" s="53">
        <v>3000.0</v>
      </c>
      <c r="BY365" s="53" t="s">
        <v>123</v>
      </c>
      <c r="BZ365" s="108">
        <v>2700.0</v>
      </c>
      <c r="CA365" s="29" t="s">
        <v>124</v>
      </c>
      <c r="CB365" s="30">
        <v>1.0</v>
      </c>
      <c r="CC365" s="31"/>
      <c r="CD365" s="58">
        <v>1.0</v>
      </c>
      <c r="CE365" s="59" t="e">
        <v>#REF!</v>
      </c>
      <c r="CF365" s="105">
        <v>-2999.0</v>
      </c>
      <c r="CG365" s="61">
        <v>-6.0</v>
      </c>
      <c r="CH365" s="62">
        <v>-1.0</v>
      </c>
      <c r="CI365" s="63">
        <v>0.0</v>
      </c>
      <c r="CJ365" s="63">
        <v>2269.0</v>
      </c>
      <c r="CK365" s="64">
        <v>-6.0</v>
      </c>
      <c r="CL365" s="63">
        <v>2263.0</v>
      </c>
      <c r="CM365" s="65">
        <v>138.0</v>
      </c>
      <c r="CN365" s="106"/>
      <c r="CO365" s="66">
        <v>0.0</v>
      </c>
      <c r="CP365" s="67">
        <v>-23.0</v>
      </c>
      <c r="CQ365" s="63">
        <v>5.0</v>
      </c>
      <c r="CR365" s="63">
        <v>0.0</v>
      </c>
      <c r="CS365" s="63">
        <v>0.0</v>
      </c>
      <c r="CT365" s="68"/>
      <c r="CU365" s="69"/>
      <c r="CV365" s="70"/>
      <c r="CW365" s="71">
        <v>1.0</v>
      </c>
      <c r="CX365" s="71">
        <v>1.0</v>
      </c>
      <c r="CY365" s="71">
        <v>0.1</v>
      </c>
      <c r="CZ365" s="107" t="s">
        <v>124</v>
      </c>
      <c r="DA365" s="44">
        <v>1.0</v>
      </c>
      <c r="DB365" s="44">
        <v>0.0</v>
      </c>
      <c r="DC365" s="46" t="s">
        <v>127</v>
      </c>
      <c r="DD365" s="47">
        <v>46197.0</v>
      </c>
      <c r="DE365" s="43"/>
      <c r="DF365" s="43"/>
      <c r="DG365" s="48" t="s">
        <v>128</v>
      </c>
      <c r="DH365" s="48" t="s">
        <v>128</v>
      </c>
      <c r="DI365" s="48" t="s">
        <v>128</v>
      </c>
      <c r="DJ365" s="49">
        <v>1.0</v>
      </c>
      <c r="DK365" s="48" t="b">
        <v>0</v>
      </c>
      <c r="DL365" s="50" t="s">
        <v>951</v>
      </c>
      <c r="DM365" s="50" t="s">
        <v>128</v>
      </c>
      <c r="DN365" s="50" t="s">
        <v>952</v>
      </c>
      <c r="DO365" s="49">
        <v>0.89</v>
      </c>
      <c r="DP365" s="48" t="s">
        <v>128</v>
      </c>
      <c r="DQ365" s="48" t="s">
        <v>417</v>
      </c>
      <c r="DR365" s="48" t="s">
        <v>526</v>
      </c>
      <c r="DS365" s="48" t="s">
        <v>134</v>
      </c>
    </row>
    <row r="366">
      <c r="A366" s="23" t="s">
        <v>118</v>
      </c>
      <c r="B366" s="24">
        <v>6.0</v>
      </c>
      <c r="C366" s="23" t="s">
        <v>747</v>
      </c>
      <c r="D366" s="24">
        <v>640888.0</v>
      </c>
      <c r="E366" s="23" t="s">
        <v>161</v>
      </c>
      <c r="F366" s="23" t="s">
        <v>953</v>
      </c>
      <c r="G366" s="23" t="s">
        <v>954</v>
      </c>
      <c r="H366" s="24">
        <v>77692.0</v>
      </c>
      <c r="I366" s="24">
        <v>5.0</v>
      </c>
      <c r="J366" s="24">
        <v>0.0</v>
      </c>
      <c r="K366" s="24">
        <v>0.0</v>
      </c>
      <c r="L366" s="24">
        <v>0.0</v>
      </c>
      <c r="M366" s="24">
        <v>0.0</v>
      </c>
      <c r="N366" s="24">
        <v>1.0</v>
      </c>
      <c r="O366" s="24">
        <v>0.0</v>
      </c>
      <c r="P366" s="24">
        <v>1.0</v>
      </c>
      <c r="Q366" s="24">
        <v>0.0</v>
      </c>
      <c r="R366" s="24">
        <v>0.0</v>
      </c>
      <c r="S366" s="24">
        <v>1.0</v>
      </c>
      <c r="T366" s="24">
        <v>0.0</v>
      </c>
      <c r="U366" s="24">
        <v>0.0</v>
      </c>
      <c r="V366" s="24">
        <v>0.0</v>
      </c>
      <c r="W366" s="24">
        <v>0.0</v>
      </c>
      <c r="X366" s="24">
        <v>0.0</v>
      </c>
      <c r="Y366" s="24">
        <v>0.0</v>
      </c>
      <c r="Z366" s="24">
        <v>0.0</v>
      </c>
      <c r="AA366" s="24">
        <v>1.0</v>
      </c>
      <c r="AB366" s="24">
        <v>0.0</v>
      </c>
      <c r="AC366" s="24">
        <v>0.0</v>
      </c>
      <c r="AD366" s="24">
        <v>0.0</v>
      </c>
      <c r="AE366" s="24">
        <v>0.0</v>
      </c>
      <c r="AF366" s="24">
        <v>0.0</v>
      </c>
      <c r="AG366" s="24">
        <v>0.0</v>
      </c>
      <c r="AH366" s="24">
        <v>0.0</v>
      </c>
      <c r="AI366" s="24">
        <v>0.0</v>
      </c>
      <c r="AJ366" s="24">
        <v>0.0</v>
      </c>
      <c r="AK366" s="24">
        <v>0.0</v>
      </c>
      <c r="AL366" s="24">
        <v>0.0</v>
      </c>
      <c r="AM366" s="24">
        <v>0.0</v>
      </c>
      <c r="AN366" s="24">
        <v>1.0</v>
      </c>
      <c r="AO366" s="25">
        <v>20.9</v>
      </c>
      <c r="AP366" s="26"/>
      <c r="AQ366" s="26"/>
      <c r="AR366" s="26"/>
      <c r="AS366" s="26"/>
      <c r="AT366" s="24">
        <v>0.0</v>
      </c>
      <c r="AU366" s="26"/>
      <c r="AV366" s="24">
        <v>15.13</v>
      </c>
      <c r="AW366" s="26"/>
      <c r="AX366" s="26"/>
      <c r="AY366" s="24">
        <v>27.77</v>
      </c>
      <c r="AZ366" s="26"/>
      <c r="BA366" s="26"/>
      <c r="BB366" s="26"/>
      <c r="BC366" s="26"/>
      <c r="BD366" s="26"/>
      <c r="BE366" s="26"/>
      <c r="BF366" s="26"/>
      <c r="BG366" s="24">
        <v>17.38</v>
      </c>
      <c r="BH366" s="26"/>
      <c r="BI366" s="26"/>
      <c r="BJ366" s="26"/>
      <c r="BK366" s="26"/>
      <c r="BL366" s="26"/>
      <c r="BM366" s="26"/>
      <c r="BN366" s="26"/>
      <c r="BO366" s="24">
        <v>0.3</v>
      </c>
      <c r="BP366" s="24">
        <v>1.09</v>
      </c>
      <c r="BQ366" s="24">
        <v>5.87</v>
      </c>
      <c r="BR366" s="24">
        <v>6.75</v>
      </c>
      <c r="BS366" s="25">
        <v>10.05</v>
      </c>
      <c r="BT366" s="27"/>
      <c r="BU366" s="26"/>
      <c r="BV366" s="26"/>
      <c r="BW366" s="26"/>
      <c r="BX366" s="24">
        <v>1.0</v>
      </c>
      <c r="BY366" s="24" t="s">
        <v>123</v>
      </c>
      <c r="BZ366" s="108">
        <v>1.0</v>
      </c>
      <c r="CA366" s="72"/>
      <c r="CB366" s="30">
        <v>3000.0</v>
      </c>
      <c r="CC366" s="31"/>
      <c r="CD366" s="28">
        <v>3000.0</v>
      </c>
      <c r="CE366" s="32" t="e">
        <v>#REF!</v>
      </c>
      <c r="CF366" s="73" t="str">
        <f>+2,999</f>
        <v>#ERROR!</v>
      </c>
      <c r="CG366" s="34">
        <v>0.0</v>
      </c>
      <c r="CH366" s="35">
        <v>0.0</v>
      </c>
      <c r="CI366" s="36">
        <v>5.0</v>
      </c>
      <c r="CJ366" s="36">
        <v>2269.0</v>
      </c>
      <c r="CK366" s="37">
        <v>-6.0</v>
      </c>
      <c r="CL366" s="36">
        <v>2263.0</v>
      </c>
      <c r="CM366" s="38">
        <v>105.0</v>
      </c>
      <c r="CN366" s="36">
        <v>-416555.0</v>
      </c>
      <c r="CO366" s="39">
        <v>83331.9</v>
      </c>
      <c r="CP366" s="75" t="str">
        <f>+83,311.0</f>
        <v>#ERROR!</v>
      </c>
      <c r="CQ366" s="36">
        <v>5.0</v>
      </c>
      <c r="CR366" s="36">
        <v>5.0</v>
      </c>
      <c r="CS366" s="36">
        <v>50.0</v>
      </c>
      <c r="CT366" s="41"/>
      <c r="CU366" s="42"/>
      <c r="CV366" s="43"/>
      <c r="CW366" s="44">
        <v>10.0</v>
      </c>
      <c r="CX366" s="44" t="s">
        <v>138</v>
      </c>
      <c r="CY366" s="44" t="s">
        <v>139</v>
      </c>
      <c r="CZ366" s="76" t="s">
        <v>151</v>
      </c>
      <c r="DA366" s="44">
        <v>1.0</v>
      </c>
      <c r="DB366" s="44">
        <v>0.0</v>
      </c>
      <c r="DC366" s="46" t="s">
        <v>127</v>
      </c>
      <c r="DD366" s="47">
        <v>46228.0</v>
      </c>
      <c r="DE366" s="43"/>
      <c r="DF366" s="43"/>
      <c r="DG366" s="48" t="s">
        <v>128</v>
      </c>
      <c r="DH366" s="48" t="s">
        <v>128</v>
      </c>
      <c r="DI366" s="48" t="s">
        <v>129</v>
      </c>
      <c r="DJ366" s="49">
        <v>0.0</v>
      </c>
      <c r="DK366" s="48" t="b">
        <v>0</v>
      </c>
      <c r="DL366" s="50" t="s">
        <v>951</v>
      </c>
      <c r="DM366" s="50" t="s">
        <v>128</v>
      </c>
      <c r="DN366" s="50" t="s">
        <v>952</v>
      </c>
      <c r="DO366" s="49">
        <v>0.89</v>
      </c>
      <c r="DP366" s="48" t="s">
        <v>128</v>
      </c>
      <c r="DQ366" s="48" t="s">
        <v>417</v>
      </c>
      <c r="DR366" s="48" t="s">
        <v>392</v>
      </c>
      <c r="DS366" s="48" t="s">
        <v>134</v>
      </c>
    </row>
    <row r="367">
      <c r="A367" s="52" t="s">
        <v>118</v>
      </c>
      <c r="B367" s="53">
        <v>6.0</v>
      </c>
      <c r="C367" s="52" t="s">
        <v>747</v>
      </c>
      <c r="D367" s="53">
        <v>641645.0</v>
      </c>
      <c r="E367" s="52" t="s">
        <v>145</v>
      </c>
      <c r="F367" s="52" t="s">
        <v>955</v>
      </c>
      <c r="G367" s="52" t="s">
        <v>956</v>
      </c>
      <c r="H367" s="53">
        <v>77692.0</v>
      </c>
      <c r="I367" s="53">
        <v>16.0</v>
      </c>
      <c r="J367" s="53">
        <v>0.0</v>
      </c>
      <c r="K367" s="53">
        <v>0.0</v>
      </c>
      <c r="L367" s="53">
        <v>0.0</v>
      </c>
      <c r="M367" s="53">
        <v>0.0</v>
      </c>
      <c r="N367" s="53">
        <v>1.0</v>
      </c>
      <c r="O367" s="53">
        <v>1.0</v>
      </c>
      <c r="P367" s="53">
        <v>1.0</v>
      </c>
      <c r="Q367" s="53">
        <v>0.0</v>
      </c>
      <c r="R367" s="53">
        <v>0.0</v>
      </c>
      <c r="S367" s="53">
        <v>1.0</v>
      </c>
      <c r="T367" s="53">
        <v>1.0</v>
      </c>
      <c r="U367" s="53">
        <v>0.0</v>
      </c>
      <c r="V367" s="53">
        <v>2.0</v>
      </c>
      <c r="W367" s="53">
        <v>0.0</v>
      </c>
      <c r="X367" s="53">
        <v>0.0</v>
      </c>
      <c r="Y367" s="53">
        <v>0.0</v>
      </c>
      <c r="Z367" s="53">
        <v>1.0</v>
      </c>
      <c r="AA367" s="53">
        <v>0.0</v>
      </c>
      <c r="AB367" s="53">
        <v>1.0</v>
      </c>
      <c r="AC367" s="53">
        <v>1.0</v>
      </c>
      <c r="AD367" s="53">
        <v>0.0</v>
      </c>
      <c r="AE367" s="53">
        <v>1.0</v>
      </c>
      <c r="AF367" s="53">
        <v>0.0</v>
      </c>
      <c r="AG367" s="53">
        <v>1.0</v>
      </c>
      <c r="AH367" s="53">
        <v>0.0</v>
      </c>
      <c r="AI367" s="53">
        <v>0.0</v>
      </c>
      <c r="AJ367" s="53">
        <v>0.0</v>
      </c>
      <c r="AK367" s="53">
        <v>2.0</v>
      </c>
      <c r="AL367" s="53">
        <v>1.0</v>
      </c>
      <c r="AM367" s="53">
        <v>0.0</v>
      </c>
      <c r="AN367" s="53">
        <v>1.0</v>
      </c>
      <c r="AO367" s="25">
        <v>19.7</v>
      </c>
      <c r="AP367" s="54"/>
      <c r="AQ367" s="54"/>
      <c r="AR367" s="54"/>
      <c r="AS367" s="54"/>
      <c r="AT367" s="53">
        <v>0.0</v>
      </c>
      <c r="AU367" s="53">
        <v>14.68</v>
      </c>
      <c r="AV367" s="53">
        <v>15.07</v>
      </c>
      <c r="AW367" s="54"/>
      <c r="AX367" s="54"/>
      <c r="AY367" s="53">
        <v>26.28</v>
      </c>
      <c r="AZ367" s="53">
        <v>21.52</v>
      </c>
      <c r="BA367" s="54"/>
      <c r="BB367" s="53">
        <v>21.5</v>
      </c>
      <c r="BC367" s="54"/>
      <c r="BD367" s="54"/>
      <c r="BE367" s="54"/>
      <c r="BF367" s="53">
        <v>14.65</v>
      </c>
      <c r="BG367" s="54"/>
      <c r="BH367" s="53">
        <v>21.35</v>
      </c>
      <c r="BI367" s="53">
        <v>15.35</v>
      </c>
      <c r="BJ367" s="54"/>
      <c r="BK367" s="53">
        <v>15.75</v>
      </c>
      <c r="BL367" s="54"/>
      <c r="BM367" s="53">
        <v>33.13</v>
      </c>
      <c r="BN367" s="54"/>
      <c r="BO367" s="53">
        <v>0.33</v>
      </c>
      <c r="BP367" s="53">
        <v>1.25</v>
      </c>
      <c r="BQ367" s="53">
        <v>4.52</v>
      </c>
      <c r="BR367" s="53">
        <v>5.57</v>
      </c>
      <c r="BS367" s="25">
        <v>7.47</v>
      </c>
      <c r="BT367" s="56">
        <v>23.2</v>
      </c>
      <c r="BU367" s="25">
        <v>10.0</v>
      </c>
      <c r="BV367" s="55">
        <v>6.44</v>
      </c>
      <c r="BW367" s="54"/>
      <c r="BX367" s="53">
        <v>3000.0</v>
      </c>
      <c r="BY367" s="53" t="s">
        <v>123</v>
      </c>
      <c r="BZ367" s="58">
        <v>2700.0</v>
      </c>
      <c r="CA367" s="29" t="s">
        <v>124</v>
      </c>
      <c r="CB367" s="30">
        <v>3000.0</v>
      </c>
      <c r="CC367" s="31"/>
      <c r="CD367" s="58">
        <v>3000.0</v>
      </c>
      <c r="CE367" s="59" t="e">
        <v>#REF!</v>
      </c>
      <c r="CF367" s="60"/>
      <c r="CG367" s="61">
        <v>0.0</v>
      </c>
      <c r="CH367" s="62">
        <v>0.0</v>
      </c>
      <c r="CI367" s="63">
        <v>16.0</v>
      </c>
      <c r="CJ367" s="63">
        <v>2269.0</v>
      </c>
      <c r="CK367" s="64">
        <v>-6.0</v>
      </c>
      <c r="CL367" s="63">
        <v>2263.0</v>
      </c>
      <c r="CM367" s="65">
        <v>315.0</v>
      </c>
      <c r="CN367" s="63">
        <v>0.0</v>
      </c>
      <c r="CO367" s="66">
        <v>19.7</v>
      </c>
      <c r="CP367" s="67">
        <v>0.0</v>
      </c>
      <c r="CQ367" s="63">
        <v>20.0</v>
      </c>
      <c r="CR367" s="63">
        <v>20.0</v>
      </c>
      <c r="CS367" s="63">
        <v>120.0</v>
      </c>
      <c r="CT367" s="68"/>
      <c r="CU367" s="69"/>
      <c r="CV367" s="70"/>
      <c r="CW367" s="71">
        <v>10.0</v>
      </c>
      <c r="CX367" s="71" t="s">
        <v>138</v>
      </c>
      <c r="CY367" s="71" t="s">
        <v>139</v>
      </c>
      <c r="CZ367" s="45"/>
      <c r="DA367" s="44">
        <v>3000.0</v>
      </c>
      <c r="DB367" s="44">
        <v>0.0</v>
      </c>
      <c r="DC367" s="46" t="s">
        <v>127</v>
      </c>
      <c r="DD367" s="47">
        <v>46197.0</v>
      </c>
      <c r="DE367" s="43"/>
      <c r="DF367" s="43"/>
      <c r="DG367" s="48" t="s">
        <v>128</v>
      </c>
      <c r="DH367" s="48" t="s">
        <v>128</v>
      </c>
      <c r="DI367" s="48" t="s">
        <v>128</v>
      </c>
      <c r="DJ367" s="49">
        <v>1.0</v>
      </c>
      <c r="DK367" s="48" t="b">
        <v>0</v>
      </c>
      <c r="DL367" s="50" t="s">
        <v>951</v>
      </c>
      <c r="DM367" s="50" t="s">
        <v>128</v>
      </c>
      <c r="DN367" s="50" t="s">
        <v>952</v>
      </c>
      <c r="DO367" s="49">
        <v>0.89</v>
      </c>
      <c r="DP367" s="48" t="s">
        <v>128</v>
      </c>
      <c r="DQ367" s="48" t="s">
        <v>128</v>
      </c>
      <c r="DR367" s="51"/>
      <c r="DS367" s="48" t="s">
        <v>134</v>
      </c>
    </row>
    <row r="368">
      <c r="A368" s="23" t="s">
        <v>118</v>
      </c>
      <c r="B368" s="24">
        <v>6.0</v>
      </c>
      <c r="C368" s="23" t="s">
        <v>747</v>
      </c>
      <c r="D368" s="24">
        <v>642178.0</v>
      </c>
      <c r="E368" s="23" t="s">
        <v>205</v>
      </c>
      <c r="F368" s="23" t="s">
        <v>957</v>
      </c>
      <c r="G368" s="23" t="s">
        <v>958</v>
      </c>
      <c r="H368" s="24">
        <v>77692.0</v>
      </c>
      <c r="I368" s="24">
        <v>42.0</v>
      </c>
      <c r="J368" s="24">
        <v>0.0</v>
      </c>
      <c r="K368" s="24">
        <v>0.0</v>
      </c>
      <c r="L368" s="24">
        <v>2.0</v>
      </c>
      <c r="M368" s="24">
        <v>1.0</v>
      </c>
      <c r="N368" s="24">
        <v>1.0</v>
      </c>
      <c r="O368" s="24">
        <v>1.0</v>
      </c>
      <c r="P368" s="24">
        <v>1.0</v>
      </c>
      <c r="Q368" s="24">
        <v>1.0</v>
      </c>
      <c r="R368" s="24">
        <v>2.0</v>
      </c>
      <c r="S368" s="24">
        <v>0.0</v>
      </c>
      <c r="T368" s="24">
        <v>0.0</v>
      </c>
      <c r="U368" s="24">
        <v>2.0</v>
      </c>
      <c r="V368" s="24">
        <v>3.0</v>
      </c>
      <c r="W368" s="24">
        <v>1.0</v>
      </c>
      <c r="X368" s="24">
        <v>3.0</v>
      </c>
      <c r="Y368" s="24">
        <v>3.0</v>
      </c>
      <c r="Z368" s="24">
        <v>0.0</v>
      </c>
      <c r="AA368" s="24">
        <v>6.0</v>
      </c>
      <c r="AB368" s="24">
        <v>2.0</v>
      </c>
      <c r="AC368" s="24">
        <v>1.0</v>
      </c>
      <c r="AD368" s="24">
        <v>0.0</v>
      </c>
      <c r="AE368" s="24">
        <v>1.0</v>
      </c>
      <c r="AF368" s="24">
        <v>2.0</v>
      </c>
      <c r="AG368" s="24">
        <v>1.0</v>
      </c>
      <c r="AH368" s="24">
        <v>0.0</v>
      </c>
      <c r="AI368" s="24">
        <v>0.0</v>
      </c>
      <c r="AJ368" s="24">
        <v>4.0</v>
      </c>
      <c r="AK368" s="24">
        <v>0.0</v>
      </c>
      <c r="AL368" s="24">
        <v>1.0</v>
      </c>
      <c r="AM368" s="24">
        <v>1.0</v>
      </c>
      <c r="AN368" s="24">
        <v>2.0</v>
      </c>
      <c r="AO368" s="25">
        <v>19.6</v>
      </c>
      <c r="AP368" s="26"/>
      <c r="AQ368" s="26"/>
      <c r="AR368" s="24">
        <v>9.38</v>
      </c>
      <c r="AS368" s="24">
        <v>15.75</v>
      </c>
      <c r="AT368" s="24">
        <v>14.92</v>
      </c>
      <c r="AU368" s="24">
        <v>23.25</v>
      </c>
      <c r="AV368" s="24">
        <v>13.63</v>
      </c>
      <c r="AW368" s="24">
        <v>17.83</v>
      </c>
      <c r="AX368" s="24">
        <v>17.18</v>
      </c>
      <c r="AY368" s="26"/>
      <c r="AZ368" s="26"/>
      <c r="BA368" s="24">
        <v>22.28</v>
      </c>
      <c r="BB368" s="24">
        <v>21.99</v>
      </c>
      <c r="BC368" s="24">
        <v>12.52</v>
      </c>
      <c r="BD368" s="24">
        <v>17.79</v>
      </c>
      <c r="BE368" s="24">
        <v>17.69</v>
      </c>
      <c r="BF368" s="26"/>
      <c r="BG368" s="24">
        <v>26.36</v>
      </c>
      <c r="BH368" s="24">
        <v>19.58</v>
      </c>
      <c r="BI368" s="24">
        <v>17.53</v>
      </c>
      <c r="BJ368" s="26"/>
      <c r="BK368" s="24">
        <v>23.75</v>
      </c>
      <c r="BL368" s="24">
        <v>18.08</v>
      </c>
      <c r="BM368" s="24">
        <v>21.2</v>
      </c>
      <c r="BN368" s="26"/>
      <c r="BO368" s="24">
        <v>0.34</v>
      </c>
      <c r="BP368" s="24">
        <v>1.69</v>
      </c>
      <c r="BQ368" s="24">
        <v>4.61</v>
      </c>
      <c r="BR368" s="24">
        <v>6.11</v>
      </c>
      <c r="BS368" s="25">
        <v>6.34</v>
      </c>
      <c r="BT368" s="56">
        <v>19.1</v>
      </c>
      <c r="BU368" s="25">
        <v>5.3</v>
      </c>
      <c r="BV368" s="55">
        <v>6.57</v>
      </c>
      <c r="BW368" s="24">
        <v>1700.0</v>
      </c>
      <c r="BX368" s="24">
        <v>3000.0</v>
      </c>
      <c r="BY368" s="24" t="s">
        <v>123</v>
      </c>
      <c r="BZ368" s="28">
        <v>3000.0</v>
      </c>
      <c r="CA368" s="72"/>
      <c r="CB368" s="30">
        <v>3000.0</v>
      </c>
      <c r="CC368" s="31"/>
      <c r="CD368" s="28">
        <v>3000.0</v>
      </c>
      <c r="CE368" s="32" t="e">
        <v>#REF!</v>
      </c>
      <c r="CF368" s="33"/>
      <c r="CG368" s="34">
        <v>0.0</v>
      </c>
      <c r="CH368" s="35">
        <v>0.0</v>
      </c>
      <c r="CI368" s="36">
        <v>42.0</v>
      </c>
      <c r="CJ368" s="36">
        <v>2269.0</v>
      </c>
      <c r="CK368" s="37">
        <v>-6.0</v>
      </c>
      <c r="CL368" s="36">
        <v>2263.0</v>
      </c>
      <c r="CM368" s="38">
        <v>823.0</v>
      </c>
      <c r="CN368" s="36">
        <v>0.0</v>
      </c>
      <c r="CO368" s="39">
        <v>19.6</v>
      </c>
      <c r="CP368" s="40">
        <v>0.0</v>
      </c>
      <c r="CQ368" s="36">
        <v>71.0</v>
      </c>
      <c r="CR368" s="36">
        <v>71.0</v>
      </c>
      <c r="CS368" s="36">
        <v>266.0</v>
      </c>
      <c r="CT368" s="41"/>
      <c r="CU368" s="42"/>
      <c r="CV368" s="43"/>
      <c r="CW368" s="44">
        <v>10.0</v>
      </c>
      <c r="CX368" s="44" t="s">
        <v>138</v>
      </c>
      <c r="CY368" s="44" t="s">
        <v>139</v>
      </c>
      <c r="CZ368" s="45"/>
      <c r="DA368" s="44">
        <v>3000.0</v>
      </c>
      <c r="DB368" s="44">
        <v>0.0</v>
      </c>
      <c r="DC368" s="46" t="s">
        <v>127</v>
      </c>
      <c r="DD368" s="47">
        <v>46186.0</v>
      </c>
      <c r="DE368" s="43"/>
      <c r="DF368" s="43"/>
      <c r="DG368" s="48" t="s">
        <v>128</v>
      </c>
      <c r="DH368" s="48" t="s">
        <v>128</v>
      </c>
      <c r="DI368" s="48" t="s">
        <v>128</v>
      </c>
      <c r="DJ368" s="49">
        <v>1.0</v>
      </c>
      <c r="DK368" s="48" t="b">
        <v>0</v>
      </c>
      <c r="DL368" s="50" t="s">
        <v>951</v>
      </c>
      <c r="DM368" s="50" t="s">
        <v>128</v>
      </c>
      <c r="DN368" s="50" t="s">
        <v>952</v>
      </c>
      <c r="DO368" s="49">
        <v>0.89</v>
      </c>
      <c r="DP368" s="48" t="s">
        <v>128</v>
      </c>
      <c r="DQ368" s="48" t="s">
        <v>128</v>
      </c>
      <c r="DR368" s="51"/>
      <c r="DS368" s="48" t="s">
        <v>134</v>
      </c>
    </row>
    <row r="369">
      <c r="A369" s="52" t="s">
        <v>118</v>
      </c>
      <c r="B369" s="53">
        <v>6.0</v>
      </c>
      <c r="C369" s="52" t="s">
        <v>747</v>
      </c>
      <c r="D369" s="53">
        <v>680607.0</v>
      </c>
      <c r="E369" s="52" t="s">
        <v>246</v>
      </c>
      <c r="F369" s="52" t="s">
        <v>959</v>
      </c>
      <c r="G369" s="52" t="s">
        <v>960</v>
      </c>
      <c r="H369" s="53">
        <v>77692.0</v>
      </c>
      <c r="I369" s="53">
        <v>6.0</v>
      </c>
      <c r="J369" s="53">
        <v>0.0</v>
      </c>
      <c r="K369" s="53">
        <v>0.0</v>
      </c>
      <c r="L369" s="53">
        <v>0.0</v>
      </c>
      <c r="M369" s="53">
        <v>0.0</v>
      </c>
      <c r="N369" s="53">
        <v>0.0</v>
      </c>
      <c r="O369" s="53">
        <v>0.0</v>
      </c>
      <c r="P369" s="53">
        <v>0.0</v>
      </c>
      <c r="Q369" s="53">
        <v>0.0</v>
      </c>
      <c r="R369" s="53">
        <v>0.0</v>
      </c>
      <c r="S369" s="53">
        <v>0.0</v>
      </c>
      <c r="T369" s="53">
        <v>1.0</v>
      </c>
      <c r="U369" s="53">
        <v>0.0</v>
      </c>
      <c r="V369" s="53">
        <v>1.0</v>
      </c>
      <c r="W369" s="53">
        <v>1.0</v>
      </c>
      <c r="X369" s="53">
        <v>0.0</v>
      </c>
      <c r="Y369" s="53">
        <v>0.0</v>
      </c>
      <c r="Z369" s="53">
        <v>0.0</v>
      </c>
      <c r="AA369" s="53">
        <v>0.0</v>
      </c>
      <c r="AB369" s="53">
        <v>1.0</v>
      </c>
      <c r="AC369" s="53">
        <v>0.0</v>
      </c>
      <c r="AD369" s="53">
        <v>0.0</v>
      </c>
      <c r="AE369" s="53">
        <v>0.0</v>
      </c>
      <c r="AF369" s="53">
        <v>0.0</v>
      </c>
      <c r="AG369" s="53">
        <v>1.0</v>
      </c>
      <c r="AH369" s="53">
        <v>0.0</v>
      </c>
      <c r="AI369" s="53">
        <v>1.0</v>
      </c>
      <c r="AJ369" s="53">
        <v>0.0</v>
      </c>
      <c r="AK369" s="53">
        <v>0.0</v>
      </c>
      <c r="AL369" s="53">
        <v>0.0</v>
      </c>
      <c r="AM369" s="53">
        <v>0.0</v>
      </c>
      <c r="AN369" s="53">
        <v>0.0</v>
      </c>
      <c r="AO369" s="25">
        <v>17.7</v>
      </c>
      <c r="AP369" s="54"/>
      <c r="AQ369" s="54"/>
      <c r="AR369" s="54"/>
      <c r="AS369" s="54"/>
      <c r="AT369" s="54"/>
      <c r="AU369" s="54"/>
      <c r="AV369" s="54"/>
      <c r="AW369" s="54"/>
      <c r="AX369" s="54"/>
      <c r="AY369" s="54"/>
      <c r="AZ369" s="53">
        <v>9.97</v>
      </c>
      <c r="BA369" s="54"/>
      <c r="BB369" s="53">
        <v>12.15</v>
      </c>
      <c r="BC369" s="53">
        <v>21.32</v>
      </c>
      <c r="BD369" s="54"/>
      <c r="BE369" s="54"/>
      <c r="BF369" s="54"/>
      <c r="BG369" s="54"/>
      <c r="BH369" s="53">
        <v>18.68</v>
      </c>
      <c r="BI369" s="54"/>
      <c r="BJ369" s="54"/>
      <c r="BK369" s="54"/>
      <c r="BL369" s="54"/>
      <c r="BM369" s="53">
        <v>24.42</v>
      </c>
      <c r="BN369" s="54"/>
      <c r="BO369" s="53">
        <v>0.33</v>
      </c>
      <c r="BP369" s="53">
        <v>0.91</v>
      </c>
      <c r="BQ369" s="53">
        <v>4.32</v>
      </c>
      <c r="BR369" s="53">
        <v>5.03</v>
      </c>
      <c r="BS369" s="25">
        <v>5.71</v>
      </c>
      <c r="BT369" s="81"/>
      <c r="BU369" s="54"/>
      <c r="BV369" s="54"/>
      <c r="BW369" s="54"/>
      <c r="BX369" s="53">
        <v>3000.0</v>
      </c>
      <c r="BY369" s="53" t="s">
        <v>123</v>
      </c>
      <c r="BZ369" s="58">
        <v>2700.0</v>
      </c>
      <c r="CA369" s="29" t="s">
        <v>124</v>
      </c>
      <c r="CB369" s="30">
        <v>3000.0</v>
      </c>
      <c r="CC369" s="31"/>
      <c r="CD369" s="58">
        <v>3000.0</v>
      </c>
      <c r="CE369" s="59" t="e">
        <v>#REF!</v>
      </c>
      <c r="CF369" s="60"/>
      <c r="CG369" s="61">
        <v>0.0</v>
      </c>
      <c r="CH369" s="62">
        <v>0.0</v>
      </c>
      <c r="CI369" s="63">
        <v>6.0</v>
      </c>
      <c r="CJ369" s="63">
        <v>2269.0</v>
      </c>
      <c r="CK369" s="64">
        <v>-6.0</v>
      </c>
      <c r="CL369" s="63">
        <v>2263.0</v>
      </c>
      <c r="CM369" s="65">
        <v>106.0</v>
      </c>
      <c r="CN369" s="63">
        <v>0.0</v>
      </c>
      <c r="CO369" s="66">
        <v>17.7</v>
      </c>
      <c r="CP369" s="67">
        <v>0.0</v>
      </c>
      <c r="CQ369" s="63">
        <v>5.0</v>
      </c>
      <c r="CR369" s="63">
        <v>5.0</v>
      </c>
      <c r="CS369" s="63">
        <v>34.0</v>
      </c>
      <c r="CT369" s="68"/>
      <c r="CU369" s="69"/>
      <c r="CV369" s="70"/>
      <c r="CW369" s="71">
        <v>10.0</v>
      </c>
      <c r="CX369" s="71" t="s">
        <v>138</v>
      </c>
      <c r="CY369" s="71" t="s">
        <v>139</v>
      </c>
      <c r="CZ369" s="45"/>
      <c r="DA369" s="44">
        <v>3000.0</v>
      </c>
      <c r="DB369" s="44">
        <v>0.0</v>
      </c>
      <c r="DC369" s="46" t="s">
        <v>127</v>
      </c>
      <c r="DD369" s="47">
        <v>46197.0</v>
      </c>
      <c r="DE369" s="43"/>
      <c r="DF369" s="43"/>
      <c r="DG369" s="48" t="s">
        <v>128</v>
      </c>
      <c r="DH369" s="48" t="s">
        <v>128</v>
      </c>
      <c r="DI369" s="48" t="s">
        <v>129</v>
      </c>
      <c r="DJ369" s="49">
        <v>1.0</v>
      </c>
      <c r="DK369" s="48" t="b">
        <v>0</v>
      </c>
      <c r="DL369" s="50" t="s">
        <v>951</v>
      </c>
      <c r="DM369" s="50" t="s">
        <v>128</v>
      </c>
      <c r="DN369" s="50" t="s">
        <v>952</v>
      </c>
      <c r="DO369" s="49">
        <v>0.89</v>
      </c>
      <c r="DP369" s="48" t="s">
        <v>128</v>
      </c>
      <c r="DQ369" s="48" t="s">
        <v>133</v>
      </c>
      <c r="DR369" s="51"/>
      <c r="DS369" s="48" t="s">
        <v>134</v>
      </c>
    </row>
    <row r="370">
      <c r="A370" s="23" t="s">
        <v>118</v>
      </c>
      <c r="B370" s="24">
        <v>6.0</v>
      </c>
      <c r="C370" s="23" t="s">
        <v>747</v>
      </c>
      <c r="D370" s="24">
        <v>643373.0</v>
      </c>
      <c r="E370" s="23" t="s">
        <v>120</v>
      </c>
      <c r="F370" s="23" t="s">
        <v>961</v>
      </c>
      <c r="G370" s="23" t="s">
        <v>962</v>
      </c>
      <c r="H370" s="24">
        <v>77692.0</v>
      </c>
      <c r="I370" s="24">
        <v>11.0</v>
      </c>
      <c r="J370" s="24">
        <v>0.0</v>
      </c>
      <c r="K370" s="24">
        <v>0.0</v>
      </c>
      <c r="L370" s="24">
        <v>0.0</v>
      </c>
      <c r="M370" s="24">
        <v>0.0</v>
      </c>
      <c r="N370" s="24">
        <v>0.0</v>
      </c>
      <c r="O370" s="24">
        <v>0.0</v>
      </c>
      <c r="P370" s="24">
        <v>1.0</v>
      </c>
      <c r="Q370" s="24">
        <v>0.0</v>
      </c>
      <c r="R370" s="24">
        <v>0.0</v>
      </c>
      <c r="S370" s="24">
        <v>0.0</v>
      </c>
      <c r="T370" s="24">
        <v>2.0</v>
      </c>
      <c r="U370" s="24">
        <v>1.0</v>
      </c>
      <c r="V370" s="24">
        <v>0.0</v>
      </c>
      <c r="W370" s="24">
        <v>0.0</v>
      </c>
      <c r="X370" s="24">
        <v>0.0</v>
      </c>
      <c r="Y370" s="24">
        <v>1.0</v>
      </c>
      <c r="Z370" s="24">
        <v>0.0</v>
      </c>
      <c r="AA370" s="24">
        <v>0.0</v>
      </c>
      <c r="AB370" s="24">
        <v>1.0</v>
      </c>
      <c r="AC370" s="24">
        <v>1.0</v>
      </c>
      <c r="AD370" s="24">
        <v>0.0</v>
      </c>
      <c r="AE370" s="24">
        <v>1.0</v>
      </c>
      <c r="AF370" s="24">
        <v>1.0</v>
      </c>
      <c r="AG370" s="24">
        <v>0.0</v>
      </c>
      <c r="AH370" s="24">
        <v>1.0</v>
      </c>
      <c r="AI370" s="24">
        <v>0.0</v>
      </c>
      <c r="AJ370" s="24">
        <v>0.0</v>
      </c>
      <c r="AK370" s="24">
        <v>0.0</v>
      </c>
      <c r="AL370" s="24">
        <v>1.0</v>
      </c>
      <c r="AM370" s="24">
        <v>0.0</v>
      </c>
      <c r="AN370" s="24">
        <v>0.0</v>
      </c>
      <c r="AO370" s="55">
        <v>16.5</v>
      </c>
      <c r="AP370" s="26"/>
      <c r="AQ370" s="26"/>
      <c r="AR370" s="26"/>
      <c r="AS370" s="26"/>
      <c r="AT370" s="26"/>
      <c r="AU370" s="26"/>
      <c r="AV370" s="24">
        <v>21.48</v>
      </c>
      <c r="AW370" s="26"/>
      <c r="AX370" s="26"/>
      <c r="AY370" s="26"/>
      <c r="AZ370" s="24">
        <v>13.13</v>
      </c>
      <c r="BA370" s="24">
        <v>13.87</v>
      </c>
      <c r="BB370" s="26"/>
      <c r="BC370" s="26"/>
      <c r="BD370" s="26"/>
      <c r="BE370" s="24">
        <v>16.45</v>
      </c>
      <c r="BF370" s="26"/>
      <c r="BG370" s="26"/>
      <c r="BH370" s="24">
        <v>17.57</v>
      </c>
      <c r="BI370" s="24">
        <v>14.03</v>
      </c>
      <c r="BJ370" s="26"/>
      <c r="BK370" s="24">
        <v>18.32</v>
      </c>
      <c r="BL370" s="24">
        <v>16.9</v>
      </c>
      <c r="BM370" s="26"/>
      <c r="BN370" s="24">
        <v>20.0</v>
      </c>
      <c r="BO370" s="24">
        <v>0.27</v>
      </c>
      <c r="BP370" s="24">
        <v>0.82</v>
      </c>
      <c r="BQ370" s="24">
        <v>4.41</v>
      </c>
      <c r="BR370" s="24">
        <v>5.04</v>
      </c>
      <c r="BS370" s="25">
        <v>5.14</v>
      </c>
      <c r="BT370" s="56">
        <v>17.1</v>
      </c>
      <c r="BU370" s="25">
        <v>6.4</v>
      </c>
      <c r="BV370" s="57">
        <v>5.53</v>
      </c>
      <c r="BW370" s="26"/>
      <c r="BX370" s="24">
        <v>3000.0</v>
      </c>
      <c r="BY370" s="24" t="s">
        <v>123</v>
      </c>
      <c r="BZ370" s="28">
        <v>2700.0</v>
      </c>
      <c r="CA370" s="29" t="s">
        <v>124</v>
      </c>
      <c r="CB370" s="30">
        <v>3000.0</v>
      </c>
      <c r="CC370" s="31"/>
      <c r="CD370" s="28">
        <v>3000.0</v>
      </c>
      <c r="CE370" s="32" t="e">
        <v>#REF!</v>
      </c>
      <c r="CF370" s="33"/>
      <c r="CG370" s="34">
        <v>0.0</v>
      </c>
      <c r="CH370" s="35">
        <v>0.0</v>
      </c>
      <c r="CI370" s="36">
        <v>11.0</v>
      </c>
      <c r="CJ370" s="36">
        <v>2269.0</v>
      </c>
      <c r="CK370" s="37">
        <v>-6.0</v>
      </c>
      <c r="CL370" s="36">
        <v>2263.0</v>
      </c>
      <c r="CM370" s="38">
        <v>182.0</v>
      </c>
      <c r="CN370" s="36">
        <v>0.0</v>
      </c>
      <c r="CO370" s="39">
        <v>16.5</v>
      </c>
      <c r="CP370" s="40">
        <v>0.0</v>
      </c>
      <c r="CQ370" s="36">
        <v>9.0</v>
      </c>
      <c r="CR370" s="36">
        <v>9.0</v>
      </c>
      <c r="CS370" s="36">
        <v>57.0</v>
      </c>
      <c r="CT370" s="41"/>
      <c r="CU370" s="42"/>
      <c r="CV370" s="43"/>
      <c r="CW370" s="44">
        <v>10.0</v>
      </c>
      <c r="CX370" s="44" t="s">
        <v>138</v>
      </c>
      <c r="CY370" s="44" t="s">
        <v>139</v>
      </c>
      <c r="CZ370" s="45"/>
      <c r="DA370" s="44">
        <v>3000.0</v>
      </c>
      <c r="DB370" s="44">
        <v>0.0</v>
      </c>
      <c r="DC370" s="46" t="s">
        <v>127</v>
      </c>
      <c r="DD370" s="47">
        <v>46213.0</v>
      </c>
      <c r="DE370" s="43"/>
      <c r="DF370" s="43"/>
      <c r="DG370" s="48" t="s">
        <v>128</v>
      </c>
      <c r="DH370" s="48" t="s">
        <v>128</v>
      </c>
      <c r="DI370" s="48" t="s">
        <v>128</v>
      </c>
      <c r="DJ370" s="49">
        <v>1.0</v>
      </c>
      <c r="DK370" s="48" t="b">
        <v>0</v>
      </c>
      <c r="DL370" s="50" t="s">
        <v>951</v>
      </c>
      <c r="DM370" s="50" t="s">
        <v>128</v>
      </c>
      <c r="DN370" s="50" t="s">
        <v>952</v>
      </c>
      <c r="DO370" s="49">
        <v>0.89</v>
      </c>
      <c r="DP370" s="48" t="s">
        <v>128</v>
      </c>
      <c r="DQ370" s="48" t="s">
        <v>128</v>
      </c>
      <c r="DR370" s="51"/>
      <c r="DS370" s="48" t="s">
        <v>134</v>
      </c>
    </row>
    <row r="371">
      <c r="A371" s="52" t="s">
        <v>118</v>
      </c>
      <c r="B371" s="53">
        <v>6.0</v>
      </c>
      <c r="C371" s="52" t="s">
        <v>747</v>
      </c>
      <c r="D371" s="53">
        <v>648803.0</v>
      </c>
      <c r="E371" s="52" t="s">
        <v>189</v>
      </c>
      <c r="F371" s="52" t="s">
        <v>963</v>
      </c>
      <c r="G371" s="52" t="s">
        <v>964</v>
      </c>
      <c r="H371" s="53">
        <v>77692.0</v>
      </c>
      <c r="I371" s="53">
        <v>7.0</v>
      </c>
      <c r="J371" s="53">
        <v>0.0</v>
      </c>
      <c r="K371" s="53">
        <v>0.0</v>
      </c>
      <c r="L371" s="53">
        <v>0.0</v>
      </c>
      <c r="M371" s="53">
        <v>1.0</v>
      </c>
      <c r="N371" s="53">
        <v>0.0</v>
      </c>
      <c r="O371" s="53">
        <v>0.0</v>
      </c>
      <c r="P371" s="53">
        <v>0.0</v>
      </c>
      <c r="Q371" s="53">
        <v>0.0</v>
      </c>
      <c r="R371" s="53">
        <v>0.0</v>
      </c>
      <c r="S371" s="53">
        <v>0.0</v>
      </c>
      <c r="T371" s="53">
        <v>1.0</v>
      </c>
      <c r="U371" s="53">
        <v>0.0</v>
      </c>
      <c r="V371" s="53">
        <v>0.0</v>
      </c>
      <c r="W371" s="53">
        <v>0.0</v>
      </c>
      <c r="X371" s="53">
        <v>1.0</v>
      </c>
      <c r="Y371" s="53">
        <v>0.0</v>
      </c>
      <c r="Z371" s="53">
        <v>0.0</v>
      </c>
      <c r="AA371" s="53">
        <v>0.0</v>
      </c>
      <c r="AB371" s="53">
        <v>1.0</v>
      </c>
      <c r="AC371" s="53">
        <v>0.0</v>
      </c>
      <c r="AD371" s="53">
        <v>0.0</v>
      </c>
      <c r="AE371" s="53">
        <v>1.0</v>
      </c>
      <c r="AF371" s="53">
        <v>0.0</v>
      </c>
      <c r="AG371" s="53">
        <v>1.0</v>
      </c>
      <c r="AH371" s="53">
        <v>1.0</v>
      </c>
      <c r="AI371" s="53">
        <v>0.0</v>
      </c>
      <c r="AJ371" s="53">
        <v>0.0</v>
      </c>
      <c r="AK371" s="53">
        <v>0.0</v>
      </c>
      <c r="AL371" s="53">
        <v>0.0</v>
      </c>
      <c r="AM371" s="53">
        <v>0.0</v>
      </c>
      <c r="AN371" s="53">
        <v>0.0</v>
      </c>
      <c r="AO371" s="25">
        <v>19.3</v>
      </c>
      <c r="AP371" s="54"/>
      <c r="AQ371" s="54"/>
      <c r="AR371" s="54"/>
      <c r="AS371" s="53">
        <v>41.02</v>
      </c>
      <c r="AT371" s="54"/>
      <c r="AU371" s="54"/>
      <c r="AV371" s="54"/>
      <c r="AW371" s="54"/>
      <c r="AX371" s="54"/>
      <c r="AY371" s="54"/>
      <c r="AZ371" s="53">
        <v>11.92</v>
      </c>
      <c r="BA371" s="54"/>
      <c r="BB371" s="54"/>
      <c r="BC371" s="54"/>
      <c r="BD371" s="53">
        <v>13.55</v>
      </c>
      <c r="BE371" s="54"/>
      <c r="BF371" s="54"/>
      <c r="BG371" s="54"/>
      <c r="BH371" s="53">
        <v>12.3</v>
      </c>
      <c r="BI371" s="54"/>
      <c r="BJ371" s="54"/>
      <c r="BK371" s="53">
        <v>14.57</v>
      </c>
      <c r="BL371" s="54"/>
      <c r="BM371" s="53">
        <v>26.03</v>
      </c>
      <c r="BN371" s="53">
        <v>15.4</v>
      </c>
      <c r="BO371" s="54"/>
      <c r="BP371" s="53">
        <v>5.17</v>
      </c>
      <c r="BQ371" s="53">
        <v>5.05</v>
      </c>
      <c r="BR371" s="53">
        <v>10.01</v>
      </c>
      <c r="BS371" s="55">
        <v>3.95</v>
      </c>
      <c r="BT371" s="56">
        <v>22.5</v>
      </c>
      <c r="BU371" s="57">
        <v>1.7</v>
      </c>
      <c r="BV371" s="57">
        <v>3.69</v>
      </c>
      <c r="BW371" s="54"/>
      <c r="BX371" s="53">
        <v>3000.0</v>
      </c>
      <c r="BY371" s="53" t="s">
        <v>123</v>
      </c>
      <c r="BZ371" s="58">
        <v>3000.0</v>
      </c>
      <c r="CA371" s="72"/>
      <c r="CB371" s="30">
        <v>3000.0</v>
      </c>
      <c r="CC371" s="31"/>
      <c r="CD371" s="58">
        <v>3000.0</v>
      </c>
      <c r="CE371" s="59" t="e">
        <v>#REF!</v>
      </c>
      <c r="CF371" s="60"/>
      <c r="CG371" s="61">
        <v>0.0</v>
      </c>
      <c r="CH371" s="62">
        <v>0.0</v>
      </c>
      <c r="CI371" s="63">
        <v>7.0</v>
      </c>
      <c r="CJ371" s="63">
        <v>2269.0</v>
      </c>
      <c r="CK371" s="64">
        <v>-6.0</v>
      </c>
      <c r="CL371" s="63">
        <v>2263.0</v>
      </c>
      <c r="CM371" s="65">
        <v>135.0</v>
      </c>
      <c r="CN371" s="63">
        <v>0.0</v>
      </c>
      <c r="CO371" s="66">
        <v>19.3</v>
      </c>
      <c r="CP371" s="67">
        <v>0.0</v>
      </c>
      <c r="CQ371" s="63">
        <v>36.0</v>
      </c>
      <c r="CR371" s="63">
        <v>36.0</v>
      </c>
      <c r="CS371" s="63">
        <v>28.0</v>
      </c>
      <c r="CT371" s="68"/>
      <c r="CU371" s="69"/>
      <c r="CV371" s="70"/>
      <c r="CW371" s="71">
        <v>10.0</v>
      </c>
      <c r="CX371" s="71" t="s">
        <v>138</v>
      </c>
      <c r="CY371" s="71" t="s">
        <v>139</v>
      </c>
      <c r="CZ371" s="45"/>
      <c r="DA371" s="44">
        <v>3000.0</v>
      </c>
      <c r="DB371" s="44">
        <v>0.0</v>
      </c>
      <c r="DC371" s="46" t="s">
        <v>127</v>
      </c>
      <c r="DD371" s="47">
        <v>46228.0</v>
      </c>
      <c r="DE371" s="43"/>
      <c r="DF371" s="43"/>
      <c r="DG371" s="48" t="s">
        <v>128</v>
      </c>
      <c r="DH371" s="48" t="s">
        <v>128</v>
      </c>
      <c r="DI371" s="48" t="s">
        <v>128</v>
      </c>
      <c r="DJ371" s="49">
        <v>0.0</v>
      </c>
      <c r="DK371" s="48" t="b">
        <v>0</v>
      </c>
      <c r="DL371" s="50" t="s">
        <v>951</v>
      </c>
      <c r="DM371" s="50" t="s">
        <v>128</v>
      </c>
      <c r="DN371" s="50" t="s">
        <v>952</v>
      </c>
      <c r="DO371" s="49">
        <v>0.89</v>
      </c>
      <c r="DP371" s="48" t="s">
        <v>128</v>
      </c>
      <c r="DQ371" s="48" t="s">
        <v>128</v>
      </c>
      <c r="DR371" s="51"/>
      <c r="DS371" s="48" t="s">
        <v>134</v>
      </c>
    </row>
    <row r="372">
      <c r="A372" s="23" t="s">
        <v>118</v>
      </c>
      <c r="B372" s="24">
        <v>6.0</v>
      </c>
      <c r="C372" s="23" t="s">
        <v>747</v>
      </c>
      <c r="D372" s="24">
        <v>669823.0</v>
      </c>
      <c r="E372" s="23" t="s">
        <v>214</v>
      </c>
      <c r="F372" s="23" t="s">
        <v>965</v>
      </c>
      <c r="G372" s="23" t="s">
        <v>966</v>
      </c>
      <c r="H372" s="24">
        <v>77692.0</v>
      </c>
      <c r="I372" s="24">
        <v>15.0</v>
      </c>
      <c r="J372" s="24">
        <v>0.0</v>
      </c>
      <c r="K372" s="24">
        <v>0.0</v>
      </c>
      <c r="L372" s="24">
        <v>0.0</v>
      </c>
      <c r="M372" s="24">
        <v>0.0</v>
      </c>
      <c r="N372" s="24">
        <v>0.0</v>
      </c>
      <c r="O372" s="24">
        <v>1.0</v>
      </c>
      <c r="P372" s="24">
        <v>0.0</v>
      </c>
      <c r="Q372" s="24">
        <v>1.0</v>
      </c>
      <c r="R372" s="24">
        <v>0.0</v>
      </c>
      <c r="S372" s="24">
        <v>1.0</v>
      </c>
      <c r="T372" s="24">
        <v>1.0</v>
      </c>
      <c r="U372" s="24">
        <v>0.0</v>
      </c>
      <c r="V372" s="24">
        <v>0.0</v>
      </c>
      <c r="W372" s="24">
        <v>0.0</v>
      </c>
      <c r="X372" s="24">
        <v>0.0</v>
      </c>
      <c r="Y372" s="24">
        <v>0.0</v>
      </c>
      <c r="Z372" s="24">
        <v>0.0</v>
      </c>
      <c r="AA372" s="24">
        <v>1.0</v>
      </c>
      <c r="AB372" s="24">
        <v>2.0</v>
      </c>
      <c r="AC372" s="24">
        <v>1.0</v>
      </c>
      <c r="AD372" s="24">
        <v>0.0</v>
      </c>
      <c r="AE372" s="24">
        <v>0.0</v>
      </c>
      <c r="AF372" s="24">
        <v>0.0</v>
      </c>
      <c r="AG372" s="24">
        <v>3.0</v>
      </c>
      <c r="AH372" s="24">
        <v>2.0</v>
      </c>
      <c r="AI372" s="24">
        <v>0.0</v>
      </c>
      <c r="AJ372" s="24">
        <v>1.0</v>
      </c>
      <c r="AK372" s="24">
        <v>0.0</v>
      </c>
      <c r="AL372" s="24">
        <v>1.0</v>
      </c>
      <c r="AM372" s="24">
        <v>0.0</v>
      </c>
      <c r="AN372" s="24">
        <v>0.0</v>
      </c>
      <c r="AO372" s="55">
        <v>15.5</v>
      </c>
      <c r="AP372" s="26"/>
      <c r="AQ372" s="26"/>
      <c r="AR372" s="26"/>
      <c r="AS372" s="26"/>
      <c r="AT372" s="26"/>
      <c r="AU372" s="24">
        <v>12.52</v>
      </c>
      <c r="AV372" s="26"/>
      <c r="AW372" s="24">
        <v>10.35</v>
      </c>
      <c r="AX372" s="26"/>
      <c r="AY372" s="24">
        <v>12.53</v>
      </c>
      <c r="AZ372" s="24">
        <v>18.7</v>
      </c>
      <c r="BA372" s="26"/>
      <c r="BB372" s="26"/>
      <c r="BC372" s="26"/>
      <c r="BD372" s="26"/>
      <c r="BE372" s="26"/>
      <c r="BF372" s="26"/>
      <c r="BG372" s="24">
        <v>14.27</v>
      </c>
      <c r="BH372" s="24">
        <v>18.36</v>
      </c>
      <c r="BI372" s="24">
        <v>13.33</v>
      </c>
      <c r="BJ372" s="26"/>
      <c r="BK372" s="26"/>
      <c r="BL372" s="26"/>
      <c r="BM372" s="24">
        <v>14.67</v>
      </c>
      <c r="BN372" s="24">
        <v>18.39</v>
      </c>
      <c r="BO372" s="24">
        <v>0.28</v>
      </c>
      <c r="BP372" s="24">
        <v>1.72</v>
      </c>
      <c r="BQ372" s="24">
        <v>3.52</v>
      </c>
      <c r="BR372" s="24">
        <v>5.04</v>
      </c>
      <c r="BS372" s="55">
        <v>3.74</v>
      </c>
      <c r="BT372" s="91">
        <v>16.1</v>
      </c>
      <c r="BU372" s="25">
        <v>5.5</v>
      </c>
      <c r="BV372" s="57">
        <v>5.59</v>
      </c>
      <c r="BW372" s="26"/>
      <c r="BX372" s="24">
        <v>3000.0</v>
      </c>
      <c r="BY372" s="24" t="s">
        <v>123</v>
      </c>
      <c r="BZ372" s="28">
        <v>3000.0</v>
      </c>
      <c r="CA372" s="72"/>
      <c r="CB372" s="30">
        <v>3000.0</v>
      </c>
      <c r="CC372" s="31"/>
      <c r="CD372" s="28">
        <v>3000.0</v>
      </c>
      <c r="CE372" s="32" t="e">
        <v>#REF!</v>
      </c>
      <c r="CF372" s="33"/>
      <c r="CG372" s="34">
        <v>0.0</v>
      </c>
      <c r="CH372" s="35">
        <v>0.0</v>
      </c>
      <c r="CI372" s="36">
        <v>15.0</v>
      </c>
      <c r="CJ372" s="36">
        <v>2269.0</v>
      </c>
      <c r="CK372" s="37">
        <v>-6.0</v>
      </c>
      <c r="CL372" s="36">
        <v>2263.0</v>
      </c>
      <c r="CM372" s="38">
        <v>233.0</v>
      </c>
      <c r="CN372" s="36">
        <v>0.0</v>
      </c>
      <c r="CO372" s="39">
        <v>15.5</v>
      </c>
      <c r="CP372" s="40">
        <v>0.0</v>
      </c>
      <c r="CQ372" s="36">
        <v>26.0</v>
      </c>
      <c r="CR372" s="36">
        <v>26.0</v>
      </c>
      <c r="CS372" s="36">
        <v>56.0</v>
      </c>
      <c r="CT372" s="41"/>
      <c r="CU372" s="42"/>
      <c r="CV372" s="43"/>
      <c r="CW372" s="44">
        <v>10.0</v>
      </c>
      <c r="CX372" s="44" t="s">
        <v>138</v>
      </c>
      <c r="CY372" s="44" t="s">
        <v>139</v>
      </c>
      <c r="CZ372" s="45"/>
      <c r="DA372" s="44">
        <v>3000.0</v>
      </c>
      <c r="DB372" s="44">
        <v>0.0</v>
      </c>
      <c r="DC372" s="46" t="s">
        <v>127</v>
      </c>
      <c r="DD372" s="47">
        <v>46213.0</v>
      </c>
      <c r="DE372" s="43"/>
      <c r="DF372" s="43"/>
      <c r="DG372" s="48" t="s">
        <v>128</v>
      </c>
      <c r="DH372" s="48" t="s">
        <v>128</v>
      </c>
      <c r="DI372" s="48" t="s">
        <v>128</v>
      </c>
      <c r="DJ372" s="49">
        <v>1.0</v>
      </c>
      <c r="DK372" s="48" t="b">
        <v>0</v>
      </c>
      <c r="DL372" s="50" t="s">
        <v>951</v>
      </c>
      <c r="DM372" s="50" t="s">
        <v>128</v>
      </c>
      <c r="DN372" s="50" t="s">
        <v>952</v>
      </c>
      <c r="DO372" s="49">
        <v>0.89</v>
      </c>
      <c r="DP372" s="48" t="s">
        <v>128</v>
      </c>
      <c r="DQ372" s="48" t="s">
        <v>128</v>
      </c>
      <c r="DR372" s="51"/>
      <c r="DS372" s="48" t="s">
        <v>134</v>
      </c>
    </row>
    <row r="373">
      <c r="A373" s="52" t="s">
        <v>118</v>
      </c>
      <c r="B373" s="53">
        <v>6.0</v>
      </c>
      <c r="C373" s="52" t="s">
        <v>747</v>
      </c>
      <c r="D373" s="53">
        <v>680909.0</v>
      </c>
      <c r="E373" s="52" t="s">
        <v>288</v>
      </c>
      <c r="F373" s="52" t="s">
        <v>967</v>
      </c>
      <c r="G373" s="52" t="s">
        <v>968</v>
      </c>
      <c r="H373" s="53">
        <v>77692.0</v>
      </c>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c r="AZ373" s="54"/>
      <c r="BA373" s="54"/>
      <c r="BB373" s="54"/>
      <c r="BC373" s="54"/>
      <c r="BD373" s="54"/>
      <c r="BE373" s="54"/>
      <c r="BF373" s="54"/>
      <c r="BG373" s="54"/>
      <c r="BH373" s="54"/>
      <c r="BI373" s="54"/>
      <c r="BJ373" s="54"/>
      <c r="BK373" s="54"/>
      <c r="BL373" s="54"/>
      <c r="BM373" s="54"/>
      <c r="BN373" s="54"/>
      <c r="BO373" s="54"/>
      <c r="BP373" s="54"/>
      <c r="BQ373" s="54"/>
      <c r="BR373" s="54"/>
      <c r="BS373" s="54"/>
      <c r="BT373" s="81"/>
      <c r="BU373" s="54"/>
      <c r="BV373" s="54"/>
      <c r="BW373" s="54"/>
      <c r="BX373" s="53">
        <v>3000.0</v>
      </c>
      <c r="BY373" s="53" t="s">
        <v>123</v>
      </c>
      <c r="BZ373" s="58">
        <v>3000.0</v>
      </c>
      <c r="CA373" s="72"/>
      <c r="CB373" s="82"/>
      <c r="CC373" s="31"/>
      <c r="CD373" s="58">
        <v>3000.0</v>
      </c>
      <c r="CE373" s="83" t="s">
        <v>185</v>
      </c>
      <c r="CF373" s="60"/>
      <c r="CG373" s="61">
        <v>0.0</v>
      </c>
      <c r="CH373" s="84"/>
      <c r="CI373" s="63">
        <v>0.0</v>
      </c>
      <c r="CJ373" s="63">
        <v>2269.0</v>
      </c>
      <c r="CK373" s="64">
        <v>-6.0</v>
      </c>
      <c r="CL373" s="63">
        <v>2263.0</v>
      </c>
      <c r="CM373" s="65">
        <v>0.0</v>
      </c>
      <c r="CN373" s="63">
        <v>0.0</v>
      </c>
      <c r="CO373" s="66">
        <v>0.0</v>
      </c>
      <c r="CP373" s="67">
        <v>0.0</v>
      </c>
      <c r="CQ373" s="63">
        <v>0.0</v>
      </c>
      <c r="CR373" s="63">
        <v>0.0</v>
      </c>
      <c r="CS373" s="63">
        <v>0.0</v>
      </c>
      <c r="CT373" s="68"/>
      <c r="CU373" s="69"/>
      <c r="CV373" s="70"/>
      <c r="CW373" s="71">
        <v>10.0</v>
      </c>
      <c r="CX373" s="71" t="s">
        <v>138</v>
      </c>
      <c r="CY373" s="71" t="s">
        <v>139</v>
      </c>
      <c r="CZ373" s="45"/>
      <c r="DA373" s="43"/>
      <c r="DB373" s="44">
        <v>0.0</v>
      </c>
      <c r="DC373" s="43"/>
      <c r="DD373" s="78"/>
      <c r="DE373" s="43"/>
      <c r="DF373" s="43"/>
      <c r="DG373" s="48" t="s">
        <v>128</v>
      </c>
      <c r="DH373" s="48" t="s">
        <v>128</v>
      </c>
      <c r="DI373" s="85" t="str">
        <f>+ OFF 30 DIAS SIN VENTA</f>
        <v>#ERROR!</v>
      </c>
      <c r="DJ373" s="49">
        <v>1.0</v>
      </c>
      <c r="DK373" s="48" t="b">
        <v>0</v>
      </c>
      <c r="DL373" s="50" t="s">
        <v>951</v>
      </c>
      <c r="DM373" s="50" t="s">
        <v>128</v>
      </c>
      <c r="DN373" s="50" t="s">
        <v>952</v>
      </c>
      <c r="DO373" s="49">
        <v>0.89</v>
      </c>
      <c r="DP373" s="48" t="s">
        <v>128</v>
      </c>
      <c r="DQ373" s="86" t="str">
        <f>+ OFF 30 DIAS SIN VENTA</f>
        <v>#ERROR!</v>
      </c>
      <c r="DR373" s="51"/>
      <c r="DS373" s="48" t="s">
        <v>134</v>
      </c>
    </row>
    <row r="374">
      <c r="A374" s="23" t="s">
        <v>118</v>
      </c>
      <c r="B374" s="24">
        <v>6.0</v>
      </c>
      <c r="C374" s="23" t="s">
        <v>747</v>
      </c>
      <c r="D374" s="24">
        <v>536832.0</v>
      </c>
      <c r="E374" s="23" t="s">
        <v>158</v>
      </c>
      <c r="F374" s="23" t="s">
        <v>969</v>
      </c>
      <c r="G374" s="23" t="s">
        <v>970</v>
      </c>
      <c r="H374" s="24">
        <v>77692.0</v>
      </c>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7"/>
      <c r="BU374" s="26"/>
      <c r="BV374" s="26"/>
      <c r="BW374" s="26"/>
      <c r="BX374" s="24">
        <v>1.0</v>
      </c>
      <c r="BY374" s="24" t="s">
        <v>123</v>
      </c>
      <c r="BZ374" s="87">
        <v>1.0</v>
      </c>
      <c r="CA374" s="72"/>
      <c r="CB374" s="82"/>
      <c r="CC374" s="31"/>
      <c r="CD374" s="28">
        <v>1.0</v>
      </c>
      <c r="CE374" s="88" t="s">
        <v>185</v>
      </c>
      <c r="CF374" s="33"/>
      <c r="CG374" s="34">
        <v>0.0</v>
      </c>
      <c r="CH374" s="89"/>
      <c r="CI374" s="36">
        <v>0.0</v>
      </c>
      <c r="CJ374" s="36">
        <v>2269.0</v>
      </c>
      <c r="CK374" s="37">
        <v>-6.0</v>
      </c>
      <c r="CL374" s="36">
        <v>2263.0</v>
      </c>
      <c r="CM374" s="38">
        <v>0.0</v>
      </c>
      <c r="CN374" s="36">
        <v>0.0</v>
      </c>
      <c r="CO374" s="39">
        <v>0.0</v>
      </c>
      <c r="CP374" s="40">
        <v>0.0</v>
      </c>
      <c r="CQ374" s="36">
        <v>0.0</v>
      </c>
      <c r="CR374" s="36">
        <v>0.0</v>
      </c>
      <c r="CS374" s="36">
        <v>0.0</v>
      </c>
      <c r="CT374" s="41"/>
      <c r="CU374" s="42"/>
      <c r="CV374" s="43"/>
      <c r="CW374" s="44">
        <v>1.0</v>
      </c>
      <c r="CX374" s="44">
        <v>1.0</v>
      </c>
      <c r="CY374" s="44">
        <v>0.1</v>
      </c>
      <c r="CZ374" s="45"/>
      <c r="DA374" s="43"/>
      <c r="DB374" s="44">
        <v>0.0</v>
      </c>
      <c r="DC374" s="43"/>
      <c r="DD374" s="78"/>
      <c r="DE374" s="43"/>
      <c r="DF374" s="43"/>
      <c r="DG374" s="48" t="s">
        <v>128</v>
      </c>
      <c r="DH374" s="48" t="s">
        <v>131</v>
      </c>
      <c r="DI374" s="48" t="s">
        <v>188</v>
      </c>
      <c r="DJ374" s="49">
        <v>1.0</v>
      </c>
      <c r="DK374" s="48" t="b">
        <v>0</v>
      </c>
      <c r="DL374" s="50" t="s">
        <v>951</v>
      </c>
      <c r="DM374" s="50" t="s">
        <v>128</v>
      </c>
      <c r="DN374" s="50" t="s">
        <v>952</v>
      </c>
      <c r="DO374" s="49">
        <v>0.89</v>
      </c>
      <c r="DP374" s="51"/>
      <c r="DQ374" s="48" t="s">
        <v>188</v>
      </c>
      <c r="DR374" s="51"/>
      <c r="DS374" s="48" t="s">
        <v>134</v>
      </c>
    </row>
    <row r="375">
      <c r="A375" s="52" t="s">
        <v>118</v>
      </c>
      <c r="B375" s="53">
        <v>6.0</v>
      </c>
      <c r="C375" s="52" t="s">
        <v>747</v>
      </c>
      <c r="D375" s="53">
        <v>681287.0</v>
      </c>
      <c r="E375" s="52" t="s">
        <v>354</v>
      </c>
      <c r="F375" s="52" t="s">
        <v>971</v>
      </c>
      <c r="G375" s="52" t="s">
        <v>972</v>
      </c>
      <c r="H375" s="53">
        <v>77692.0</v>
      </c>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c r="BS375" s="54"/>
      <c r="BT375" s="81"/>
      <c r="BU375" s="54"/>
      <c r="BV375" s="54"/>
      <c r="BW375" s="54"/>
      <c r="BX375" s="53">
        <v>3000.0</v>
      </c>
      <c r="BY375" s="53" t="s">
        <v>123</v>
      </c>
      <c r="BZ375" s="58">
        <v>3000.0</v>
      </c>
      <c r="CA375" s="72"/>
      <c r="CB375" s="82"/>
      <c r="CC375" s="31"/>
      <c r="CD375" s="58">
        <v>3000.0</v>
      </c>
      <c r="CE375" s="83" t="s">
        <v>185</v>
      </c>
      <c r="CF375" s="60"/>
      <c r="CG375" s="61">
        <v>0.0</v>
      </c>
      <c r="CH375" s="84"/>
      <c r="CI375" s="63">
        <v>0.0</v>
      </c>
      <c r="CJ375" s="63">
        <v>2269.0</v>
      </c>
      <c r="CK375" s="64">
        <v>-6.0</v>
      </c>
      <c r="CL375" s="63">
        <v>2263.0</v>
      </c>
      <c r="CM375" s="65">
        <v>0.0</v>
      </c>
      <c r="CN375" s="63">
        <v>0.0</v>
      </c>
      <c r="CO375" s="66">
        <v>0.0</v>
      </c>
      <c r="CP375" s="67">
        <v>0.0</v>
      </c>
      <c r="CQ375" s="63">
        <v>0.0</v>
      </c>
      <c r="CR375" s="63">
        <v>0.0</v>
      </c>
      <c r="CS375" s="63">
        <v>0.0</v>
      </c>
      <c r="CT375" s="68"/>
      <c r="CU375" s="69"/>
      <c r="CV375" s="70"/>
      <c r="CW375" s="71">
        <v>10.0</v>
      </c>
      <c r="CX375" s="71" t="s">
        <v>138</v>
      </c>
      <c r="CY375" s="71" t="s">
        <v>139</v>
      </c>
      <c r="CZ375" s="45"/>
      <c r="DA375" s="43"/>
      <c r="DB375" s="44">
        <v>0.0</v>
      </c>
      <c r="DC375" s="43"/>
      <c r="DD375" s="78"/>
      <c r="DE375" s="43"/>
      <c r="DF375" s="43"/>
      <c r="DG375" s="48" t="s">
        <v>128</v>
      </c>
      <c r="DH375" s="48" t="s">
        <v>128</v>
      </c>
      <c r="DI375" s="85" t="str">
        <f>+ OFF 30 DIAS SIN VENTA</f>
        <v>#ERROR!</v>
      </c>
      <c r="DJ375" s="49">
        <v>1.0</v>
      </c>
      <c r="DK375" s="48" t="b">
        <v>0</v>
      </c>
      <c r="DL375" s="50" t="s">
        <v>951</v>
      </c>
      <c r="DM375" s="50" t="s">
        <v>128</v>
      </c>
      <c r="DN375" s="50" t="s">
        <v>952</v>
      </c>
      <c r="DO375" s="49">
        <v>0.89</v>
      </c>
      <c r="DP375" s="48" t="s">
        <v>128</v>
      </c>
      <c r="DQ375" s="86" t="str">
        <f>+ OFF 30 DIAS SIN VENTA</f>
        <v>#ERROR!</v>
      </c>
      <c r="DR375" s="51"/>
      <c r="DS375" s="48" t="s">
        <v>134</v>
      </c>
    </row>
    <row r="376">
      <c r="A376" s="23" t="s">
        <v>118</v>
      </c>
      <c r="B376" s="24">
        <v>6.0</v>
      </c>
      <c r="C376" s="23" t="s">
        <v>747</v>
      </c>
      <c r="D376" s="24">
        <v>536832.0</v>
      </c>
      <c r="E376" s="23" t="s">
        <v>158</v>
      </c>
      <c r="F376" s="23" t="s">
        <v>973</v>
      </c>
      <c r="G376" s="23" t="s">
        <v>974</v>
      </c>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7"/>
      <c r="BU376" s="26"/>
      <c r="BV376" s="26"/>
      <c r="BW376" s="26"/>
      <c r="BX376" s="24">
        <v>1.0</v>
      </c>
      <c r="BY376" s="24" t="s">
        <v>123</v>
      </c>
      <c r="BZ376" s="87">
        <v>1.0</v>
      </c>
      <c r="CA376" s="72"/>
      <c r="CB376" s="82"/>
      <c r="CC376" s="31"/>
      <c r="CD376" s="28">
        <v>1.0</v>
      </c>
      <c r="CE376" s="88" t="s">
        <v>185</v>
      </c>
      <c r="CF376" s="33"/>
      <c r="CG376" s="34">
        <v>0.0</v>
      </c>
      <c r="CH376" s="89"/>
      <c r="CI376" s="36">
        <v>0.0</v>
      </c>
      <c r="CJ376" s="36">
        <v>0.0</v>
      </c>
      <c r="CK376" s="37">
        <v>0.0</v>
      </c>
      <c r="CL376" s="36">
        <v>0.0</v>
      </c>
      <c r="CM376" s="38">
        <v>0.0</v>
      </c>
      <c r="CN376" s="36">
        <v>0.0</v>
      </c>
      <c r="CO376" s="39">
        <v>0.0</v>
      </c>
      <c r="CP376" s="40">
        <v>0.0</v>
      </c>
      <c r="CQ376" s="36">
        <v>0.0</v>
      </c>
      <c r="CR376" s="36">
        <v>0.0</v>
      </c>
      <c r="CS376" s="36">
        <v>0.0</v>
      </c>
      <c r="CT376" s="41"/>
      <c r="CU376" s="42"/>
      <c r="CV376" s="43"/>
      <c r="CW376" s="44">
        <v>1.0</v>
      </c>
      <c r="CX376" s="44">
        <v>1.0</v>
      </c>
      <c r="CY376" s="44">
        <v>0.1</v>
      </c>
      <c r="CZ376" s="45"/>
      <c r="DA376" s="43"/>
      <c r="DB376" s="44">
        <v>0.0</v>
      </c>
      <c r="DC376" s="43"/>
      <c r="DD376" s="78"/>
      <c r="DE376" s="43"/>
      <c r="DF376" s="43"/>
      <c r="DG376" s="48" t="s">
        <v>128</v>
      </c>
      <c r="DH376" s="48" t="s">
        <v>131</v>
      </c>
      <c r="DI376" s="48" t="s">
        <v>574</v>
      </c>
      <c r="DJ376" s="49">
        <v>1.0</v>
      </c>
      <c r="DK376" s="48" t="b">
        <v>0</v>
      </c>
      <c r="DL376" s="111"/>
      <c r="DM376" s="111"/>
      <c r="DN376" s="111"/>
      <c r="DO376" s="51"/>
      <c r="DP376" s="51"/>
      <c r="DQ376" s="48" t="s">
        <v>576</v>
      </c>
      <c r="DR376" s="51"/>
      <c r="DS376" s="48" t="s">
        <v>134</v>
      </c>
    </row>
    <row r="377">
      <c r="A377" s="52" t="s">
        <v>118</v>
      </c>
      <c r="B377" s="53">
        <v>6.0</v>
      </c>
      <c r="C377" s="52" t="s">
        <v>747</v>
      </c>
      <c r="D377" s="53">
        <v>536832.0</v>
      </c>
      <c r="E377" s="52" t="s">
        <v>158</v>
      </c>
      <c r="F377" s="52" t="s">
        <v>975</v>
      </c>
      <c r="G377" s="52" t="s">
        <v>976</v>
      </c>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c r="BS377" s="54"/>
      <c r="BT377" s="81"/>
      <c r="BU377" s="54"/>
      <c r="BV377" s="54"/>
      <c r="BW377" s="54"/>
      <c r="BX377" s="53">
        <v>1.0</v>
      </c>
      <c r="BY377" s="53" t="s">
        <v>123</v>
      </c>
      <c r="BZ377" s="87">
        <v>1.0</v>
      </c>
      <c r="CA377" s="72"/>
      <c r="CB377" s="82"/>
      <c r="CC377" s="31"/>
      <c r="CD377" s="58">
        <v>1.0</v>
      </c>
      <c r="CE377" s="83" t="s">
        <v>185</v>
      </c>
      <c r="CF377" s="60"/>
      <c r="CG377" s="61">
        <v>0.0</v>
      </c>
      <c r="CH377" s="84"/>
      <c r="CI377" s="63">
        <v>0.0</v>
      </c>
      <c r="CJ377" s="63">
        <v>0.0</v>
      </c>
      <c r="CK377" s="64">
        <v>0.0</v>
      </c>
      <c r="CL377" s="63">
        <v>0.0</v>
      </c>
      <c r="CM377" s="65">
        <v>0.0</v>
      </c>
      <c r="CN377" s="63">
        <v>0.0</v>
      </c>
      <c r="CO377" s="66">
        <v>0.0</v>
      </c>
      <c r="CP377" s="67">
        <v>0.0</v>
      </c>
      <c r="CQ377" s="63">
        <v>0.0</v>
      </c>
      <c r="CR377" s="63">
        <v>0.0</v>
      </c>
      <c r="CS377" s="63">
        <v>0.0</v>
      </c>
      <c r="CT377" s="68"/>
      <c r="CU377" s="69"/>
      <c r="CV377" s="70"/>
      <c r="CW377" s="71">
        <v>1.0</v>
      </c>
      <c r="CX377" s="71">
        <v>1.0</v>
      </c>
      <c r="CY377" s="71">
        <v>0.1</v>
      </c>
      <c r="CZ377" s="45"/>
      <c r="DA377" s="43"/>
      <c r="DB377" s="44">
        <v>0.0</v>
      </c>
      <c r="DC377" s="43"/>
      <c r="DD377" s="78"/>
      <c r="DE377" s="43"/>
      <c r="DF377" s="43"/>
      <c r="DG377" s="48" t="s">
        <v>128</v>
      </c>
      <c r="DH377" s="48" t="s">
        <v>131</v>
      </c>
      <c r="DI377" s="48" t="s">
        <v>574</v>
      </c>
      <c r="DJ377" s="49">
        <v>1.0</v>
      </c>
      <c r="DK377" s="48" t="b">
        <v>0</v>
      </c>
      <c r="DL377" s="50" t="s">
        <v>977</v>
      </c>
      <c r="DM377" s="111"/>
      <c r="DN377" s="111"/>
      <c r="DO377" s="51"/>
      <c r="DP377" s="51"/>
      <c r="DQ377" s="48" t="s">
        <v>576</v>
      </c>
      <c r="DR377" s="51"/>
      <c r="DS377" s="48" t="s">
        <v>134</v>
      </c>
    </row>
    <row r="378">
      <c r="A378" s="23" t="s">
        <v>118</v>
      </c>
      <c r="B378" s="24">
        <v>6.0</v>
      </c>
      <c r="C378" s="23" t="s">
        <v>747</v>
      </c>
      <c r="D378" s="24">
        <v>604008.0</v>
      </c>
      <c r="E378" s="23" t="s">
        <v>176</v>
      </c>
      <c r="F378" s="23" t="s">
        <v>978</v>
      </c>
      <c r="G378" s="23" t="s">
        <v>979</v>
      </c>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7"/>
      <c r="BU378" s="26"/>
      <c r="BV378" s="26"/>
      <c r="BW378" s="26"/>
      <c r="BX378" s="24">
        <v>1.0</v>
      </c>
      <c r="BY378" s="24" t="s">
        <v>123</v>
      </c>
      <c r="BZ378" s="87">
        <v>1.0</v>
      </c>
      <c r="CA378" s="72"/>
      <c r="CB378" s="82"/>
      <c r="CC378" s="31"/>
      <c r="CD378" s="28">
        <v>1.0</v>
      </c>
      <c r="CE378" s="88" t="s">
        <v>185</v>
      </c>
      <c r="CF378" s="33"/>
      <c r="CG378" s="34">
        <v>0.0</v>
      </c>
      <c r="CH378" s="89"/>
      <c r="CI378" s="36">
        <v>0.0</v>
      </c>
      <c r="CJ378" s="36">
        <v>0.0</v>
      </c>
      <c r="CK378" s="37">
        <v>0.0</v>
      </c>
      <c r="CL378" s="36">
        <v>0.0</v>
      </c>
      <c r="CM378" s="38">
        <v>0.0</v>
      </c>
      <c r="CN378" s="36">
        <v>0.0</v>
      </c>
      <c r="CO378" s="39">
        <v>0.0</v>
      </c>
      <c r="CP378" s="40">
        <v>0.0</v>
      </c>
      <c r="CQ378" s="36">
        <v>0.0</v>
      </c>
      <c r="CR378" s="36">
        <v>0.0</v>
      </c>
      <c r="CS378" s="36">
        <v>0.0</v>
      </c>
      <c r="CT378" s="41"/>
      <c r="CU378" s="42"/>
      <c r="CV378" s="43"/>
      <c r="CW378" s="44">
        <v>1.0</v>
      </c>
      <c r="CX378" s="44">
        <v>1.0</v>
      </c>
      <c r="CY378" s="44">
        <v>0.1</v>
      </c>
      <c r="CZ378" s="45"/>
      <c r="DA378" s="43"/>
      <c r="DB378" s="44">
        <v>0.0</v>
      </c>
      <c r="DC378" s="43"/>
      <c r="DD378" s="78"/>
      <c r="DE378" s="43"/>
      <c r="DF378" s="43"/>
      <c r="DG378" s="48" t="s">
        <v>128</v>
      </c>
      <c r="DH378" s="48" t="s">
        <v>131</v>
      </c>
      <c r="DI378" s="48" t="s">
        <v>574</v>
      </c>
      <c r="DJ378" s="49">
        <v>1.0</v>
      </c>
      <c r="DK378" s="48" t="b">
        <v>0</v>
      </c>
      <c r="DL378" s="111"/>
      <c r="DM378" s="111"/>
      <c r="DN378" s="111"/>
      <c r="DO378" s="51"/>
      <c r="DP378" s="51"/>
      <c r="DQ378" s="48" t="s">
        <v>576</v>
      </c>
      <c r="DR378" s="51"/>
      <c r="DS378" s="48" t="s">
        <v>134</v>
      </c>
    </row>
    <row r="379">
      <c r="A379" s="52" t="s">
        <v>118</v>
      </c>
      <c r="B379" s="53">
        <v>6.0</v>
      </c>
      <c r="C379" s="52" t="s">
        <v>747</v>
      </c>
      <c r="D379" s="53">
        <v>641892.0</v>
      </c>
      <c r="E379" s="52" t="s">
        <v>170</v>
      </c>
      <c r="F379" s="52" t="s">
        <v>980</v>
      </c>
      <c r="G379" s="52" t="s">
        <v>981</v>
      </c>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c r="BS379" s="54"/>
      <c r="BT379" s="81"/>
      <c r="BU379" s="54"/>
      <c r="BV379" s="54"/>
      <c r="BW379" s="54"/>
      <c r="BX379" s="53">
        <v>1.0</v>
      </c>
      <c r="BY379" s="53" t="s">
        <v>123</v>
      </c>
      <c r="BZ379" s="87">
        <v>1.0</v>
      </c>
      <c r="CA379" s="72"/>
      <c r="CB379" s="82"/>
      <c r="CC379" s="31"/>
      <c r="CD379" s="58">
        <v>1.0</v>
      </c>
      <c r="CE379" s="83" t="s">
        <v>185</v>
      </c>
      <c r="CF379" s="60"/>
      <c r="CG379" s="61">
        <v>0.0</v>
      </c>
      <c r="CH379" s="84"/>
      <c r="CI379" s="63">
        <v>0.0</v>
      </c>
      <c r="CJ379" s="63">
        <v>0.0</v>
      </c>
      <c r="CK379" s="64">
        <v>0.0</v>
      </c>
      <c r="CL379" s="63">
        <v>0.0</v>
      </c>
      <c r="CM379" s="65">
        <v>0.0</v>
      </c>
      <c r="CN379" s="63">
        <v>0.0</v>
      </c>
      <c r="CO379" s="66">
        <v>0.0</v>
      </c>
      <c r="CP379" s="67">
        <v>0.0</v>
      </c>
      <c r="CQ379" s="63">
        <v>0.0</v>
      </c>
      <c r="CR379" s="63">
        <v>0.0</v>
      </c>
      <c r="CS379" s="63">
        <v>0.0</v>
      </c>
      <c r="CT379" s="68"/>
      <c r="CU379" s="69"/>
      <c r="CV379" s="70"/>
      <c r="CW379" s="71">
        <v>1.0</v>
      </c>
      <c r="CX379" s="71">
        <v>1.0</v>
      </c>
      <c r="CY379" s="71">
        <v>0.1</v>
      </c>
      <c r="CZ379" s="45"/>
      <c r="DA379" s="43"/>
      <c r="DB379" s="44">
        <v>0.0</v>
      </c>
      <c r="DC379" s="43"/>
      <c r="DD379" s="78"/>
      <c r="DE379" s="43"/>
      <c r="DF379" s="43"/>
      <c r="DG379" s="48" t="s">
        <v>128</v>
      </c>
      <c r="DH379" s="48" t="s">
        <v>131</v>
      </c>
      <c r="DI379" s="48" t="s">
        <v>574</v>
      </c>
      <c r="DJ379" s="49">
        <v>1.0</v>
      </c>
      <c r="DK379" s="48" t="b">
        <v>0</v>
      </c>
      <c r="DL379" s="50" t="s">
        <v>977</v>
      </c>
      <c r="DM379" s="111"/>
      <c r="DN379" s="111"/>
      <c r="DO379" s="51"/>
      <c r="DP379" s="51"/>
      <c r="DQ379" s="48" t="s">
        <v>576</v>
      </c>
      <c r="DR379" s="51"/>
      <c r="DS379" s="48" t="s">
        <v>134</v>
      </c>
    </row>
    <row r="380">
      <c r="A380" s="23" t="s">
        <v>118</v>
      </c>
      <c r="B380" s="24">
        <v>6.0</v>
      </c>
      <c r="C380" s="23" t="s">
        <v>747</v>
      </c>
      <c r="D380" s="24">
        <v>648803.0</v>
      </c>
      <c r="E380" s="23" t="s">
        <v>189</v>
      </c>
      <c r="F380" s="23" t="s">
        <v>982</v>
      </c>
      <c r="G380" s="23" t="s">
        <v>983</v>
      </c>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7"/>
      <c r="BU380" s="26"/>
      <c r="BV380" s="26"/>
      <c r="BW380" s="26"/>
      <c r="BX380" s="24">
        <v>1.0</v>
      </c>
      <c r="BY380" s="24" t="s">
        <v>123</v>
      </c>
      <c r="BZ380" s="87">
        <v>1.0</v>
      </c>
      <c r="CA380" s="72"/>
      <c r="CB380" s="82"/>
      <c r="CC380" s="31"/>
      <c r="CD380" s="28">
        <v>1.0</v>
      </c>
      <c r="CE380" s="88" t="s">
        <v>185</v>
      </c>
      <c r="CF380" s="33"/>
      <c r="CG380" s="34">
        <v>0.0</v>
      </c>
      <c r="CH380" s="89"/>
      <c r="CI380" s="36">
        <v>0.0</v>
      </c>
      <c r="CJ380" s="36">
        <v>0.0</v>
      </c>
      <c r="CK380" s="37">
        <v>0.0</v>
      </c>
      <c r="CL380" s="36">
        <v>0.0</v>
      </c>
      <c r="CM380" s="38">
        <v>0.0</v>
      </c>
      <c r="CN380" s="36">
        <v>0.0</v>
      </c>
      <c r="CO380" s="39">
        <v>0.0</v>
      </c>
      <c r="CP380" s="40">
        <v>0.0</v>
      </c>
      <c r="CQ380" s="36">
        <v>0.0</v>
      </c>
      <c r="CR380" s="36">
        <v>0.0</v>
      </c>
      <c r="CS380" s="36">
        <v>0.0</v>
      </c>
      <c r="CT380" s="41"/>
      <c r="CU380" s="42"/>
      <c r="CV380" s="43"/>
      <c r="CW380" s="44">
        <v>1.0</v>
      </c>
      <c r="CX380" s="44">
        <v>1.0</v>
      </c>
      <c r="CY380" s="44">
        <v>0.1</v>
      </c>
      <c r="CZ380" s="45"/>
      <c r="DA380" s="43"/>
      <c r="DB380" s="44">
        <v>0.0</v>
      </c>
      <c r="DC380" s="43"/>
      <c r="DD380" s="78"/>
      <c r="DE380" s="43"/>
      <c r="DF380" s="43"/>
      <c r="DG380" s="48" t="s">
        <v>128</v>
      </c>
      <c r="DH380" s="48" t="s">
        <v>131</v>
      </c>
      <c r="DI380" s="48" t="s">
        <v>574</v>
      </c>
      <c r="DJ380" s="49">
        <v>1.0</v>
      </c>
      <c r="DK380" s="48" t="b">
        <v>0</v>
      </c>
      <c r="DL380" s="50" t="s">
        <v>977</v>
      </c>
      <c r="DM380" s="111"/>
      <c r="DN380" s="111"/>
      <c r="DO380" s="51"/>
      <c r="DP380" s="51"/>
      <c r="DQ380" s="48" t="s">
        <v>576</v>
      </c>
      <c r="DR380" s="51"/>
      <c r="DS380" s="48" t="s">
        <v>134</v>
      </c>
    </row>
    <row r="381">
      <c r="A381" s="52" t="s">
        <v>118</v>
      </c>
      <c r="B381" s="53">
        <v>6.0</v>
      </c>
      <c r="C381" s="52" t="s">
        <v>747</v>
      </c>
      <c r="D381" s="53">
        <v>641645.0</v>
      </c>
      <c r="E381" s="52" t="s">
        <v>145</v>
      </c>
      <c r="F381" s="52" t="s">
        <v>984</v>
      </c>
      <c r="G381" s="52" t="s">
        <v>985</v>
      </c>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c r="BS381" s="54"/>
      <c r="BT381" s="81"/>
      <c r="BU381" s="54"/>
      <c r="BV381" s="54"/>
      <c r="BW381" s="54"/>
      <c r="BX381" s="53">
        <v>1.0</v>
      </c>
      <c r="BY381" s="53" t="s">
        <v>123</v>
      </c>
      <c r="BZ381" s="87">
        <v>1.0</v>
      </c>
      <c r="CA381" s="72"/>
      <c r="CB381" s="82"/>
      <c r="CC381" s="31"/>
      <c r="CD381" s="58">
        <v>1.0</v>
      </c>
      <c r="CE381" s="83" t="s">
        <v>185</v>
      </c>
      <c r="CF381" s="60"/>
      <c r="CG381" s="61">
        <v>0.0</v>
      </c>
      <c r="CH381" s="84"/>
      <c r="CI381" s="63">
        <v>0.0</v>
      </c>
      <c r="CJ381" s="63">
        <v>0.0</v>
      </c>
      <c r="CK381" s="64">
        <v>0.0</v>
      </c>
      <c r="CL381" s="63">
        <v>0.0</v>
      </c>
      <c r="CM381" s="65">
        <v>0.0</v>
      </c>
      <c r="CN381" s="63">
        <v>0.0</v>
      </c>
      <c r="CO381" s="66">
        <v>0.0</v>
      </c>
      <c r="CP381" s="67">
        <v>0.0</v>
      </c>
      <c r="CQ381" s="63">
        <v>0.0</v>
      </c>
      <c r="CR381" s="63">
        <v>0.0</v>
      </c>
      <c r="CS381" s="63">
        <v>0.0</v>
      </c>
      <c r="CT381" s="68"/>
      <c r="CU381" s="69"/>
      <c r="CV381" s="70"/>
      <c r="CW381" s="71">
        <v>1.0</v>
      </c>
      <c r="CX381" s="71">
        <v>1.0</v>
      </c>
      <c r="CY381" s="71">
        <v>0.1</v>
      </c>
      <c r="CZ381" s="45"/>
      <c r="DA381" s="43"/>
      <c r="DB381" s="44">
        <v>0.0</v>
      </c>
      <c r="DC381" s="43"/>
      <c r="DD381" s="78"/>
      <c r="DE381" s="43"/>
      <c r="DF381" s="43"/>
      <c r="DG381" s="48" t="s">
        <v>128</v>
      </c>
      <c r="DH381" s="48" t="s">
        <v>131</v>
      </c>
      <c r="DI381" s="48" t="s">
        <v>574</v>
      </c>
      <c r="DJ381" s="49">
        <v>1.0</v>
      </c>
      <c r="DK381" s="48" t="b">
        <v>0</v>
      </c>
      <c r="DL381" s="50" t="s">
        <v>977</v>
      </c>
      <c r="DM381" s="111"/>
      <c r="DN381" s="111"/>
      <c r="DO381" s="51"/>
      <c r="DP381" s="51"/>
      <c r="DQ381" s="48" t="s">
        <v>576</v>
      </c>
      <c r="DR381" s="51"/>
      <c r="DS381" s="48" t="s">
        <v>134</v>
      </c>
    </row>
    <row r="382">
      <c r="A382" s="23" t="s">
        <v>118</v>
      </c>
      <c r="B382" s="24">
        <v>6.0</v>
      </c>
      <c r="C382" s="23" t="s">
        <v>747</v>
      </c>
      <c r="D382" s="24">
        <v>643373.0</v>
      </c>
      <c r="E382" s="23" t="s">
        <v>120</v>
      </c>
      <c r="F382" s="23" t="s">
        <v>986</v>
      </c>
      <c r="G382" s="23" t="s">
        <v>987</v>
      </c>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7"/>
      <c r="BU382" s="26"/>
      <c r="BV382" s="26"/>
      <c r="BW382" s="26"/>
      <c r="BX382" s="24">
        <v>1.0</v>
      </c>
      <c r="BY382" s="24" t="s">
        <v>123</v>
      </c>
      <c r="BZ382" s="87">
        <v>1.0</v>
      </c>
      <c r="CA382" s="72"/>
      <c r="CB382" s="82"/>
      <c r="CC382" s="31"/>
      <c r="CD382" s="28">
        <v>1.0</v>
      </c>
      <c r="CE382" s="88" t="s">
        <v>185</v>
      </c>
      <c r="CF382" s="33"/>
      <c r="CG382" s="34">
        <v>0.0</v>
      </c>
      <c r="CH382" s="89"/>
      <c r="CI382" s="36">
        <v>0.0</v>
      </c>
      <c r="CJ382" s="36">
        <v>0.0</v>
      </c>
      <c r="CK382" s="37">
        <v>0.0</v>
      </c>
      <c r="CL382" s="36">
        <v>0.0</v>
      </c>
      <c r="CM382" s="38">
        <v>0.0</v>
      </c>
      <c r="CN382" s="36">
        <v>0.0</v>
      </c>
      <c r="CO382" s="39">
        <v>0.0</v>
      </c>
      <c r="CP382" s="40">
        <v>0.0</v>
      </c>
      <c r="CQ382" s="36">
        <v>0.0</v>
      </c>
      <c r="CR382" s="36">
        <v>0.0</v>
      </c>
      <c r="CS382" s="36">
        <v>0.0</v>
      </c>
      <c r="CT382" s="41"/>
      <c r="CU382" s="42"/>
      <c r="CV382" s="43"/>
      <c r="CW382" s="44">
        <v>1.0</v>
      </c>
      <c r="CX382" s="44">
        <v>1.0</v>
      </c>
      <c r="CY382" s="44">
        <v>0.1</v>
      </c>
      <c r="CZ382" s="45"/>
      <c r="DA382" s="43"/>
      <c r="DB382" s="44">
        <v>0.0</v>
      </c>
      <c r="DC382" s="43"/>
      <c r="DD382" s="78"/>
      <c r="DE382" s="43"/>
      <c r="DF382" s="43"/>
      <c r="DG382" s="48" t="s">
        <v>128</v>
      </c>
      <c r="DH382" s="48" t="s">
        <v>131</v>
      </c>
      <c r="DI382" s="48" t="s">
        <v>574</v>
      </c>
      <c r="DJ382" s="49">
        <v>1.0</v>
      </c>
      <c r="DK382" s="48" t="b">
        <v>0</v>
      </c>
      <c r="DL382" s="50" t="s">
        <v>977</v>
      </c>
      <c r="DM382" s="111"/>
      <c r="DN382" s="111"/>
      <c r="DO382" s="51"/>
      <c r="DP382" s="51"/>
      <c r="DQ382" s="48" t="s">
        <v>576</v>
      </c>
      <c r="DR382" s="51"/>
      <c r="DS382" s="48" t="s">
        <v>134</v>
      </c>
    </row>
    <row r="383">
      <c r="A383" s="52" t="s">
        <v>118</v>
      </c>
      <c r="B383" s="53">
        <v>6.0</v>
      </c>
      <c r="C383" s="52" t="s">
        <v>747</v>
      </c>
      <c r="D383" s="53">
        <v>648801.0</v>
      </c>
      <c r="E383" s="52" t="s">
        <v>198</v>
      </c>
      <c r="F383" s="52" t="s">
        <v>988</v>
      </c>
      <c r="G383" s="52" t="s">
        <v>989</v>
      </c>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c r="BS383" s="54"/>
      <c r="BT383" s="81"/>
      <c r="BU383" s="54"/>
      <c r="BV383" s="54"/>
      <c r="BW383" s="54"/>
      <c r="BX383" s="53">
        <v>1.0</v>
      </c>
      <c r="BY383" s="53" t="s">
        <v>123</v>
      </c>
      <c r="BZ383" s="87">
        <v>1.0</v>
      </c>
      <c r="CA383" s="72"/>
      <c r="CB383" s="82"/>
      <c r="CC383" s="31"/>
      <c r="CD383" s="58">
        <v>1.0</v>
      </c>
      <c r="CE383" s="83" t="s">
        <v>185</v>
      </c>
      <c r="CF383" s="60"/>
      <c r="CG383" s="61">
        <v>0.0</v>
      </c>
      <c r="CH383" s="84"/>
      <c r="CI383" s="63">
        <v>0.0</v>
      </c>
      <c r="CJ383" s="63">
        <v>0.0</v>
      </c>
      <c r="CK383" s="64">
        <v>0.0</v>
      </c>
      <c r="CL383" s="63">
        <v>0.0</v>
      </c>
      <c r="CM383" s="65">
        <v>0.0</v>
      </c>
      <c r="CN383" s="63">
        <v>0.0</v>
      </c>
      <c r="CO383" s="66">
        <v>0.0</v>
      </c>
      <c r="CP383" s="67">
        <v>0.0</v>
      </c>
      <c r="CQ383" s="63">
        <v>0.0</v>
      </c>
      <c r="CR383" s="63">
        <v>0.0</v>
      </c>
      <c r="CS383" s="63">
        <v>0.0</v>
      </c>
      <c r="CT383" s="68"/>
      <c r="CU383" s="69"/>
      <c r="CV383" s="70"/>
      <c r="CW383" s="71">
        <v>1.0</v>
      </c>
      <c r="CX383" s="71">
        <v>1.0</v>
      </c>
      <c r="CY383" s="71">
        <v>0.1</v>
      </c>
      <c r="CZ383" s="45"/>
      <c r="DA383" s="43"/>
      <c r="DB383" s="44">
        <v>0.0</v>
      </c>
      <c r="DC383" s="43"/>
      <c r="DD383" s="78"/>
      <c r="DE383" s="43"/>
      <c r="DF383" s="43"/>
      <c r="DG383" s="48" t="s">
        <v>128</v>
      </c>
      <c r="DH383" s="48" t="s">
        <v>131</v>
      </c>
      <c r="DI383" s="48" t="s">
        <v>574</v>
      </c>
      <c r="DJ383" s="49">
        <v>1.0</v>
      </c>
      <c r="DK383" s="48" t="b">
        <v>0</v>
      </c>
      <c r="DL383" s="50" t="s">
        <v>977</v>
      </c>
      <c r="DM383" s="111"/>
      <c r="DN383" s="111"/>
      <c r="DO383" s="51"/>
      <c r="DP383" s="51"/>
      <c r="DQ383" s="48" t="s">
        <v>576</v>
      </c>
      <c r="DR383" s="51"/>
      <c r="DS383" s="48" t="s">
        <v>134</v>
      </c>
    </row>
    <row r="384">
      <c r="A384" s="23" t="s">
        <v>118</v>
      </c>
      <c r="B384" s="24">
        <v>6.0</v>
      </c>
      <c r="C384" s="23" t="s">
        <v>747</v>
      </c>
      <c r="D384" s="24">
        <v>588071.0</v>
      </c>
      <c r="E384" s="23" t="s">
        <v>152</v>
      </c>
      <c r="F384" s="23" t="s">
        <v>990</v>
      </c>
      <c r="G384" s="23" t="s">
        <v>991</v>
      </c>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7"/>
      <c r="BU384" s="26"/>
      <c r="BV384" s="26"/>
      <c r="BW384" s="26"/>
      <c r="BX384" s="24">
        <v>1.0</v>
      </c>
      <c r="BY384" s="24" t="s">
        <v>123</v>
      </c>
      <c r="BZ384" s="87">
        <v>1.0</v>
      </c>
      <c r="CA384" s="72"/>
      <c r="CB384" s="82"/>
      <c r="CC384" s="31"/>
      <c r="CD384" s="28">
        <v>1.0</v>
      </c>
      <c r="CE384" s="88" t="s">
        <v>185</v>
      </c>
      <c r="CF384" s="33"/>
      <c r="CG384" s="34">
        <v>0.0</v>
      </c>
      <c r="CH384" s="89"/>
      <c r="CI384" s="36">
        <v>0.0</v>
      </c>
      <c r="CJ384" s="36">
        <v>0.0</v>
      </c>
      <c r="CK384" s="37">
        <v>0.0</v>
      </c>
      <c r="CL384" s="36">
        <v>0.0</v>
      </c>
      <c r="CM384" s="38">
        <v>0.0</v>
      </c>
      <c r="CN384" s="36">
        <v>0.0</v>
      </c>
      <c r="CO384" s="39">
        <v>0.0</v>
      </c>
      <c r="CP384" s="40">
        <v>0.0</v>
      </c>
      <c r="CQ384" s="36">
        <v>0.0</v>
      </c>
      <c r="CR384" s="36">
        <v>0.0</v>
      </c>
      <c r="CS384" s="36">
        <v>0.0</v>
      </c>
      <c r="CT384" s="41"/>
      <c r="CU384" s="42"/>
      <c r="CV384" s="43"/>
      <c r="CW384" s="44">
        <v>1.0</v>
      </c>
      <c r="CX384" s="44">
        <v>1.0</v>
      </c>
      <c r="CY384" s="44">
        <v>0.1</v>
      </c>
      <c r="CZ384" s="45"/>
      <c r="DA384" s="43"/>
      <c r="DB384" s="44">
        <v>0.0</v>
      </c>
      <c r="DC384" s="43"/>
      <c r="DD384" s="78"/>
      <c r="DE384" s="43"/>
      <c r="DF384" s="43"/>
      <c r="DG384" s="48" t="s">
        <v>128</v>
      </c>
      <c r="DH384" s="48" t="s">
        <v>131</v>
      </c>
      <c r="DI384" s="48" t="s">
        <v>574</v>
      </c>
      <c r="DJ384" s="49">
        <v>1.0</v>
      </c>
      <c r="DK384" s="48" t="b">
        <v>0</v>
      </c>
      <c r="DL384" s="111"/>
      <c r="DM384" s="111"/>
      <c r="DN384" s="111"/>
      <c r="DO384" s="51"/>
      <c r="DP384" s="51"/>
      <c r="DQ384" s="48" t="s">
        <v>576</v>
      </c>
      <c r="DR384" s="51"/>
      <c r="DS384" s="48" t="s">
        <v>134</v>
      </c>
    </row>
    <row r="385">
      <c r="A385" s="52" t="s">
        <v>118</v>
      </c>
      <c r="B385" s="53">
        <v>6.0</v>
      </c>
      <c r="C385" s="52" t="s">
        <v>747</v>
      </c>
      <c r="D385" s="53">
        <v>610881.0</v>
      </c>
      <c r="E385" s="52" t="s">
        <v>167</v>
      </c>
      <c r="F385" s="52" t="s">
        <v>992</v>
      </c>
      <c r="G385" s="52" t="s">
        <v>993</v>
      </c>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c r="BS385" s="54"/>
      <c r="BT385" s="81"/>
      <c r="BU385" s="54"/>
      <c r="BV385" s="54"/>
      <c r="BW385" s="54"/>
      <c r="BX385" s="53">
        <v>1.0</v>
      </c>
      <c r="BY385" s="53" t="s">
        <v>123</v>
      </c>
      <c r="BZ385" s="87">
        <v>1.0</v>
      </c>
      <c r="CA385" s="72"/>
      <c r="CB385" s="82"/>
      <c r="CC385" s="31"/>
      <c r="CD385" s="58">
        <v>1.0</v>
      </c>
      <c r="CE385" s="83" t="s">
        <v>185</v>
      </c>
      <c r="CF385" s="60"/>
      <c r="CG385" s="61">
        <v>0.0</v>
      </c>
      <c r="CH385" s="84"/>
      <c r="CI385" s="63">
        <v>0.0</v>
      </c>
      <c r="CJ385" s="63">
        <v>0.0</v>
      </c>
      <c r="CK385" s="64">
        <v>0.0</v>
      </c>
      <c r="CL385" s="63">
        <v>0.0</v>
      </c>
      <c r="CM385" s="65">
        <v>0.0</v>
      </c>
      <c r="CN385" s="63">
        <v>0.0</v>
      </c>
      <c r="CO385" s="66">
        <v>0.0</v>
      </c>
      <c r="CP385" s="67">
        <v>0.0</v>
      </c>
      <c r="CQ385" s="63">
        <v>0.0</v>
      </c>
      <c r="CR385" s="63">
        <v>0.0</v>
      </c>
      <c r="CS385" s="63">
        <v>0.0</v>
      </c>
      <c r="CT385" s="68"/>
      <c r="CU385" s="69"/>
      <c r="CV385" s="70"/>
      <c r="CW385" s="71">
        <v>1.0</v>
      </c>
      <c r="CX385" s="71">
        <v>1.0</v>
      </c>
      <c r="CY385" s="71">
        <v>0.1</v>
      </c>
      <c r="CZ385" s="45"/>
      <c r="DA385" s="43"/>
      <c r="DB385" s="44">
        <v>0.0</v>
      </c>
      <c r="DC385" s="43"/>
      <c r="DD385" s="78"/>
      <c r="DE385" s="43"/>
      <c r="DF385" s="43"/>
      <c r="DG385" s="48" t="s">
        <v>128</v>
      </c>
      <c r="DH385" s="48" t="s">
        <v>131</v>
      </c>
      <c r="DI385" s="48" t="s">
        <v>574</v>
      </c>
      <c r="DJ385" s="49">
        <v>1.0</v>
      </c>
      <c r="DK385" s="48" t="b">
        <v>0</v>
      </c>
      <c r="DL385" s="111"/>
      <c r="DM385" s="111"/>
      <c r="DN385" s="111"/>
      <c r="DO385" s="51"/>
      <c r="DP385" s="48" t="s">
        <v>128</v>
      </c>
      <c r="DQ385" s="48" t="s">
        <v>576</v>
      </c>
      <c r="DR385" s="51"/>
      <c r="DS385" s="48" t="s">
        <v>134</v>
      </c>
    </row>
    <row r="386">
      <c r="A386" s="23" t="s">
        <v>118</v>
      </c>
      <c r="B386" s="24">
        <v>6.0</v>
      </c>
      <c r="C386" s="23" t="s">
        <v>747</v>
      </c>
      <c r="D386" s="24">
        <v>626041.0</v>
      </c>
      <c r="E386" s="23" t="s">
        <v>135</v>
      </c>
      <c r="F386" s="23" t="s">
        <v>994</v>
      </c>
      <c r="G386" s="23" t="s">
        <v>995</v>
      </c>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7"/>
      <c r="BU386" s="26"/>
      <c r="BV386" s="26"/>
      <c r="BW386" s="26"/>
      <c r="BX386" s="24">
        <v>1.0</v>
      </c>
      <c r="BY386" s="24" t="s">
        <v>123</v>
      </c>
      <c r="BZ386" s="87">
        <v>1.0</v>
      </c>
      <c r="CA386" s="72"/>
      <c r="CB386" s="82"/>
      <c r="CC386" s="31"/>
      <c r="CD386" s="28">
        <v>1.0</v>
      </c>
      <c r="CE386" s="88" t="s">
        <v>185</v>
      </c>
      <c r="CF386" s="33"/>
      <c r="CG386" s="34">
        <v>0.0</v>
      </c>
      <c r="CH386" s="89"/>
      <c r="CI386" s="36">
        <v>0.0</v>
      </c>
      <c r="CJ386" s="36">
        <v>0.0</v>
      </c>
      <c r="CK386" s="37">
        <v>0.0</v>
      </c>
      <c r="CL386" s="36">
        <v>0.0</v>
      </c>
      <c r="CM386" s="38">
        <v>0.0</v>
      </c>
      <c r="CN386" s="36">
        <v>0.0</v>
      </c>
      <c r="CO386" s="39">
        <v>0.0</v>
      </c>
      <c r="CP386" s="40">
        <v>0.0</v>
      </c>
      <c r="CQ386" s="36">
        <v>0.0</v>
      </c>
      <c r="CR386" s="36">
        <v>0.0</v>
      </c>
      <c r="CS386" s="36">
        <v>0.0</v>
      </c>
      <c r="CT386" s="41"/>
      <c r="CU386" s="42"/>
      <c r="CV386" s="43"/>
      <c r="CW386" s="44">
        <v>1.0</v>
      </c>
      <c r="CX386" s="44">
        <v>1.0</v>
      </c>
      <c r="CY386" s="44">
        <v>0.1</v>
      </c>
      <c r="CZ386" s="45"/>
      <c r="DA386" s="43"/>
      <c r="DB386" s="44">
        <v>0.0</v>
      </c>
      <c r="DC386" s="43"/>
      <c r="DD386" s="78"/>
      <c r="DE386" s="43"/>
      <c r="DF386" s="43"/>
      <c r="DG386" s="48" t="s">
        <v>128</v>
      </c>
      <c r="DH386" s="48" t="s">
        <v>131</v>
      </c>
      <c r="DI386" s="48" t="s">
        <v>574</v>
      </c>
      <c r="DJ386" s="49">
        <v>1.0</v>
      </c>
      <c r="DK386" s="48" t="b">
        <v>0</v>
      </c>
      <c r="DL386" s="111"/>
      <c r="DM386" s="111"/>
      <c r="DN386" s="111"/>
      <c r="DO386" s="51"/>
      <c r="DP386" s="51"/>
      <c r="DQ386" s="48" t="s">
        <v>576</v>
      </c>
      <c r="DR386" s="51"/>
      <c r="DS386" s="48" t="s">
        <v>134</v>
      </c>
    </row>
    <row r="387">
      <c r="A387" s="52" t="s">
        <v>118</v>
      </c>
      <c r="B387" s="53">
        <v>6.0</v>
      </c>
      <c r="C387" s="52" t="s">
        <v>747</v>
      </c>
      <c r="D387" s="53">
        <v>558730.0</v>
      </c>
      <c r="E387" s="52" t="s">
        <v>148</v>
      </c>
      <c r="F387" s="52" t="s">
        <v>996</v>
      </c>
      <c r="G387" s="52" t="s">
        <v>997</v>
      </c>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c r="BS387" s="54"/>
      <c r="BT387" s="81"/>
      <c r="BU387" s="54"/>
      <c r="BV387" s="54"/>
      <c r="BW387" s="54"/>
      <c r="BX387" s="53">
        <v>1.0</v>
      </c>
      <c r="BY387" s="53" t="s">
        <v>123</v>
      </c>
      <c r="BZ387" s="87">
        <v>1.0</v>
      </c>
      <c r="CA387" s="72"/>
      <c r="CB387" s="82"/>
      <c r="CC387" s="31"/>
      <c r="CD387" s="58">
        <v>1.0</v>
      </c>
      <c r="CE387" s="83" t="s">
        <v>185</v>
      </c>
      <c r="CF387" s="60"/>
      <c r="CG387" s="61">
        <v>0.0</v>
      </c>
      <c r="CH387" s="84"/>
      <c r="CI387" s="63">
        <v>0.0</v>
      </c>
      <c r="CJ387" s="63">
        <v>0.0</v>
      </c>
      <c r="CK387" s="64">
        <v>0.0</v>
      </c>
      <c r="CL387" s="63">
        <v>0.0</v>
      </c>
      <c r="CM387" s="65">
        <v>0.0</v>
      </c>
      <c r="CN387" s="63">
        <v>0.0</v>
      </c>
      <c r="CO387" s="66">
        <v>0.0</v>
      </c>
      <c r="CP387" s="67">
        <v>0.0</v>
      </c>
      <c r="CQ387" s="63">
        <v>0.0</v>
      </c>
      <c r="CR387" s="63">
        <v>0.0</v>
      </c>
      <c r="CS387" s="63">
        <v>0.0</v>
      </c>
      <c r="CT387" s="68"/>
      <c r="CU387" s="69"/>
      <c r="CV387" s="70"/>
      <c r="CW387" s="71">
        <v>1.0</v>
      </c>
      <c r="CX387" s="71">
        <v>1.0</v>
      </c>
      <c r="CY387" s="71">
        <v>0.1</v>
      </c>
      <c r="CZ387" s="45"/>
      <c r="DA387" s="43"/>
      <c r="DB387" s="44">
        <v>0.0</v>
      </c>
      <c r="DC387" s="43"/>
      <c r="DD387" s="78"/>
      <c r="DE387" s="43"/>
      <c r="DF387" s="43"/>
      <c r="DG387" s="48" t="s">
        <v>128</v>
      </c>
      <c r="DH387" s="48" t="s">
        <v>131</v>
      </c>
      <c r="DI387" s="48" t="s">
        <v>574</v>
      </c>
      <c r="DJ387" s="49">
        <v>1.0</v>
      </c>
      <c r="DK387" s="48" t="b">
        <v>0</v>
      </c>
      <c r="DL387" s="50" t="s">
        <v>977</v>
      </c>
      <c r="DM387" s="111"/>
      <c r="DN387" s="111"/>
      <c r="DO387" s="51"/>
      <c r="DP387" s="51"/>
      <c r="DQ387" s="48" t="s">
        <v>576</v>
      </c>
      <c r="DR387" s="51"/>
      <c r="DS387" s="48" t="s">
        <v>134</v>
      </c>
    </row>
    <row r="388">
      <c r="A388" s="23" t="s">
        <v>118</v>
      </c>
      <c r="B388" s="24">
        <v>6.0</v>
      </c>
      <c r="C388" s="23" t="s">
        <v>747</v>
      </c>
      <c r="D388" s="24">
        <v>576393.0</v>
      </c>
      <c r="E388" s="23" t="s">
        <v>164</v>
      </c>
      <c r="F388" s="23" t="s">
        <v>998</v>
      </c>
      <c r="G388" s="23" t="s">
        <v>999</v>
      </c>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7"/>
      <c r="BU388" s="26"/>
      <c r="BV388" s="26"/>
      <c r="BW388" s="26"/>
      <c r="BX388" s="24">
        <v>1.0</v>
      </c>
      <c r="BY388" s="24" t="s">
        <v>123</v>
      </c>
      <c r="BZ388" s="87">
        <v>1.0</v>
      </c>
      <c r="CA388" s="72"/>
      <c r="CB388" s="82"/>
      <c r="CC388" s="31"/>
      <c r="CD388" s="28">
        <v>1.0</v>
      </c>
      <c r="CE388" s="88" t="s">
        <v>185</v>
      </c>
      <c r="CF388" s="33"/>
      <c r="CG388" s="34">
        <v>0.0</v>
      </c>
      <c r="CH388" s="89"/>
      <c r="CI388" s="36">
        <v>0.0</v>
      </c>
      <c r="CJ388" s="36">
        <v>0.0</v>
      </c>
      <c r="CK388" s="37">
        <v>0.0</v>
      </c>
      <c r="CL388" s="36">
        <v>0.0</v>
      </c>
      <c r="CM388" s="38">
        <v>0.0</v>
      </c>
      <c r="CN388" s="36">
        <v>0.0</v>
      </c>
      <c r="CO388" s="39">
        <v>0.0</v>
      </c>
      <c r="CP388" s="40">
        <v>0.0</v>
      </c>
      <c r="CQ388" s="36">
        <v>0.0</v>
      </c>
      <c r="CR388" s="36">
        <v>0.0</v>
      </c>
      <c r="CS388" s="36">
        <v>0.0</v>
      </c>
      <c r="CT388" s="41"/>
      <c r="CU388" s="42"/>
      <c r="CV388" s="43"/>
      <c r="CW388" s="44">
        <v>1.0</v>
      </c>
      <c r="CX388" s="44">
        <v>1.0</v>
      </c>
      <c r="CY388" s="44">
        <v>0.1</v>
      </c>
      <c r="CZ388" s="45"/>
      <c r="DA388" s="43"/>
      <c r="DB388" s="44">
        <v>0.0</v>
      </c>
      <c r="DC388" s="43"/>
      <c r="DD388" s="78"/>
      <c r="DE388" s="43"/>
      <c r="DF388" s="43"/>
      <c r="DG388" s="48" t="s">
        <v>128</v>
      </c>
      <c r="DH388" s="48" t="s">
        <v>131</v>
      </c>
      <c r="DI388" s="48" t="s">
        <v>574</v>
      </c>
      <c r="DJ388" s="49">
        <v>1.0</v>
      </c>
      <c r="DK388" s="48" t="b">
        <v>0</v>
      </c>
      <c r="DL388" s="50" t="s">
        <v>977</v>
      </c>
      <c r="DM388" s="111"/>
      <c r="DN388" s="111"/>
      <c r="DO388" s="51"/>
      <c r="DP388" s="51"/>
      <c r="DQ388" s="48" t="s">
        <v>576</v>
      </c>
      <c r="DR388" s="51"/>
      <c r="DS388" s="48" t="s">
        <v>134</v>
      </c>
    </row>
    <row r="389">
      <c r="A389" s="52" t="s">
        <v>118</v>
      </c>
      <c r="B389" s="53">
        <v>6.0</v>
      </c>
      <c r="C389" s="52" t="s">
        <v>747</v>
      </c>
      <c r="D389" s="53">
        <v>626041.0</v>
      </c>
      <c r="E389" s="52" t="s">
        <v>135</v>
      </c>
      <c r="F389" s="52" t="s">
        <v>1000</v>
      </c>
      <c r="G389" s="52" t="s">
        <v>1001</v>
      </c>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c r="BS389" s="54"/>
      <c r="BT389" s="81"/>
      <c r="BU389" s="54"/>
      <c r="BV389" s="54"/>
      <c r="BW389" s="54"/>
      <c r="BX389" s="53">
        <v>1.0</v>
      </c>
      <c r="BY389" s="53" t="s">
        <v>123</v>
      </c>
      <c r="BZ389" s="87">
        <v>1.0</v>
      </c>
      <c r="CA389" s="72"/>
      <c r="CB389" s="82"/>
      <c r="CC389" s="31"/>
      <c r="CD389" s="58">
        <v>1.0</v>
      </c>
      <c r="CE389" s="83" t="s">
        <v>185</v>
      </c>
      <c r="CF389" s="60"/>
      <c r="CG389" s="61">
        <v>0.0</v>
      </c>
      <c r="CH389" s="84"/>
      <c r="CI389" s="63">
        <v>0.0</v>
      </c>
      <c r="CJ389" s="63">
        <v>0.0</v>
      </c>
      <c r="CK389" s="64">
        <v>0.0</v>
      </c>
      <c r="CL389" s="63">
        <v>0.0</v>
      </c>
      <c r="CM389" s="65">
        <v>0.0</v>
      </c>
      <c r="CN389" s="63">
        <v>0.0</v>
      </c>
      <c r="CO389" s="66">
        <v>0.0</v>
      </c>
      <c r="CP389" s="67">
        <v>0.0</v>
      </c>
      <c r="CQ389" s="63">
        <v>0.0</v>
      </c>
      <c r="CR389" s="63">
        <v>0.0</v>
      </c>
      <c r="CS389" s="63">
        <v>0.0</v>
      </c>
      <c r="CT389" s="68"/>
      <c r="CU389" s="69"/>
      <c r="CV389" s="70"/>
      <c r="CW389" s="71">
        <v>1.0</v>
      </c>
      <c r="CX389" s="71">
        <v>1.0</v>
      </c>
      <c r="CY389" s="71">
        <v>0.1</v>
      </c>
      <c r="CZ389" s="45"/>
      <c r="DA389" s="43"/>
      <c r="DB389" s="44">
        <v>0.0</v>
      </c>
      <c r="DC389" s="43"/>
      <c r="DD389" s="78"/>
      <c r="DE389" s="43"/>
      <c r="DF389" s="43"/>
      <c r="DG389" s="48" t="s">
        <v>128</v>
      </c>
      <c r="DH389" s="48" t="s">
        <v>131</v>
      </c>
      <c r="DI389" s="48" t="s">
        <v>574</v>
      </c>
      <c r="DJ389" s="49">
        <v>1.0</v>
      </c>
      <c r="DK389" s="48" t="b">
        <v>0</v>
      </c>
      <c r="DL389" s="50" t="s">
        <v>1002</v>
      </c>
      <c r="DM389" s="111"/>
      <c r="DN389" s="111"/>
      <c r="DO389" s="51"/>
      <c r="DP389" s="51"/>
      <c r="DQ389" s="48" t="s">
        <v>576</v>
      </c>
      <c r="DR389" s="51"/>
      <c r="DS389" s="48" t="s">
        <v>134</v>
      </c>
    </row>
    <row r="390">
      <c r="A390" s="23" t="s">
        <v>118</v>
      </c>
      <c r="B390" s="24">
        <v>6.0</v>
      </c>
      <c r="C390" s="23" t="s">
        <v>747</v>
      </c>
      <c r="D390" s="24">
        <v>627274.0</v>
      </c>
      <c r="E390" s="23" t="s">
        <v>173</v>
      </c>
      <c r="F390" s="23" t="s">
        <v>1003</v>
      </c>
      <c r="G390" s="23" t="s">
        <v>1004</v>
      </c>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7"/>
      <c r="BU390" s="26"/>
      <c r="BV390" s="26"/>
      <c r="BW390" s="26"/>
      <c r="BX390" s="24">
        <v>1.0</v>
      </c>
      <c r="BY390" s="24" t="s">
        <v>123</v>
      </c>
      <c r="BZ390" s="87">
        <v>1.0</v>
      </c>
      <c r="CA390" s="72"/>
      <c r="CB390" s="82"/>
      <c r="CC390" s="31"/>
      <c r="CD390" s="28">
        <v>1.0</v>
      </c>
      <c r="CE390" s="88" t="s">
        <v>185</v>
      </c>
      <c r="CF390" s="33"/>
      <c r="CG390" s="34">
        <v>0.0</v>
      </c>
      <c r="CH390" s="89"/>
      <c r="CI390" s="36">
        <v>0.0</v>
      </c>
      <c r="CJ390" s="36">
        <v>0.0</v>
      </c>
      <c r="CK390" s="37">
        <v>0.0</v>
      </c>
      <c r="CL390" s="36">
        <v>0.0</v>
      </c>
      <c r="CM390" s="38">
        <v>0.0</v>
      </c>
      <c r="CN390" s="36">
        <v>0.0</v>
      </c>
      <c r="CO390" s="39">
        <v>0.0</v>
      </c>
      <c r="CP390" s="40">
        <v>0.0</v>
      </c>
      <c r="CQ390" s="36">
        <v>0.0</v>
      </c>
      <c r="CR390" s="36">
        <v>0.0</v>
      </c>
      <c r="CS390" s="36">
        <v>0.0</v>
      </c>
      <c r="CT390" s="41"/>
      <c r="CU390" s="42"/>
      <c r="CV390" s="43"/>
      <c r="CW390" s="44">
        <v>1.0</v>
      </c>
      <c r="CX390" s="44">
        <v>1.0</v>
      </c>
      <c r="CY390" s="44">
        <v>0.1</v>
      </c>
      <c r="CZ390" s="45"/>
      <c r="DA390" s="43"/>
      <c r="DB390" s="44">
        <v>0.0</v>
      </c>
      <c r="DC390" s="43"/>
      <c r="DD390" s="78"/>
      <c r="DE390" s="43"/>
      <c r="DF390" s="43"/>
      <c r="DG390" s="48" t="s">
        <v>128</v>
      </c>
      <c r="DH390" s="48" t="s">
        <v>131</v>
      </c>
      <c r="DI390" s="48" t="s">
        <v>574</v>
      </c>
      <c r="DJ390" s="49">
        <v>1.0</v>
      </c>
      <c r="DK390" s="48" t="b">
        <v>0</v>
      </c>
      <c r="DL390" s="50" t="s">
        <v>977</v>
      </c>
      <c r="DM390" s="111"/>
      <c r="DN390" s="111"/>
      <c r="DO390" s="51"/>
      <c r="DP390" s="51"/>
      <c r="DQ390" s="48" t="s">
        <v>576</v>
      </c>
      <c r="DR390" s="51"/>
      <c r="DS390" s="48" t="s">
        <v>134</v>
      </c>
    </row>
    <row r="391">
      <c r="A391" s="52" t="s">
        <v>118</v>
      </c>
      <c r="B391" s="53">
        <v>6.0</v>
      </c>
      <c r="C391" s="52" t="s">
        <v>747</v>
      </c>
      <c r="D391" s="53">
        <v>631195.0</v>
      </c>
      <c r="E391" s="52" t="s">
        <v>140</v>
      </c>
      <c r="F391" s="52" t="s">
        <v>1005</v>
      </c>
      <c r="G391" s="52" t="s">
        <v>1006</v>
      </c>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c r="AL391" s="54"/>
      <c r="AM391" s="54"/>
      <c r="AN391" s="54"/>
      <c r="AO391" s="54"/>
      <c r="AP391" s="54"/>
      <c r="AQ391" s="54"/>
      <c r="AR391" s="54"/>
      <c r="AS391" s="54"/>
      <c r="AT391" s="54"/>
      <c r="AU391" s="54"/>
      <c r="AV391" s="54"/>
      <c r="AW391" s="54"/>
      <c r="AX391" s="54"/>
      <c r="AY391" s="54"/>
      <c r="AZ391" s="54"/>
      <c r="BA391" s="54"/>
      <c r="BB391" s="54"/>
      <c r="BC391" s="54"/>
      <c r="BD391" s="54"/>
      <c r="BE391" s="54"/>
      <c r="BF391" s="54"/>
      <c r="BG391" s="54"/>
      <c r="BH391" s="54"/>
      <c r="BI391" s="54"/>
      <c r="BJ391" s="54"/>
      <c r="BK391" s="54"/>
      <c r="BL391" s="54"/>
      <c r="BM391" s="54"/>
      <c r="BN391" s="54"/>
      <c r="BO391" s="54"/>
      <c r="BP391" s="54"/>
      <c r="BQ391" s="54"/>
      <c r="BR391" s="54"/>
      <c r="BS391" s="54"/>
      <c r="BT391" s="81"/>
      <c r="BU391" s="54"/>
      <c r="BV391" s="54"/>
      <c r="BW391" s="54"/>
      <c r="BX391" s="53">
        <v>1.0</v>
      </c>
      <c r="BY391" s="53" t="s">
        <v>123</v>
      </c>
      <c r="BZ391" s="87">
        <v>1.0</v>
      </c>
      <c r="CA391" s="72"/>
      <c r="CB391" s="82"/>
      <c r="CC391" s="31"/>
      <c r="CD391" s="58">
        <v>1.0</v>
      </c>
      <c r="CE391" s="83" t="s">
        <v>185</v>
      </c>
      <c r="CF391" s="60"/>
      <c r="CG391" s="61">
        <v>0.0</v>
      </c>
      <c r="CH391" s="84"/>
      <c r="CI391" s="63">
        <v>0.0</v>
      </c>
      <c r="CJ391" s="63">
        <v>0.0</v>
      </c>
      <c r="CK391" s="64">
        <v>0.0</v>
      </c>
      <c r="CL391" s="63">
        <v>0.0</v>
      </c>
      <c r="CM391" s="65">
        <v>0.0</v>
      </c>
      <c r="CN391" s="63">
        <v>0.0</v>
      </c>
      <c r="CO391" s="66">
        <v>0.0</v>
      </c>
      <c r="CP391" s="67">
        <v>0.0</v>
      </c>
      <c r="CQ391" s="63">
        <v>0.0</v>
      </c>
      <c r="CR391" s="63">
        <v>0.0</v>
      </c>
      <c r="CS391" s="63">
        <v>0.0</v>
      </c>
      <c r="CT391" s="68"/>
      <c r="CU391" s="69"/>
      <c r="CV391" s="70"/>
      <c r="CW391" s="71">
        <v>1.0</v>
      </c>
      <c r="CX391" s="71">
        <v>1.0</v>
      </c>
      <c r="CY391" s="71">
        <v>0.1</v>
      </c>
      <c r="CZ391" s="45"/>
      <c r="DA391" s="43"/>
      <c r="DB391" s="44">
        <v>0.0</v>
      </c>
      <c r="DC391" s="43"/>
      <c r="DD391" s="78"/>
      <c r="DE391" s="43"/>
      <c r="DF391" s="43"/>
      <c r="DG391" s="48" t="s">
        <v>128</v>
      </c>
      <c r="DH391" s="48" t="s">
        <v>131</v>
      </c>
      <c r="DI391" s="48" t="s">
        <v>574</v>
      </c>
      <c r="DJ391" s="49">
        <v>1.0</v>
      </c>
      <c r="DK391" s="48" t="b">
        <v>0</v>
      </c>
      <c r="DL391" s="50" t="s">
        <v>977</v>
      </c>
      <c r="DM391" s="111"/>
      <c r="DN391" s="111"/>
      <c r="DO391" s="51"/>
      <c r="DP391" s="51"/>
      <c r="DQ391" s="48" t="s">
        <v>576</v>
      </c>
      <c r="DR391" s="51"/>
      <c r="DS391" s="48" t="s">
        <v>134</v>
      </c>
    </row>
    <row r="392">
      <c r="A392" s="23" t="s">
        <v>118</v>
      </c>
      <c r="B392" s="24">
        <v>6.0</v>
      </c>
      <c r="C392" s="23" t="s">
        <v>747</v>
      </c>
      <c r="D392" s="24">
        <v>639495.0</v>
      </c>
      <c r="E392" s="23" t="s">
        <v>155</v>
      </c>
      <c r="F392" s="23" t="s">
        <v>1007</v>
      </c>
      <c r="G392" s="23" t="s">
        <v>1008</v>
      </c>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7"/>
      <c r="BU392" s="26"/>
      <c r="BV392" s="26"/>
      <c r="BW392" s="26"/>
      <c r="BX392" s="24">
        <v>1.0</v>
      </c>
      <c r="BY392" s="24" t="s">
        <v>123</v>
      </c>
      <c r="BZ392" s="87">
        <v>1.0</v>
      </c>
      <c r="CA392" s="72"/>
      <c r="CB392" s="82"/>
      <c r="CC392" s="31"/>
      <c r="CD392" s="28">
        <v>1.0</v>
      </c>
      <c r="CE392" s="88" t="s">
        <v>185</v>
      </c>
      <c r="CF392" s="33"/>
      <c r="CG392" s="34">
        <v>0.0</v>
      </c>
      <c r="CH392" s="89"/>
      <c r="CI392" s="36">
        <v>0.0</v>
      </c>
      <c r="CJ392" s="36">
        <v>0.0</v>
      </c>
      <c r="CK392" s="37">
        <v>0.0</v>
      </c>
      <c r="CL392" s="36">
        <v>0.0</v>
      </c>
      <c r="CM392" s="38">
        <v>0.0</v>
      </c>
      <c r="CN392" s="36">
        <v>0.0</v>
      </c>
      <c r="CO392" s="39">
        <v>0.0</v>
      </c>
      <c r="CP392" s="40">
        <v>0.0</v>
      </c>
      <c r="CQ392" s="36">
        <v>0.0</v>
      </c>
      <c r="CR392" s="36">
        <v>0.0</v>
      </c>
      <c r="CS392" s="36">
        <v>0.0</v>
      </c>
      <c r="CT392" s="41"/>
      <c r="CU392" s="42"/>
      <c r="CV392" s="43"/>
      <c r="CW392" s="44">
        <v>1.0</v>
      </c>
      <c r="CX392" s="44">
        <v>1.0</v>
      </c>
      <c r="CY392" s="44">
        <v>0.1</v>
      </c>
      <c r="CZ392" s="45"/>
      <c r="DA392" s="43"/>
      <c r="DB392" s="44">
        <v>0.0</v>
      </c>
      <c r="DC392" s="43"/>
      <c r="DD392" s="78"/>
      <c r="DE392" s="43"/>
      <c r="DF392" s="43"/>
      <c r="DG392" s="48" t="s">
        <v>128</v>
      </c>
      <c r="DH392" s="48" t="s">
        <v>131</v>
      </c>
      <c r="DI392" s="48" t="s">
        <v>574</v>
      </c>
      <c r="DJ392" s="49">
        <v>1.0</v>
      </c>
      <c r="DK392" s="48" t="b">
        <v>0</v>
      </c>
      <c r="DL392" s="50" t="s">
        <v>977</v>
      </c>
      <c r="DM392" s="111"/>
      <c r="DN392" s="111"/>
      <c r="DO392" s="51"/>
      <c r="DP392" s="51"/>
      <c r="DQ392" s="48" t="s">
        <v>576</v>
      </c>
      <c r="DR392" s="51"/>
      <c r="DS392" s="48" t="s">
        <v>134</v>
      </c>
    </row>
    <row r="393">
      <c r="A393" s="52" t="s">
        <v>118</v>
      </c>
      <c r="B393" s="53">
        <v>6.0</v>
      </c>
      <c r="C393" s="52" t="s">
        <v>747</v>
      </c>
      <c r="D393" s="53">
        <v>604008.0</v>
      </c>
      <c r="E393" s="52" t="s">
        <v>176</v>
      </c>
      <c r="F393" s="52" t="s">
        <v>1009</v>
      </c>
      <c r="G393" s="52" t="s">
        <v>1010</v>
      </c>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c r="AZ393" s="54"/>
      <c r="BA393" s="54"/>
      <c r="BB393" s="54"/>
      <c r="BC393" s="54"/>
      <c r="BD393" s="54"/>
      <c r="BE393" s="54"/>
      <c r="BF393" s="54"/>
      <c r="BG393" s="54"/>
      <c r="BH393" s="54"/>
      <c r="BI393" s="54"/>
      <c r="BJ393" s="54"/>
      <c r="BK393" s="54"/>
      <c r="BL393" s="54"/>
      <c r="BM393" s="54"/>
      <c r="BN393" s="54"/>
      <c r="BO393" s="54"/>
      <c r="BP393" s="54"/>
      <c r="BQ393" s="54"/>
      <c r="BR393" s="54"/>
      <c r="BS393" s="54"/>
      <c r="BT393" s="81"/>
      <c r="BU393" s="54"/>
      <c r="BV393" s="54"/>
      <c r="BW393" s="54"/>
      <c r="BX393" s="53">
        <v>1.0</v>
      </c>
      <c r="BY393" s="53" t="s">
        <v>123</v>
      </c>
      <c r="BZ393" s="87">
        <v>1.0</v>
      </c>
      <c r="CA393" s="72"/>
      <c r="CB393" s="82"/>
      <c r="CC393" s="31"/>
      <c r="CD393" s="58">
        <v>1.0</v>
      </c>
      <c r="CE393" s="83" t="s">
        <v>185</v>
      </c>
      <c r="CF393" s="60"/>
      <c r="CG393" s="61">
        <v>0.0</v>
      </c>
      <c r="CH393" s="84"/>
      <c r="CI393" s="63">
        <v>0.0</v>
      </c>
      <c r="CJ393" s="63">
        <v>0.0</v>
      </c>
      <c r="CK393" s="64">
        <v>0.0</v>
      </c>
      <c r="CL393" s="63">
        <v>0.0</v>
      </c>
      <c r="CM393" s="65">
        <v>0.0</v>
      </c>
      <c r="CN393" s="63">
        <v>0.0</v>
      </c>
      <c r="CO393" s="66">
        <v>0.0</v>
      </c>
      <c r="CP393" s="67">
        <v>0.0</v>
      </c>
      <c r="CQ393" s="63">
        <v>0.0</v>
      </c>
      <c r="CR393" s="63">
        <v>0.0</v>
      </c>
      <c r="CS393" s="63">
        <v>0.0</v>
      </c>
      <c r="CT393" s="68"/>
      <c r="CU393" s="69"/>
      <c r="CV393" s="70"/>
      <c r="CW393" s="71">
        <v>1.0</v>
      </c>
      <c r="CX393" s="71">
        <v>1.0</v>
      </c>
      <c r="CY393" s="71">
        <v>0.1</v>
      </c>
      <c r="CZ393" s="45"/>
      <c r="DA393" s="43"/>
      <c r="DB393" s="44">
        <v>0.0</v>
      </c>
      <c r="DC393" s="43"/>
      <c r="DD393" s="78"/>
      <c r="DE393" s="43"/>
      <c r="DF393" s="43"/>
      <c r="DG393" s="48" t="s">
        <v>128</v>
      </c>
      <c r="DH393" s="48" t="s">
        <v>131</v>
      </c>
      <c r="DI393" s="48" t="s">
        <v>574</v>
      </c>
      <c r="DJ393" s="49">
        <v>1.0</v>
      </c>
      <c r="DK393" s="48" t="b">
        <v>0</v>
      </c>
      <c r="DL393" s="50" t="s">
        <v>977</v>
      </c>
      <c r="DM393" s="111"/>
      <c r="DN393" s="111"/>
      <c r="DO393" s="51"/>
      <c r="DP393" s="51"/>
      <c r="DQ393" s="48" t="s">
        <v>576</v>
      </c>
      <c r="DR393" s="51"/>
      <c r="DS393" s="48" t="s">
        <v>134</v>
      </c>
    </row>
    <row r="394">
      <c r="A394" s="23" t="s">
        <v>118</v>
      </c>
      <c r="B394" s="24">
        <v>6.0</v>
      </c>
      <c r="C394" s="23" t="s">
        <v>747</v>
      </c>
      <c r="D394" s="24">
        <v>588071.0</v>
      </c>
      <c r="E394" s="23" t="s">
        <v>152</v>
      </c>
      <c r="F394" s="23" t="s">
        <v>1011</v>
      </c>
      <c r="G394" s="23" t="s">
        <v>1012</v>
      </c>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7"/>
      <c r="BU394" s="26"/>
      <c r="BV394" s="26"/>
      <c r="BW394" s="26"/>
      <c r="BX394" s="24">
        <v>1.0</v>
      </c>
      <c r="BY394" s="24" t="s">
        <v>123</v>
      </c>
      <c r="BZ394" s="87">
        <v>1.0</v>
      </c>
      <c r="CA394" s="72"/>
      <c r="CB394" s="82"/>
      <c r="CC394" s="31"/>
      <c r="CD394" s="28">
        <v>1.0</v>
      </c>
      <c r="CE394" s="88" t="s">
        <v>185</v>
      </c>
      <c r="CF394" s="33"/>
      <c r="CG394" s="34">
        <v>0.0</v>
      </c>
      <c r="CH394" s="89"/>
      <c r="CI394" s="36">
        <v>0.0</v>
      </c>
      <c r="CJ394" s="36">
        <v>0.0</v>
      </c>
      <c r="CK394" s="37">
        <v>0.0</v>
      </c>
      <c r="CL394" s="36">
        <v>0.0</v>
      </c>
      <c r="CM394" s="38">
        <v>0.0</v>
      </c>
      <c r="CN394" s="36">
        <v>0.0</v>
      </c>
      <c r="CO394" s="39">
        <v>0.0</v>
      </c>
      <c r="CP394" s="40">
        <v>0.0</v>
      </c>
      <c r="CQ394" s="36">
        <v>0.0</v>
      </c>
      <c r="CR394" s="36">
        <v>0.0</v>
      </c>
      <c r="CS394" s="36">
        <v>0.0</v>
      </c>
      <c r="CT394" s="41"/>
      <c r="CU394" s="42"/>
      <c r="CV394" s="43"/>
      <c r="CW394" s="44">
        <v>1.0</v>
      </c>
      <c r="CX394" s="44">
        <v>1.0</v>
      </c>
      <c r="CY394" s="44">
        <v>0.1</v>
      </c>
      <c r="CZ394" s="45"/>
      <c r="DA394" s="43"/>
      <c r="DB394" s="44">
        <v>0.0</v>
      </c>
      <c r="DC394" s="43"/>
      <c r="DD394" s="78"/>
      <c r="DE394" s="43"/>
      <c r="DF394" s="43"/>
      <c r="DG394" s="48" t="s">
        <v>128</v>
      </c>
      <c r="DH394" s="48" t="s">
        <v>131</v>
      </c>
      <c r="DI394" s="48" t="s">
        <v>574</v>
      </c>
      <c r="DJ394" s="49">
        <v>1.0</v>
      </c>
      <c r="DK394" s="48" t="b">
        <v>0</v>
      </c>
      <c r="DL394" s="50" t="s">
        <v>977</v>
      </c>
      <c r="DM394" s="111"/>
      <c r="DN394" s="111"/>
      <c r="DO394" s="51"/>
      <c r="DP394" s="51"/>
      <c r="DQ394" s="48" t="s">
        <v>576</v>
      </c>
      <c r="DR394" s="51"/>
      <c r="DS394" s="48" t="s">
        <v>134</v>
      </c>
    </row>
    <row r="395">
      <c r="A395" s="52" t="s">
        <v>118</v>
      </c>
      <c r="B395" s="53">
        <v>6.0</v>
      </c>
      <c r="C395" s="52" t="s">
        <v>747</v>
      </c>
      <c r="D395" s="53">
        <v>648803.0</v>
      </c>
      <c r="E395" s="52" t="s">
        <v>189</v>
      </c>
      <c r="F395" s="52" t="s">
        <v>1013</v>
      </c>
      <c r="G395" s="52" t="s">
        <v>1014</v>
      </c>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c r="BS395" s="54"/>
      <c r="BT395" s="81"/>
      <c r="BU395" s="54"/>
      <c r="BV395" s="54"/>
      <c r="BW395" s="54"/>
      <c r="BX395" s="53">
        <v>1.0</v>
      </c>
      <c r="BY395" s="52" t="s">
        <v>123</v>
      </c>
      <c r="BZ395" s="87">
        <v>1.0</v>
      </c>
      <c r="CA395" s="72"/>
      <c r="CB395" s="82"/>
      <c r="CC395" s="31"/>
      <c r="CD395" s="58">
        <v>1.0</v>
      </c>
      <c r="CE395" s="83" t="s">
        <v>185</v>
      </c>
      <c r="CF395" s="60"/>
      <c r="CG395" s="61">
        <v>0.0</v>
      </c>
      <c r="CH395" s="84"/>
      <c r="CI395" s="63">
        <v>0.0</v>
      </c>
      <c r="CJ395" s="63">
        <v>0.0</v>
      </c>
      <c r="CK395" s="64">
        <v>0.0</v>
      </c>
      <c r="CL395" s="63">
        <v>0.0</v>
      </c>
      <c r="CM395" s="65">
        <v>0.0</v>
      </c>
      <c r="CN395" s="63">
        <v>0.0</v>
      </c>
      <c r="CO395" s="66">
        <v>0.0</v>
      </c>
      <c r="CP395" s="67">
        <v>0.0</v>
      </c>
      <c r="CQ395" s="63">
        <v>0.0</v>
      </c>
      <c r="CR395" s="63">
        <v>0.0</v>
      </c>
      <c r="CS395" s="63">
        <v>0.0</v>
      </c>
      <c r="CT395" s="68"/>
      <c r="CU395" s="69"/>
      <c r="CV395" s="70"/>
      <c r="CW395" s="71">
        <v>1.0</v>
      </c>
      <c r="CX395" s="71">
        <v>1.0</v>
      </c>
      <c r="CY395" s="71">
        <v>0.1</v>
      </c>
      <c r="CZ395" s="45"/>
      <c r="DA395" s="43"/>
      <c r="DB395" s="44">
        <v>0.0</v>
      </c>
      <c r="DC395" s="43"/>
      <c r="DD395" s="78"/>
      <c r="DE395" s="43"/>
      <c r="DF395" s="43"/>
      <c r="DG395" s="48" t="s">
        <v>128</v>
      </c>
      <c r="DH395" s="48" t="s">
        <v>131</v>
      </c>
      <c r="DI395" s="48" t="s">
        <v>574</v>
      </c>
      <c r="DJ395" s="49">
        <v>1.0</v>
      </c>
      <c r="DK395" s="48" t="b">
        <v>0</v>
      </c>
      <c r="DL395" s="111"/>
      <c r="DM395" s="111"/>
      <c r="DN395" s="111"/>
      <c r="DO395" s="51"/>
      <c r="DP395" s="51"/>
      <c r="DQ395" s="48" t="s">
        <v>576</v>
      </c>
      <c r="DR395" s="51"/>
      <c r="DS395" s="48" t="s">
        <v>134</v>
      </c>
    </row>
    <row r="396">
      <c r="A396" s="23" t="s">
        <v>118</v>
      </c>
      <c r="B396" s="24">
        <v>6.0</v>
      </c>
      <c r="C396" s="23" t="s">
        <v>747</v>
      </c>
      <c r="D396" s="24">
        <v>648806.0</v>
      </c>
      <c r="E396" s="23" t="s">
        <v>179</v>
      </c>
      <c r="F396" s="23" t="s">
        <v>1015</v>
      </c>
      <c r="G396" s="23" t="s">
        <v>1016</v>
      </c>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7"/>
      <c r="BU396" s="26"/>
      <c r="BV396" s="26"/>
      <c r="BW396" s="26"/>
      <c r="BX396" s="24">
        <v>1.0</v>
      </c>
      <c r="BY396" s="24" t="s">
        <v>123</v>
      </c>
      <c r="BZ396" s="87">
        <v>1.0</v>
      </c>
      <c r="CA396" s="72"/>
      <c r="CB396" s="82"/>
      <c r="CC396" s="31"/>
      <c r="CD396" s="28">
        <v>1.0</v>
      </c>
      <c r="CE396" s="88" t="s">
        <v>185</v>
      </c>
      <c r="CF396" s="33"/>
      <c r="CG396" s="34">
        <v>0.0</v>
      </c>
      <c r="CH396" s="89"/>
      <c r="CI396" s="36">
        <v>0.0</v>
      </c>
      <c r="CJ396" s="36">
        <v>0.0</v>
      </c>
      <c r="CK396" s="37">
        <v>0.0</v>
      </c>
      <c r="CL396" s="36">
        <v>0.0</v>
      </c>
      <c r="CM396" s="38">
        <v>0.0</v>
      </c>
      <c r="CN396" s="36">
        <v>0.0</v>
      </c>
      <c r="CO396" s="39">
        <v>0.0</v>
      </c>
      <c r="CP396" s="40">
        <v>0.0</v>
      </c>
      <c r="CQ396" s="36">
        <v>0.0</v>
      </c>
      <c r="CR396" s="36">
        <v>0.0</v>
      </c>
      <c r="CS396" s="36">
        <v>0.0</v>
      </c>
      <c r="CT396" s="41"/>
      <c r="CU396" s="42"/>
      <c r="CV396" s="43"/>
      <c r="CW396" s="44">
        <v>1.0</v>
      </c>
      <c r="CX396" s="44">
        <v>1.0</v>
      </c>
      <c r="CY396" s="44">
        <v>0.1</v>
      </c>
      <c r="CZ396" s="45"/>
      <c r="DA396" s="43"/>
      <c r="DB396" s="44">
        <v>0.0</v>
      </c>
      <c r="DC396" s="43"/>
      <c r="DD396" s="78"/>
      <c r="DE396" s="43"/>
      <c r="DF396" s="43"/>
      <c r="DG396" s="48" t="s">
        <v>128</v>
      </c>
      <c r="DH396" s="48" t="s">
        <v>131</v>
      </c>
      <c r="DI396" s="48" t="s">
        <v>574</v>
      </c>
      <c r="DJ396" s="49">
        <v>1.0</v>
      </c>
      <c r="DK396" s="48" t="b">
        <v>0</v>
      </c>
      <c r="DL396" s="50" t="s">
        <v>977</v>
      </c>
      <c r="DM396" s="111"/>
      <c r="DN396" s="111"/>
      <c r="DO396" s="51"/>
      <c r="DP396" s="51"/>
      <c r="DQ396" s="48" t="s">
        <v>576</v>
      </c>
      <c r="DR396" s="51"/>
      <c r="DS396" s="48" t="s">
        <v>134</v>
      </c>
    </row>
    <row r="397">
      <c r="A397" s="52" t="s">
        <v>118</v>
      </c>
      <c r="B397" s="53">
        <v>6.0</v>
      </c>
      <c r="C397" s="52" t="s">
        <v>747</v>
      </c>
      <c r="D397" s="53">
        <v>626041.0</v>
      </c>
      <c r="E397" s="52" t="s">
        <v>135</v>
      </c>
      <c r="F397" s="52" t="s">
        <v>1017</v>
      </c>
      <c r="G397" s="52" t="s">
        <v>1018</v>
      </c>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4"/>
      <c r="BG397" s="54"/>
      <c r="BH397" s="54"/>
      <c r="BI397" s="54"/>
      <c r="BJ397" s="54"/>
      <c r="BK397" s="54"/>
      <c r="BL397" s="54"/>
      <c r="BM397" s="54"/>
      <c r="BN397" s="54"/>
      <c r="BO397" s="54"/>
      <c r="BP397" s="54"/>
      <c r="BQ397" s="54"/>
      <c r="BR397" s="54"/>
      <c r="BS397" s="54"/>
      <c r="BT397" s="81"/>
      <c r="BU397" s="54"/>
      <c r="BV397" s="54"/>
      <c r="BW397" s="54"/>
      <c r="BX397" s="53">
        <v>1.0</v>
      </c>
      <c r="BY397" s="53" t="s">
        <v>123</v>
      </c>
      <c r="BZ397" s="87">
        <v>1.0</v>
      </c>
      <c r="CA397" s="72"/>
      <c r="CB397" s="82"/>
      <c r="CC397" s="31"/>
      <c r="CD397" s="58">
        <v>1.0</v>
      </c>
      <c r="CE397" s="83" t="s">
        <v>185</v>
      </c>
      <c r="CF397" s="60"/>
      <c r="CG397" s="61">
        <v>0.0</v>
      </c>
      <c r="CH397" s="84"/>
      <c r="CI397" s="63">
        <v>0.0</v>
      </c>
      <c r="CJ397" s="63">
        <v>0.0</v>
      </c>
      <c r="CK397" s="64">
        <v>0.0</v>
      </c>
      <c r="CL397" s="63">
        <v>0.0</v>
      </c>
      <c r="CM397" s="65">
        <v>0.0</v>
      </c>
      <c r="CN397" s="63">
        <v>0.0</v>
      </c>
      <c r="CO397" s="66">
        <v>0.0</v>
      </c>
      <c r="CP397" s="67">
        <v>0.0</v>
      </c>
      <c r="CQ397" s="63">
        <v>0.0</v>
      </c>
      <c r="CR397" s="63">
        <v>0.0</v>
      </c>
      <c r="CS397" s="63">
        <v>0.0</v>
      </c>
      <c r="CT397" s="68"/>
      <c r="CU397" s="69"/>
      <c r="CV397" s="70"/>
      <c r="CW397" s="71">
        <v>1.0</v>
      </c>
      <c r="CX397" s="71">
        <v>1.0</v>
      </c>
      <c r="CY397" s="71">
        <v>0.1</v>
      </c>
      <c r="CZ397" s="45"/>
      <c r="DA397" s="43"/>
      <c r="DB397" s="44">
        <v>0.0</v>
      </c>
      <c r="DC397" s="43"/>
      <c r="DD397" s="78"/>
      <c r="DE397" s="43"/>
      <c r="DF397" s="43"/>
      <c r="DG397" s="48" t="s">
        <v>128</v>
      </c>
      <c r="DH397" s="48" t="s">
        <v>131</v>
      </c>
      <c r="DI397" s="48" t="s">
        <v>574</v>
      </c>
      <c r="DJ397" s="49">
        <v>1.0</v>
      </c>
      <c r="DK397" s="48" t="b">
        <v>0</v>
      </c>
      <c r="DL397" s="50" t="s">
        <v>977</v>
      </c>
      <c r="DM397" s="111"/>
      <c r="DN397" s="111"/>
      <c r="DO397" s="51"/>
      <c r="DP397" s="51"/>
      <c r="DQ397" s="48" t="s">
        <v>576</v>
      </c>
      <c r="DR397" s="51"/>
      <c r="DS397" s="48" t="s">
        <v>134</v>
      </c>
    </row>
    <row r="398">
      <c r="A398" s="23" t="s">
        <v>118</v>
      </c>
      <c r="B398" s="24">
        <v>6.0</v>
      </c>
      <c r="C398" s="23" t="s">
        <v>747</v>
      </c>
      <c r="D398" s="24">
        <v>610881.0</v>
      </c>
      <c r="E398" s="23" t="s">
        <v>167</v>
      </c>
      <c r="F398" s="23" t="s">
        <v>1019</v>
      </c>
      <c r="G398" s="23" t="s">
        <v>1020</v>
      </c>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7"/>
      <c r="BU398" s="26"/>
      <c r="BV398" s="26"/>
      <c r="BW398" s="26"/>
      <c r="BX398" s="24">
        <v>1.0</v>
      </c>
      <c r="BY398" s="24" t="s">
        <v>123</v>
      </c>
      <c r="BZ398" s="87">
        <v>1.0</v>
      </c>
      <c r="CA398" s="72"/>
      <c r="CB398" s="82"/>
      <c r="CC398" s="31"/>
      <c r="CD398" s="28">
        <v>1.0</v>
      </c>
      <c r="CE398" s="88" t="s">
        <v>185</v>
      </c>
      <c r="CF398" s="33"/>
      <c r="CG398" s="34">
        <v>0.0</v>
      </c>
      <c r="CH398" s="89"/>
      <c r="CI398" s="36">
        <v>0.0</v>
      </c>
      <c r="CJ398" s="36">
        <v>0.0</v>
      </c>
      <c r="CK398" s="37">
        <v>0.0</v>
      </c>
      <c r="CL398" s="36">
        <v>0.0</v>
      </c>
      <c r="CM398" s="38">
        <v>0.0</v>
      </c>
      <c r="CN398" s="36">
        <v>0.0</v>
      </c>
      <c r="CO398" s="39">
        <v>0.0</v>
      </c>
      <c r="CP398" s="40">
        <v>0.0</v>
      </c>
      <c r="CQ398" s="36">
        <v>0.0</v>
      </c>
      <c r="CR398" s="36">
        <v>0.0</v>
      </c>
      <c r="CS398" s="36">
        <v>0.0</v>
      </c>
      <c r="CT398" s="41"/>
      <c r="CU398" s="42"/>
      <c r="CV398" s="43"/>
      <c r="CW398" s="44">
        <v>1.0</v>
      </c>
      <c r="CX398" s="44">
        <v>1.0</v>
      </c>
      <c r="CY398" s="44">
        <v>0.1</v>
      </c>
      <c r="CZ398" s="45"/>
      <c r="DA398" s="43"/>
      <c r="DB398" s="44">
        <v>0.0</v>
      </c>
      <c r="DC398" s="43"/>
      <c r="DD398" s="78"/>
      <c r="DE398" s="43"/>
      <c r="DF398" s="43"/>
      <c r="DG398" s="48" t="s">
        <v>128</v>
      </c>
      <c r="DH398" s="48" t="s">
        <v>131</v>
      </c>
      <c r="DI398" s="48" t="s">
        <v>574</v>
      </c>
      <c r="DJ398" s="49">
        <v>1.0</v>
      </c>
      <c r="DK398" s="48" t="b">
        <v>0</v>
      </c>
      <c r="DL398" s="50" t="s">
        <v>977</v>
      </c>
      <c r="DM398" s="111"/>
      <c r="DN398" s="111"/>
      <c r="DO398" s="51"/>
      <c r="DP398" s="48" t="s">
        <v>128</v>
      </c>
      <c r="DQ398" s="48" t="s">
        <v>576</v>
      </c>
      <c r="DR398" s="51"/>
      <c r="DS398" s="48" t="s">
        <v>134</v>
      </c>
    </row>
    <row r="399">
      <c r="A399" s="52" t="s">
        <v>118</v>
      </c>
      <c r="B399" s="53">
        <v>6.0</v>
      </c>
      <c r="C399" s="52" t="s">
        <v>747</v>
      </c>
      <c r="D399" s="53">
        <v>639495.0</v>
      </c>
      <c r="E399" s="52" t="s">
        <v>155</v>
      </c>
      <c r="F399" s="52" t="s">
        <v>1021</v>
      </c>
      <c r="G399" s="52" t="s">
        <v>1022</v>
      </c>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c r="BS399" s="54"/>
      <c r="BT399" s="81"/>
      <c r="BU399" s="54"/>
      <c r="BV399" s="54"/>
      <c r="BW399" s="54"/>
      <c r="BX399" s="53">
        <v>1.0</v>
      </c>
      <c r="BY399" s="53" t="s">
        <v>123</v>
      </c>
      <c r="BZ399" s="87">
        <v>1.0</v>
      </c>
      <c r="CA399" s="72"/>
      <c r="CB399" s="82"/>
      <c r="CC399" s="31"/>
      <c r="CD399" s="58">
        <v>1.0</v>
      </c>
      <c r="CE399" s="83" t="s">
        <v>185</v>
      </c>
      <c r="CF399" s="60"/>
      <c r="CG399" s="61">
        <v>0.0</v>
      </c>
      <c r="CH399" s="84"/>
      <c r="CI399" s="63">
        <v>0.0</v>
      </c>
      <c r="CJ399" s="63">
        <v>0.0</v>
      </c>
      <c r="CK399" s="64">
        <v>0.0</v>
      </c>
      <c r="CL399" s="63">
        <v>0.0</v>
      </c>
      <c r="CM399" s="65">
        <v>0.0</v>
      </c>
      <c r="CN399" s="63">
        <v>0.0</v>
      </c>
      <c r="CO399" s="66">
        <v>0.0</v>
      </c>
      <c r="CP399" s="67">
        <v>0.0</v>
      </c>
      <c r="CQ399" s="63">
        <v>0.0</v>
      </c>
      <c r="CR399" s="63">
        <v>0.0</v>
      </c>
      <c r="CS399" s="63">
        <v>0.0</v>
      </c>
      <c r="CT399" s="68"/>
      <c r="CU399" s="69"/>
      <c r="CV399" s="70"/>
      <c r="CW399" s="71">
        <v>1.0</v>
      </c>
      <c r="CX399" s="71">
        <v>1.0</v>
      </c>
      <c r="CY399" s="71">
        <v>0.1</v>
      </c>
      <c r="CZ399" s="45"/>
      <c r="DA399" s="43"/>
      <c r="DB399" s="44">
        <v>0.0</v>
      </c>
      <c r="DC399" s="43"/>
      <c r="DD399" s="78"/>
      <c r="DE399" s="43"/>
      <c r="DF399" s="43"/>
      <c r="DG399" s="48" t="s">
        <v>128</v>
      </c>
      <c r="DH399" s="48" t="s">
        <v>131</v>
      </c>
      <c r="DI399" s="48" t="s">
        <v>574</v>
      </c>
      <c r="DJ399" s="49">
        <v>1.0</v>
      </c>
      <c r="DK399" s="48" t="b">
        <v>0</v>
      </c>
      <c r="DL399" s="111"/>
      <c r="DM399" s="111"/>
      <c r="DN399" s="111"/>
      <c r="DO399" s="51"/>
      <c r="DP399" s="51"/>
      <c r="DQ399" s="48" t="s">
        <v>576</v>
      </c>
      <c r="DR399" s="51"/>
      <c r="DS399" s="48" t="s">
        <v>134</v>
      </c>
    </row>
    <row r="400">
      <c r="A400" s="23" t="s">
        <v>118</v>
      </c>
      <c r="B400" s="24">
        <v>6.0</v>
      </c>
      <c r="C400" s="23" t="s">
        <v>747</v>
      </c>
      <c r="D400" s="24">
        <v>626041.0</v>
      </c>
      <c r="E400" s="23" t="s">
        <v>135</v>
      </c>
      <c r="F400" s="23" t="s">
        <v>1023</v>
      </c>
      <c r="G400" s="23" t="s">
        <v>1018</v>
      </c>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7"/>
      <c r="BU400" s="26"/>
      <c r="BV400" s="26"/>
      <c r="BW400" s="26"/>
      <c r="BX400" s="24">
        <v>1.0</v>
      </c>
      <c r="BY400" s="24" t="s">
        <v>123</v>
      </c>
      <c r="BZ400" s="87">
        <v>1.0</v>
      </c>
      <c r="CA400" s="72"/>
      <c r="CB400" s="82"/>
      <c r="CC400" s="31"/>
      <c r="CD400" s="28">
        <v>1.0</v>
      </c>
      <c r="CE400" s="88" t="s">
        <v>185</v>
      </c>
      <c r="CF400" s="33"/>
      <c r="CG400" s="34">
        <v>0.0</v>
      </c>
      <c r="CH400" s="89"/>
      <c r="CI400" s="36">
        <v>0.0</v>
      </c>
      <c r="CJ400" s="36">
        <v>0.0</v>
      </c>
      <c r="CK400" s="37">
        <v>0.0</v>
      </c>
      <c r="CL400" s="36">
        <v>0.0</v>
      </c>
      <c r="CM400" s="38">
        <v>0.0</v>
      </c>
      <c r="CN400" s="36">
        <v>0.0</v>
      </c>
      <c r="CO400" s="39">
        <v>0.0</v>
      </c>
      <c r="CP400" s="40">
        <v>0.0</v>
      </c>
      <c r="CQ400" s="36">
        <v>0.0</v>
      </c>
      <c r="CR400" s="36">
        <v>0.0</v>
      </c>
      <c r="CS400" s="36">
        <v>0.0</v>
      </c>
      <c r="CT400" s="41"/>
      <c r="CU400" s="42"/>
      <c r="CV400" s="43"/>
      <c r="CW400" s="44">
        <v>1.0</v>
      </c>
      <c r="CX400" s="44">
        <v>1.0</v>
      </c>
      <c r="CY400" s="44">
        <v>0.1</v>
      </c>
      <c r="CZ400" s="45"/>
      <c r="DA400" s="43"/>
      <c r="DB400" s="44">
        <v>0.0</v>
      </c>
      <c r="DC400" s="43"/>
      <c r="DD400" s="78"/>
      <c r="DE400" s="43"/>
      <c r="DF400" s="43"/>
      <c r="DG400" s="48" t="s">
        <v>128</v>
      </c>
      <c r="DH400" s="48" t="s">
        <v>131</v>
      </c>
      <c r="DI400" s="48" t="s">
        <v>574</v>
      </c>
      <c r="DJ400" s="49">
        <v>1.0</v>
      </c>
      <c r="DK400" s="48" t="b">
        <v>0</v>
      </c>
      <c r="DL400" s="50" t="s">
        <v>977</v>
      </c>
      <c r="DM400" s="111"/>
      <c r="DN400" s="111"/>
      <c r="DO400" s="51"/>
      <c r="DP400" s="51"/>
      <c r="DQ400" s="48" t="s">
        <v>576</v>
      </c>
      <c r="DR400" s="51"/>
      <c r="DS400" s="48" t="s">
        <v>134</v>
      </c>
    </row>
    <row r="401">
      <c r="A401" s="52" t="s">
        <v>118</v>
      </c>
      <c r="B401" s="53">
        <v>6.0</v>
      </c>
      <c r="C401" s="52" t="s">
        <v>747</v>
      </c>
      <c r="D401" s="53">
        <v>536832.0</v>
      </c>
      <c r="E401" s="52" t="s">
        <v>158</v>
      </c>
      <c r="F401" s="52" t="s">
        <v>1024</v>
      </c>
      <c r="G401" s="52" t="s">
        <v>1025</v>
      </c>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c r="BS401" s="54"/>
      <c r="BT401" s="81"/>
      <c r="BU401" s="54"/>
      <c r="BV401" s="54"/>
      <c r="BW401" s="54"/>
      <c r="BX401" s="53">
        <v>1.0</v>
      </c>
      <c r="BY401" s="53" t="s">
        <v>123</v>
      </c>
      <c r="BZ401" s="87">
        <v>1.0</v>
      </c>
      <c r="CA401" s="72"/>
      <c r="CB401" s="82"/>
      <c r="CC401" s="31"/>
      <c r="CD401" s="58">
        <v>1.0</v>
      </c>
      <c r="CE401" s="83" t="s">
        <v>185</v>
      </c>
      <c r="CF401" s="60"/>
      <c r="CG401" s="61">
        <v>0.0</v>
      </c>
      <c r="CH401" s="84"/>
      <c r="CI401" s="63">
        <v>0.0</v>
      </c>
      <c r="CJ401" s="63">
        <v>0.0</v>
      </c>
      <c r="CK401" s="64">
        <v>0.0</v>
      </c>
      <c r="CL401" s="63">
        <v>0.0</v>
      </c>
      <c r="CM401" s="65">
        <v>0.0</v>
      </c>
      <c r="CN401" s="63">
        <v>0.0</v>
      </c>
      <c r="CO401" s="66">
        <v>0.0</v>
      </c>
      <c r="CP401" s="67">
        <v>0.0</v>
      </c>
      <c r="CQ401" s="63">
        <v>0.0</v>
      </c>
      <c r="CR401" s="63">
        <v>0.0</v>
      </c>
      <c r="CS401" s="63">
        <v>0.0</v>
      </c>
      <c r="CT401" s="68"/>
      <c r="CU401" s="69"/>
      <c r="CV401" s="70"/>
      <c r="CW401" s="71">
        <v>1.0</v>
      </c>
      <c r="CX401" s="71">
        <v>1.0</v>
      </c>
      <c r="CY401" s="71">
        <v>0.1</v>
      </c>
      <c r="CZ401" s="45"/>
      <c r="DA401" s="43"/>
      <c r="DB401" s="44">
        <v>0.0</v>
      </c>
      <c r="DC401" s="43"/>
      <c r="DD401" s="78"/>
      <c r="DE401" s="43"/>
      <c r="DF401" s="43"/>
      <c r="DG401" s="48" t="s">
        <v>128</v>
      </c>
      <c r="DH401" s="48" t="s">
        <v>131</v>
      </c>
      <c r="DI401" s="48" t="s">
        <v>574</v>
      </c>
      <c r="DJ401" s="49">
        <v>1.0</v>
      </c>
      <c r="DK401" s="48" t="b">
        <v>0</v>
      </c>
      <c r="DL401" s="50" t="s">
        <v>977</v>
      </c>
      <c r="DM401" s="111"/>
      <c r="DN401" s="111"/>
      <c r="DO401" s="51"/>
      <c r="DP401" s="51"/>
      <c r="DQ401" s="48" t="s">
        <v>576</v>
      </c>
      <c r="DR401" s="51"/>
      <c r="DS401" s="48" t="s">
        <v>134</v>
      </c>
    </row>
    <row r="402">
      <c r="A402" s="23" t="s">
        <v>118</v>
      </c>
      <c r="B402" s="24">
        <v>6.0</v>
      </c>
      <c r="C402" s="23" t="s">
        <v>747</v>
      </c>
      <c r="D402" s="24">
        <v>627274.0</v>
      </c>
      <c r="E402" s="23" t="s">
        <v>173</v>
      </c>
      <c r="F402" s="23" t="s">
        <v>1026</v>
      </c>
      <c r="G402" s="23" t="s">
        <v>1027</v>
      </c>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7"/>
      <c r="BU402" s="26"/>
      <c r="BV402" s="26"/>
      <c r="BW402" s="26"/>
      <c r="BX402" s="24">
        <v>1.0</v>
      </c>
      <c r="BY402" s="24" t="s">
        <v>123</v>
      </c>
      <c r="BZ402" s="87">
        <v>1.0</v>
      </c>
      <c r="CA402" s="72"/>
      <c r="CB402" s="82"/>
      <c r="CC402" s="31"/>
      <c r="CD402" s="28">
        <v>1.0</v>
      </c>
      <c r="CE402" s="88" t="s">
        <v>185</v>
      </c>
      <c r="CF402" s="33"/>
      <c r="CG402" s="34">
        <v>0.0</v>
      </c>
      <c r="CH402" s="89"/>
      <c r="CI402" s="36">
        <v>0.0</v>
      </c>
      <c r="CJ402" s="36">
        <v>0.0</v>
      </c>
      <c r="CK402" s="37">
        <v>0.0</v>
      </c>
      <c r="CL402" s="36">
        <v>0.0</v>
      </c>
      <c r="CM402" s="38">
        <v>0.0</v>
      </c>
      <c r="CN402" s="36">
        <v>0.0</v>
      </c>
      <c r="CO402" s="39">
        <v>0.0</v>
      </c>
      <c r="CP402" s="40">
        <v>0.0</v>
      </c>
      <c r="CQ402" s="36">
        <v>0.0</v>
      </c>
      <c r="CR402" s="36">
        <v>0.0</v>
      </c>
      <c r="CS402" s="36">
        <v>0.0</v>
      </c>
      <c r="CT402" s="41"/>
      <c r="CU402" s="42"/>
      <c r="CV402" s="43"/>
      <c r="CW402" s="44">
        <v>1.0</v>
      </c>
      <c r="CX402" s="44">
        <v>1.0</v>
      </c>
      <c r="CY402" s="44">
        <v>0.1</v>
      </c>
      <c r="CZ402" s="45"/>
      <c r="DA402" s="43"/>
      <c r="DB402" s="44">
        <v>0.0</v>
      </c>
      <c r="DC402" s="43"/>
      <c r="DD402" s="78"/>
      <c r="DE402" s="43"/>
      <c r="DF402" s="43"/>
      <c r="DG402" s="48" t="s">
        <v>128</v>
      </c>
      <c r="DH402" s="48" t="s">
        <v>131</v>
      </c>
      <c r="DI402" s="48" t="s">
        <v>574</v>
      </c>
      <c r="DJ402" s="49">
        <v>1.0</v>
      </c>
      <c r="DK402" s="48" t="b">
        <v>0</v>
      </c>
      <c r="DL402" s="111"/>
      <c r="DM402" s="111"/>
      <c r="DN402" s="111"/>
      <c r="DO402" s="51"/>
      <c r="DP402" s="48" t="s">
        <v>128</v>
      </c>
      <c r="DQ402" s="48" t="s">
        <v>576</v>
      </c>
      <c r="DR402" s="51"/>
      <c r="DS402" s="48" t="s">
        <v>134</v>
      </c>
    </row>
    <row r="403">
      <c r="A403" s="52" t="s">
        <v>118</v>
      </c>
      <c r="B403" s="53">
        <v>6.0</v>
      </c>
      <c r="C403" s="52" t="s">
        <v>747</v>
      </c>
      <c r="D403" s="53">
        <v>536832.0</v>
      </c>
      <c r="E403" s="52" t="s">
        <v>158</v>
      </c>
      <c r="F403" s="52" t="s">
        <v>1028</v>
      </c>
      <c r="G403" s="52" t="s">
        <v>1029</v>
      </c>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c r="BS403" s="54"/>
      <c r="BT403" s="81"/>
      <c r="BU403" s="54"/>
      <c r="BV403" s="54"/>
      <c r="BW403" s="54"/>
      <c r="BX403" s="53">
        <v>1.0</v>
      </c>
      <c r="BY403" s="53" t="s">
        <v>123</v>
      </c>
      <c r="BZ403" s="87">
        <v>1.0</v>
      </c>
      <c r="CA403" s="72"/>
      <c r="CB403" s="82"/>
      <c r="CC403" s="31"/>
      <c r="CD403" s="58">
        <v>1.0</v>
      </c>
      <c r="CE403" s="83" t="s">
        <v>185</v>
      </c>
      <c r="CF403" s="60"/>
      <c r="CG403" s="61">
        <v>0.0</v>
      </c>
      <c r="CH403" s="84"/>
      <c r="CI403" s="63">
        <v>0.0</v>
      </c>
      <c r="CJ403" s="63">
        <v>0.0</v>
      </c>
      <c r="CK403" s="64">
        <v>0.0</v>
      </c>
      <c r="CL403" s="63">
        <v>0.0</v>
      </c>
      <c r="CM403" s="65">
        <v>0.0</v>
      </c>
      <c r="CN403" s="63">
        <v>0.0</v>
      </c>
      <c r="CO403" s="66">
        <v>0.0</v>
      </c>
      <c r="CP403" s="67">
        <v>0.0</v>
      </c>
      <c r="CQ403" s="63">
        <v>0.0</v>
      </c>
      <c r="CR403" s="63">
        <v>0.0</v>
      </c>
      <c r="CS403" s="63">
        <v>0.0</v>
      </c>
      <c r="CT403" s="68"/>
      <c r="CU403" s="69"/>
      <c r="CV403" s="70"/>
      <c r="CW403" s="71">
        <v>1.0</v>
      </c>
      <c r="CX403" s="71">
        <v>1.0</v>
      </c>
      <c r="CY403" s="71">
        <v>0.1</v>
      </c>
      <c r="CZ403" s="45"/>
      <c r="DA403" s="43"/>
      <c r="DB403" s="44">
        <v>0.0</v>
      </c>
      <c r="DC403" s="43"/>
      <c r="DD403" s="78"/>
      <c r="DE403" s="43"/>
      <c r="DF403" s="43"/>
      <c r="DG403" s="48" t="s">
        <v>128</v>
      </c>
      <c r="DH403" s="48" t="s">
        <v>131</v>
      </c>
      <c r="DI403" s="48" t="s">
        <v>574</v>
      </c>
      <c r="DJ403" s="49">
        <v>1.0</v>
      </c>
      <c r="DK403" s="48" t="b">
        <v>0</v>
      </c>
      <c r="DL403" s="111"/>
      <c r="DM403" s="111"/>
      <c r="DN403" s="111"/>
      <c r="DO403" s="51"/>
      <c r="DP403" s="48" t="s">
        <v>245</v>
      </c>
      <c r="DQ403" s="48" t="s">
        <v>576</v>
      </c>
      <c r="DR403" s="51"/>
      <c r="DS403" s="48" t="s">
        <v>134</v>
      </c>
    </row>
    <row r="404">
      <c r="A404" s="23" t="s">
        <v>118</v>
      </c>
      <c r="B404" s="24">
        <v>6.0</v>
      </c>
      <c r="C404" s="23" t="s">
        <v>747</v>
      </c>
      <c r="D404" s="24">
        <v>640888.0</v>
      </c>
      <c r="E404" s="23" t="s">
        <v>161</v>
      </c>
      <c r="F404" s="23" t="s">
        <v>1030</v>
      </c>
      <c r="G404" s="23" t="s">
        <v>1031</v>
      </c>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7"/>
      <c r="BU404" s="26"/>
      <c r="BV404" s="26"/>
      <c r="BW404" s="26"/>
      <c r="BX404" s="24">
        <v>1.0</v>
      </c>
      <c r="BY404" s="24" t="s">
        <v>123</v>
      </c>
      <c r="BZ404" s="87">
        <v>1.0</v>
      </c>
      <c r="CA404" s="72"/>
      <c r="CB404" s="82"/>
      <c r="CC404" s="31"/>
      <c r="CD404" s="28">
        <v>1.0</v>
      </c>
      <c r="CE404" s="88" t="s">
        <v>185</v>
      </c>
      <c r="CF404" s="33"/>
      <c r="CG404" s="34">
        <v>0.0</v>
      </c>
      <c r="CH404" s="89"/>
      <c r="CI404" s="36">
        <v>0.0</v>
      </c>
      <c r="CJ404" s="36">
        <v>0.0</v>
      </c>
      <c r="CK404" s="37">
        <v>0.0</v>
      </c>
      <c r="CL404" s="36">
        <v>0.0</v>
      </c>
      <c r="CM404" s="38">
        <v>0.0</v>
      </c>
      <c r="CN404" s="36">
        <v>0.0</v>
      </c>
      <c r="CO404" s="39">
        <v>0.0</v>
      </c>
      <c r="CP404" s="40">
        <v>0.0</v>
      </c>
      <c r="CQ404" s="36">
        <v>0.0</v>
      </c>
      <c r="CR404" s="36">
        <v>0.0</v>
      </c>
      <c r="CS404" s="36">
        <v>0.0</v>
      </c>
      <c r="CT404" s="41"/>
      <c r="CU404" s="42"/>
      <c r="CV404" s="43"/>
      <c r="CW404" s="44">
        <v>1.0</v>
      </c>
      <c r="CX404" s="44">
        <v>1.0</v>
      </c>
      <c r="CY404" s="44">
        <v>0.1</v>
      </c>
      <c r="CZ404" s="45"/>
      <c r="DA404" s="43"/>
      <c r="DB404" s="44">
        <v>0.0</v>
      </c>
      <c r="DC404" s="43"/>
      <c r="DD404" s="78"/>
      <c r="DE404" s="43"/>
      <c r="DF404" s="43"/>
      <c r="DG404" s="48" t="s">
        <v>128</v>
      </c>
      <c r="DH404" s="48" t="s">
        <v>131</v>
      </c>
      <c r="DI404" s="48" t="s">
        <v>574</v>
      </c>
      <c r="DJ404" s="49">
        <v>1.0</v>
      </c>
      <c r="DK404" s="48" t="b">
        <v>0</v>
      </c>
      <c r="DL404" s="111"/>
      <c r="DM404" s="111"/>
      <c r="DN404" s="111"/>
      <c r="DO404" s="51"/>
      <c r="DP404" s="51"/>
      <c r="DQ404" s="48" t="s">
        <v>576</v>
      </c>
      <c r="DR404" s="51"/>
      <c r="DS404" s="48" t="s">
        <v>134</v>
      </c>
    </row>
    <row r="405">
      <c r="A405" s="52" t="s">
        <v>118</v>
      </c>
      <c r="B405" s="53">
        <v>13.0</v>
      </c>
      <c r="C405" s="52" t="s">
        <v>1032</v>
      </c>
      <c r="D405" s="53">
        <v>641892.0</v>
      </c>
      <c r="E405" s="52" t="s">
        <v>170</v>
      </c>
      <c r="F405" s="52" t="s">
        <v>1033</v>
      </c>
      <c r="G405" s="52" t="s">
        <v>1034</v>
      </c>
      <c r="H405" s="53">
        <v>33027.0</v>
      </c>
      <c r="I405" s="53">
        <v>17.0</v>
      </c>
      <c r="J405" s="53">
        <v>0.0</v>
      </c>
      <c r="K405" s="53">
        <v>0.0</v>
      </c>
      <c r="L405" s="53">
        <v>0.0</v>
      </c>
      <c r="M405" s="53">
        <v>0.0</v>
      </c>
      <c r="N405" s="53">
        <v>0.0</v>
      </c>
      <c r="O405" s="53">
        <v>1.0</v>
      </c>
      <c r="P405" s="53">
        <v>1.0</v>
      </c>
      <c r="Q405" s="53">
        <v>1.0</v>
      </c>
      <c r="R405" s="53">
        <v>1.0</v>
      </c>
      <c r="S405" s="53">
        <v>1.0</v>
      </c>
      <c r="T405" s="53">
        <v>0.0</v>
      </c>
      <c r="U405" s="53">
        <v>1.0</v>
      </c>
      <c r="V405" s="53">
        <v>0.0</v>
      </c>
      <c r="W405" s="53">
        <v>1.0</v>
      </c>
      <c r="X405" s="53">
        <v>2.0</v>
      </c>
      <c r="Y405" s="53">
        <v>1.0</v>
      </c>
      <c r="Z405" s="53">
        <v>0.0</v>
      </c>
      <c r="AA405" s="53">
        <v>0.0</v>
      </c>
      <c r="AB405" s="53">
        <v>0.0</v>
      </c>
      <c r="AC405" s="53">
        <v>0.0</v>
      </c>
      <c r="AD405" s="53">
        <v>1.0</v>
      </c>
      <c r="AE405" s="53">
        <v>1.0</v>
      </c>
      <c r="AF405" s="53">
        <v>1.0</v>
      </c>
      <c r="AG405" s="53">
        <v>1.0</v>
      </c>
      <c r="AH405" s="53">
        <v>0.0</v>
      </c>
      <c r="AI405" s="53">
        <v>1.0</v>
      </c>
      <c r="AJ405" s="53">
        <v>0.0</v>
      </c>
      <c r="AK405" s="53">
        <v>1.0</v>
      </c>
      <c r="AL405" s="53">
        <v>0.0</v>
      </c>
      <c r="AM405" s="53">
        <v>0.0</v>
      </c>
      <c r="AN405" s="53">
        <v>1.0</v>
      </c>
      <c r="AO405" s="25">
        <v>21.1</v>
      </c>
      <c r="AP405" s="54"/>
      <c r="AQ405" s="54"/>
      <c r="AR405" s="54"/>
      <c r="AS405" s="54"/>
      <c r="AT405" s="54"/>
      <c r="AU405" s="53">
        <v>21.6</v>
      </c>
      <c r="AV405" s="53">
        <v>19.02</v>
      </c>
      <c r="AW405" s="53">
        <v>18.7</v>
      </c>
      <c r="AX405" s="53">
        <v>17.45</v>
      </c>
      <c r="AY405" s="53">
        <v>13.08</v>
      </c>
      <c r="AZ405" s="54"/>
      <c r="BA405" s="53">
        <v>19.48</v>
      </c>
      <c r="BB405" s="54"/>
      <c r="BC405" s="53">
        <v>16.85</v>
      </c>
      <c r="BD405" s="53">
        <v>28.53</v>
      </c>
      <c r="BE405" s="53">
        <v>17.9</v>
      </c>
      <c r="BF405" s="54"/>
      <c r="BG405" s="54"/>
      <c r="BH405" s="54"/>
      <c r="BI405" s="54"/>
      <c r="BJ405" s="53">
        <v>26.32</v>
      </c>
      <c r="BK405" s="53">
        <v>20.87</v>
      </c>
      <c r="BL405" s="53">
        <v>28.42</v>
      </c>
      <c r="BM405" s="53">
        <v>23.8</v>
      </c>
      <c r="BN405" s="54"/>
      <c r="BO405" s="53">
        <v>0.32</v>
      </c>
      <c r="BP405" s="53">
        <v>1.65</v>
      </c>
      <c r="BQ405" s="53">
        <v>5.33</v>
      </c>
      <c r="BR405" s="53">
        <v>6.78</v>
      </c>
      <c r="BS405" s="25">
        <v>8.04</v>
      </c>
      <c r="BT405" s="56">
        <v>19.7</v>
      </c>
      <c r="BU405" s="25">
        <v>7.5</v>
      </c>
      <c r="BV405" s="57">
        <v>5.1</v>
      </c>
      <c r="BW405" s="53">
        <v>500.0</v>
      </c>
      <c r="BX405" s="53">
        <v>2100.0</v>
      </c>
      <c r="BY405" s="53" t="s">
        <v>123</v>
      </c>
      <c r="BZ405" s="58">
        <v>1800.0</v>
      </c>
      <c r="CA405" s="29" t="s">
        <v>124</v>
      </c>
      <c r="CB405" s="30">
        <v>2100.0</v>
      </c>
      <c r="CC405" s="31"/>
      <c r="CD405" s="58">
        <v>2100.0</v>
      </c>
      <c r="CE405" s="59" t="e">
        <v>#REF!</v>
      </c>
      <c r="CF405" s="60"/>
      <c r="CG405" s="61">
        <v>0.0</v>
      </c>
      <c r="CH405" s="62">
        <v>0.0</v>
      </c>
      <c r="CI405" s="63">
        <v>17.0</v>
      </c>
      <c r="CJ405" s="63">
        <v>2265.0</v>
      </c>
      <c r="CK405" s="64">
        <v>-22.0</v>
      </c>
      <c r="CL405" s="63">
        <v>2243.0</v>
      </c>
      <c r="CM405" s="65">
        <v>359.0</v>
      </c>
      <c r="CN405" s="63">
        <v>0.0</v>
      </c>
      <c r="CO405" s="66">
        <v>21.1</v>
      </c>
      <c r="CP405" s="67">
        <v>0.0</v>
      </c>
      <c r="CQ405" s="63">
        <v>28.0</v>
      </c>
      <c r="CR405" s="63">
        <v>28.0</v>
      </c>
      <c r="CS405" s="63">
        <v>137.0</v>
      </c>
      <c r="CT405" s="68"/>
      <c r="CU405" s="69"/>
      <c r="CV405" s="70"/>
      <c r="CW405" s="71">
        <v>7.0</v>
      </c>
      <c r="CX405" s="71" t="s">
        <v>201</v>
      </c>
      <c r="CY405" s="71" t="s">
        <v>202</v>
      </c>
      <c r="CZ405" s="45"/>
      <c r="DA405" s="44">
        <v>2100.0</v>
      </c>
      <c r="DB405" s="44">
        <v>0.0</v>
      </c>
      <c r="DC405" s="46" t="s">
        <v>127</v>
      </c>
      <c r="DD405" s="47">
        <v>46218.0</v>
      </c>
      <c r="DE405" s="43"/>
      <c r="DF405" s="43"/>
      <c r="DG405" s="48" t="s">
        <v>128</v>
      </c>
      <c r="DH405" s="48" t="s">
        <v>128</v>
      </c>
      <c r="DI405" s="48" t="s">
        <v>128</v>
      </c>
      <c r="DJ405" s="49">
        <v>1.0</v>
      </c>
      <c r="DK405" s="48" t="b">
        <v>0</v>
      </c>
      <c r="DL405" s="50" t="s">
        <v>1035</v>
      </c>
      <c r="DM405" s="50" t="s">
        <v>131</v>
      </c>
      <c r="DN405" s="50" t="s">
        <v>1036</v>
      </c>
      <c r="DO405" s="49">
        <v>0.82</v>
      </c>
      <c r="DP405" s="48" t="s">
        <v>128</v>
      </c>
      <c r="DQ405" s="48" t="s">
        <v>128</v>
      </c>
      <c r="DR405" s="51"/>
      <c r="DS405" s="48" t="s">
        <v>134</v>
      </c>
    </row>
    <row r="406">
      <c r="A406" s="23" t="s">
        <v>118</v>
      </c>
      <c r="B406" s="24">
        <v>13.0</v>
      </c>
      <c r="C406" s="23" t="s">
        <v>1032</v>
      </c>
      <c r="D406" s="24">
        <v>626041.0</v>
      </c>
      <c r="E406" s="23" t="s">
        <v>135</v>
      </c>
      <c r="F406" s="23" t="s">
        <v>1037</v>
      </c>
      <c r="G406" s="23" t="s">
        <v>1038</v>
      </c>
      <c r="H406" s="24">
        <v>33027.0</v>
      </c>
      <c r="I406" s="24">
        <v>5.0</v>
      </c>
      <c r="J406" s="24">
        <v>0.0</v>
      </c>
      <c r="K406" s="24">
        <v>0.0</v>
      </c>
      <c r="L406" s="24">
        <v>0.0</v>
      </c>
      <c r="M406" s="24">
        <v>0.0</v>
      </c>
      <c r="N406" s="24">
        <v>0.0</v>
      </c>
      <c r="O406" s="24">
        <v>0.0</v>
      </c>
      <c r="P406" s="24">
        <v>0.0</v>
      </c>
      <c r="Q406" s="24">
        <v>0.0</v>
      </c>
      <c r="R406" s="24">
        <v>0.0</v>
      </c>
      <c r="S406" s="24">
        <v>0.0</v>
      </c>
      <c r="T406" s="24">
        <v>1.0</v>
      </c>
      <c r="U406" s="24">
        <v>0.0</v>
      </c>
      <c r="V406" s="24">
        <v>0.0</v>
      </c>
      <c r="W406" s="24">
        <v>1.0</v>
      </c>
      <c r="X406" s="24">
        <v>0.0</v>
      </c>
      <c r="Y406" s="24">
        <v>0.0</v>
      </c>
      <c r="Z406" s="24">
        <v>0.0</v>
      </c>
      <c r="AA406" s="24">
        <v>0.0</v>
      </c>
      <c r="AB406" s="24">
        <v>0.0</v>
      </c>
      <c r="AC406" s="24">
        <v>3.0</v>
      </c>
      <c r="AD406" s="24">
        <v>0.0</v>
      </c>
      <c r="AE406" s="24">
        <v>0.0</v>
      </c>
      <c r="AF406" s="24">
        <v>0.0</v>
      </c>
      <c r="AG406" s="24">
        <v>0.0</v>
      </c>
      <c r="AH406" s="24">
        <v>0.0</v>
      </c>
      <c r="AI406" s="24">
        <v>0.0</v>
      </c>
      <c r="AJ406" s="24">
        <v>0.0</v>
      </c>
      <c r="AK406" s="24">
        <v>0.0</v>
      </c>
      <c r="AL406" s="24">
        <v>0.0</v>
      </c>
      <c r="AM406" s="24">
        <v>0.0</v>
      </c>
      <c r="AN406" s="24">
        <v>0.0</v>
      </c>
      <c r="AO406" s="25">
        <v>22.1</v>
      </c>
      <c r="AP406" s="26"/>
      <c r="AQ406" s="26"/>
      <c r="AR406" s="26"/>
      <c r="AS406" s="26"/>
      <c r="AT406" s="26"/>
      <c r="AU406" s="26"/>
      <c r="AV406" s="26"/>
      <c r="AW406" s="26"/>
      <c r="AX406" s="26"/>
      <c r="AY406" s="26"/>
      <c r="AZ406" s="24">
        <v>16.02</v>
      </c>
      <c r="BA406" s="26"/>
      <c r="BB406" s="26"/>
      <c r="BC406" s="24">
        <v>13.5</v>
      </c>
      <c r="BD406" s="26"/>
      <c r="BE406" s="26"/>
      <c r="BF406" s="26"/>
      <c r="BG406" s="26"/>
      <c r="BH406" s="26"/>
      <c r="BI406" s="24">
        <v>27.07</v>
      </c>
      <c r="BJ406" s="26"/>
      <c r="BK406" s="26"/>
      <c r="BL406" s="26"/>
      <c r="BM406" s="26"/>
      <c r="BN406" s="26"/>
      <c r="BO406" s="26"/>
      <c r="BP406" s="24">
        <v>2.81</v>
      </c>
      <c r="BQ406" s="24">
        <v>6.1</v>
      </c>
      <c r="BR406" s="24">
        <v>8.69</v>
      </c>
      <c r="BS406" s="25">
        <v>7.6</v>
      </c>
      <c r="BT406" s="27"/>
      <c r="BU406" s="26"/>
      <c r="BV406" s="26"/>
      <c r="BW406" s="26"/>
      <c r="BX406" s="24">
        <v>2100.0</v>
      </c>
      <c r="BY406" s="24" t="s">
        <v>123</v>
      </c>
      <c r="BZ406" s="28">
        <v>1800.0</v>
      </c>
      <c r="CA406" s="29" t="s">
        <v>124</v>
      </c>
      <c r="CB406" s="30">
        <v>2100.0</v>
      </c>
      <c r="CC406" s="31"/>
      <c r="CD406" s="28">
        <v>2100.0</v>
      </c>
      <c r="CE406" s="32" t="e">
        <v>#REF!</v>
      </c>
      <c r="CF406" s="33"/>
      <c r="CG406" s="34">
        <v>0.0</v>
      </c>
      <c r="CH406" s="35">
        <v>0.0</v>
      </c>
      <c r="CI406" s="36">
        <v>5.0</v>
      </c>
      <c r="CJ406" s="36">
        <v>2265.0</v>
      </c>
      <c r="CK406" s="37">
        <v>-22.0</v>
      </c>
      <c r="CL406" s="36">
        <v>2243.0</v>
      </c>
      <c r="CM406" s="38">
        <v>111.0</v>
      </c>
      <c r="CN406" s="36">
        <v>0.0</v>
      </c>
      <c r="CO406" s="39">
        <v>22.1</v>
      </c>
      <c r="CP406" s="40">
        <v>0.0</v>
      </c>
      <c r="CQ406" s="36">
        <v>14.0</v>
      </c>
      <c r="CR406" s="36">
        <v>14.0</v>
      </c>
      <c r="CS406" s="36">
        <v>38.0</v>
      </c>
      <c r="CT406" s="41"/>
      <c r="CU406" s="42"/>
      <c r="CV406" s="43"/>
      <c r="CW406" s="44">
        <v>7.0</v>
      </c>
      <c r="CX406" s="44" t="s">
        <v>201</v>
      </c>
      <c r="CY406" s="44" t="s">
        <v>202</v>
      </c>
      <c r="CZ406" s="45"/>
      <c r="DA406" s="44">
        <v>2100.0</v>
      </c>
      <c r="DB406" s="44">
        <v>0.0</v>
      </c>
      <c r="DC406" s="46" t="s">
        <v>127</v>
      </c>
      <c r="DD406" s="47">
        <v>46233.0</v>
      </c>
      <c r="DE406" s="43"/>
      <c r="DF406" s="43"/>
      <c r="DG406" s="48" t="s">
        <v>128</v>
      </c>
      <c r="DH406" s="48" t="s">
        <v>128</v>
      </c>
      <c r="DI406" s="48" t="s">
        <v>129</v>
      </c>
      <c r="DJ406" s="49">
        <v>1.0</v>
      </c>
      <c r="DK406" s="48" t="b">
        <v>0</v>
      </c>
      <c r="DL406" s="50" t="s">
        <v>1035</v>
      </c>
      <c r="DM406" s="50" t="s">
        <v>131</v>
      </c>
      <c r="DN406" s="50" t="s">
        <v>1036</v>
      </c>
      <c r="DO406" s="49">
        <v>0.82</v>
      </c>
      <c r="DP406" s="48" t="s">
        <v>128</v>
      </c>
      <c r="DQ406" s="48" t="s">
        <v>133</v>
      </c>
      <c r="DR406" s="51"/>
      <c r="DS406" s="48" t="s">
        <v>134</v>
      </c>
    </row>
    <row r="407">
      <c r="A407" s="52" t="s">
        <v>118</v>
      </c>
      <c r="B407" s="53">
        <v>13.0</v>
      </c>
      <c r="C407" s="52" t="s">
        <v>1032</v>
      </c>
      <c r="D407" s="53">
        <v>641645.0</v>
      </c>
      <c r="E407" s="52" t="s">
        <v>145</v>
      </c>
      <c r="F407" s="52" t="s">
        <v>1039</v>
      </c>
      <c r="G407" s="52" t="s">
        <v>1040</v>
      </c>
      <c r="H407" s="53">
        <v>33027.0</v>
      </c>
      <c r="I407" s="53">
        <v>9.0</v>
      </c>
      <c r="J407" s="53">
        <v>0.0</v>
      </c>
      <c r="K407" s="53">
        <v>0.0</v>
      </c>
      <c r="L407" s="53">
        <v>0.0</v>
      </c>
      <c r="M407" s="53">
        <v>0.0</v>
      </c>
      <c r="N407" s="53">
        <v>0.0</v>
      </c>
      <c r="O407" s="53">
        <v>0.0</v>
      </c>
      <c r="P407" s="53">
        <v>0.0</v>
      </c>
      <c r="Q407" s="53">
        <v>0.0</v>
      </c>
      <c r="R407" s="53">
        <v>0.0</v>
      </c>
      <c r="S407" s="53">
        <v>1.0</v>
      </c>
      <c r="T407" s="53">
        <v>2.0</v>
      </c>
      <c r="U407" s="53">
        <v>0.0</v>
      </c>
      <c r="V407" s="53">
        <v>1.0</v>
      </c>
      <c r="W407" s="53">
        <v>0.0</v>
      </c>
      <c r="X407" s="53">
        <v>1.0</v>
      </c>
      <c r="Y407" s="53">
        <v>0.0</v>
      </c>
      <c r="Z407" s="53">
        <v>2.0</v>
      </c>
      <c r="AA407" s="53">
        <v>0.0</v>
      </c>
      <c r="AB407" s="53">
        <v>0.0</v>
      </c>
      <c r="AC407" s="53">
        <v>0.0</v>
      </c>
      <c r="AD407" s="53">
        <v>0.0</v>
      </c>
      <c r="AE407" s="53">
        <v>0.0</v>
      </c>
      <c r="AF407" s="53">
        <v>1.0</v>
      </c>
      <c r="AG407" s="53">
        <v>0.0</v>
      </c>
      <c r="AH407" s="53">
        <v>1.0</v>
      </c>
      <c r="AI407" s="53">
        <v>0.0</v>
      </c>
      <c r="AJ407" s="53">
        <v>0.0</v>
      </c>
      <c r="AK407" s="53">
        <v>0.0</v>
      </c>
      <c r="AL407" s="53">
        <v>0.0</v>
      </c>
      <c r="AM407" s="53">
        <v>0.0</v>
      </c>
      <c r="AN407" s="53">
        <v>0.0</v>
      </c>
      <c r="AO407" s="25">
        <v>21.9</v>
      </c>
      <c r="AP407" s="54"/>
      <c r="AQ407" s="54"/>
      <c r="AR407" s="54"/>
      <c r="AS407" s="54"/>
      <c r="AT407" s="54"/>
      <c r="AU407" s="54"/>
      <c r="AV407" s="54"/>
      <c r="AW407" s="54"/>
      <c r="AX407" s="54"/>
      <c r="AY407" s="53">
        <v>20.42</v>
      </c>
      <c r="AZ407" s="53">
        <v>28.95</v>
      </c>
      <c r="BA407" s="54"/>
      <c r="BB407" s="53">
        <v>16.67</v>
      </c>
      <c r="BC407" s="54"/>
      <c r="BD407" s="53">
        <v>18.1</v>
      </c>
      <c r="BE407" s="54"/>
      <c r="BF407" s="53">
        <v>22.1</v>
      </c>
      <c r="BG407" s="54"/>
      <c r="BH407" s="54"/>
      <c r="BI407" s="54"/>
      <c r="BJ407" s="54"/>
      <c r="BK407" s="54"/>
      <c r="BL407" s="53">
        <v>23.67</v>
      </c>
      <c r="BM407" s="54"/>
      <c r="BN407" s="53">
        <v>15.78</v>
      </c>
      <c r="BO407" s="54"/>
      <c r="BP407" s="53">
        <v>3.65</v>
      </c>
      <c r="BQ407" s="53">
        <v>7.46</v>
      </c>
      <c r="BR407" s="53">
        <v>10.89</v>
      </c>
      <c r="BS407" s="25">
        <v>5.92</v>
      </c>
      <c r="BT407" s="81"/>
      <c r="BU407" s="54"/>
      <c r="BV407" s="54"/>
      <c r="BW407" s="54"/>
      <c r="BX407" s="53">
        <v>2100.0</v>
      </c>
      <c r="BY407" s="53" t="s">
        <v>123</v>
      </c>
      <c r="BZ407" s="58">
        <v>1800.0</v>
      </c>
      <c r="CA407" s="29" t="s">
        <v>124</v>
      </c>
      <c r="CB407" s="30">
        <v>2100.0</v>
      </c>
      <c r="CC407" s="31"/>
      <c r="CD407" s="58">
        <v>2100.0</v>
      </c>
      <c r="CE407" s="59" t="e">
        <v>#REF!</v>
      </c>
      <c r="CF407" s="60"/>
      <c r="CG407" s="61">
        <v>0.0</v>
      </c>
      <c r="CH407" s="62">
        <v>0.0</v>
      </c>
      <c r="CI407" s="63">
        <v>9.0</v>
      </c>
      <c r="CJ407" s="63">
        <v>2265.0</v>
      </c>
      <c r="CK407" s="64">
        <v>-22.0</v>
      </c>
      <c r="CL407" s="63">
        <v>2243.0</v>
      </c>
      <c r="CM407" s="65">
        <v>197.0</v>
      </c>
      <c r="CN407" s="63">
        <v>0.0</v>
      </c>
      <c r="CO407" s="66">
        <v>21.9</v>
      </c>
      <c r="CP407" s="67">
        <v>0.0</v>
      </c>
      <c r="CQ407" s="63">
        <v>33.0</v>
      </c>
      <c r="CR407" s="63">
        <v>33.0</v>
      </c>
      <c r="CS407" s="63">
        <v>53.0</v>
      </c>
      <c r="CT407" s="68"/>
      <c r="CU407" s="69"/>
      <c r="CV407" s="70"/>
      <c r="CW407" s="71">
        <v>7.0</v>
      </c>
      <c r="CX407" s="71" t="s">
        <v>201</v>
      </c>
      <c r="CY407" s="71" t="s">
        <v>202</v>
      </c>
      <c r="CZ407" s="45"/>
      <c r="DA407" s="44">
        <v>2100.0</v>
      </c>
      <c r="DB407" s="44">
        <v>0.0</v>
      </c>
      <c r="DC407" s="43"/>
      <c r="DD407" s="78"/>
      <c r="DE407" s="43"/>
      <c r="DF407" s="43"/>
      <c r="DG407" s="48" t="s">
        <v>128</v>
      </c>
      <c r="DH407" s="48" t="s">
        <v>128</v>
      </c>
      <c r="DI407" s="48" t="s">
        <v>129</v>
      </c>
      <c r="DJ407" s="49">
        <v>1.0</v>
      </c>
      <c r="DK407" s="48" t="b">
        <v>0</v>
      </c>
      <c r="DL407" s="50" t="s">
        <v>1035</v>
      </c>
      <c r="DM407" s="50" t="s">
        <v>131</v>
      </c>
      <c r="DN407" s="50" t="s">
        <v>1036</v>
      </c>
      <c r="DO407" s="49">
        <v>0.82</v>
      </c>
      <c r="DP407" s="48" t="s">
        <v>128</v>
      </c>
      <c r="DQ407" s="48" t="s">
        <v>133</v>
      </c>
      <c r="DR407" s="51"/>
      <c r="DS407" s="48" t="s">
        <v>134</v>
      </c>
    </row>
    <row r="408">
      <c r="A408" s="23" t="s">
        <v>118</v>
      </c>
      <c r="B408" s="24">
        <v>13.0</v>
      </c>
      <c r="C408" s="23" t="s">
        <v>1032</v>
      </c>
      <c r="D408" s="24">
        <v>642178.0</v>
      </c>
      <c r="E408" s="23" t="s">
        <v>205</v>
      </c>
      <c r="F408" s="23" t="s">
        <v>1041</v>
      </c>
      <c r="G408" s="23" t="s">
        <v>1042</v>
      </c>
      <c r="H408" s="24">
        <v>33027.0</v>
      </c>
      <c r="I408" s="24">
        <v>4.0</v>
      </c>
      <c r="J408" s="24">
        <v>0.0</v>
      </c>
      <c r="K408" s="24">
        <v>0.0</v>
      </c>
      <c r="L408" s="24">
        <v>0.0</v>
      </c>
      <c r="M408" s="24">
        <v>0.0</v>
      </c>
      <c r="N408" s="24">
        <v>0.0</v>
      </c>
      <c r="O408" s="24">
        <v>0.0</v>
      </c>
      <c r="P408" s="24">
        <v>1.0</v>
      </c>
      <c r="Q408" s="24">
        <v>0.0</v>
      </c>
      <c r="R408" s="24">
        <v>0.0</v>
      </c>
      <c r="S408" s="24">
        <v>0.0</v>
      </c>
      <c r="T408" s="24">
        <v>0.0</v>
      </c>
      <c r="U408" s="24">
        <v>1.0</v>
      </c>
      <c r="V408" s="24">
        <v>0.0</v>
      </c>
      <c r="W408" s="24">
        <v>0.0</v>
      </c>
      <c r="X408" s="24">
        <v>1.0</v>
      </c>
      <c r="Y408" s="24">
        <v>1.0</v>
      </c>
      <c r="Z408" s="24">
        <v>0.0</v>
      </c>
      <c r="AA408" s="24">
        <v>0.0</v>
      </c>
      <c r="AB408" s="24">
        <v>0.0</v>
      </c>
      <c r="AC408" s="24">
        <v>0.0</v>
      </c>
      <c r="AD408" s="24">
        <v>0.0</v>
      </c>
      <c r="AE408" s="24">
        <v>0.0</v>
      </c>
      <c r="AF408" s="24">
        <v>0.0</v>
      </c>
      <c r="AG408" s="24">
        <v>0.0</v>
      </c>
      <c r="AH408" s="24">
        <v>0.0</v>
      </c>
      <c r="AI408" s="24">
        <v>0.0</v>
      </c>
      <c r="AJ408" s="24">
        <v>0.0</v>
      </c>
      <c r="AK408" s="24">
        <v>0.0</v>
      </c>
      <c r="AL408" s="24">
        <v>0.0</v>
      </c>
      <c r="AM408" s="24">
        <v>0.0</v>
      </c>
      <c r="AN408" s="24">
        <v>0.0</v>
      </c>
      <c r="AO408" s="25">
        <v>18.3</v>
      </c>
      <c r="AP408" s="26"/>
      <c r="AQ408" s="26"/>
      <c r="AR408" s="26"/>
      <c r="AS408" s="26"/>
      <c r="AT408" s="26"/>
      <c r="AU408" s="26"/>
      <c r="AV408" s="24">
        <v>12.92</v>
      </c>
      <c r="AW408" s="26"/>
      <c r="AX408" s="26"/>
      <c r="AY408" s="26"/>
      <c r="AZ408" s="26"/>
      <c r="BA408" s="24">
        <v>17.9</v>
      </c>
      <c r="BB408" s="26"/>
      <c r="BC408" s="26"/>
      <c r="BD408" s="24">
        <v>20.63</v>
      </c>
      <c r="BE408" s="24">
        <v>21.58</v>
      </c>
      <c r="BF408" s="26"/>
      <c r="BG408" s="26"/>
      <c r="BH408" s="26"/>
      <c r="BI408" s="26"/>
      <c r="BJ408" s="26"/>
      <c r="BK408" s="26"/>
      <c r="BL408" s="26"/>
      <c r="BM408" s="26"/>
      <c r="BN408" s="26"/>
      <c r="BO408" s="26"/>
      <c r="BP408" s="24">
        <v>1.35</v>
      </c>
      <c r="BQ408" s="24">
        <v>6.4</v>
      </c>
      <c r="BR408" s="24">
        <v>7.53</v>
      </c>
      <c r="BS408" s="25">
        <v>5.68</v>
      </c>
      <c r="BT408" s="56">
        <v>20.0</v>
      </c>
      <c r="BU408" s="25">
        <v>6.8</v>
      </c>
      <c r="BV408" s="57">
        <v>5.38</v>
      </c>
      <c r="BW408" s="26"/>
      <c r="BX408" s="24">
        <v>2100.0</v>
      </c>
      <c r="BY408" s="24" t="s">
        <v>123</v>
      </c>
      <c r="BZ408" s="28">
        <v>1800.0</v>
      </c>
      <c r="CA408" s="29" t="s">
        <v>124</v>
      </c>
      <c r="CB408" s="30">
        <v>2100.0</v>
      </c>
      <c r="CC408" s="31"/>
      <c r="CD408" s="28">
        <v>2100.0</v>
      </c>
      <c r="CE408" s="32" t="e">
        <v>#REF!</v>
      </c>
      <c r="CF408" s="33"/>
      <c r="CG408" s="34">
        <v>0.0</v>
      </c>
      <c r="CH408" s="35">
        <v>0.0</v>
      </c>
      <c r="CI408" s="36">
        <v>4.0</v>
      </c>
      <c r="CJ408" s="36">
        <v>2265.0</v>
      </c>
      <c r="CK408" s="37">
        <v>-22.0</v>
      </c>
      <c r="CL408" s="36">
        <v>2243.0</v>
      </c>
      <c r="CM408" s="38">
        <v>73.0</v>
      </c>
      <c r="CN408" s="36">
        <v>0.0</v>
      </c>
      <c r="CO408" s="39">
        <v>18.3</v>
      </c>
      <c r="CP408" s="40">
        <v>0.0</v>
      </c>
      <c r="CQ408" s="36">
        <v>5.0</v>
      </c>
      <c r="CR408" s="36">
        <v>5.0</v>
      </c>
      <c r="CS408" s="36">
        <v>23.0</v>
      </c>
      <c r="CT408" s="41"/>
      <c r="CU408" s="42"/>
      <c r="CV408" s="43"/>
      <c r="CW408" s="44">
        <v>7.0</v>
      </c>
      <c r="CX408" s="44" t="s">
        <v>201</v>
      </c>
      <c r="CY408" s="44" t="s">
        <v>202</v>
      </c>
      <c r="CZ408" s="45"/>
      <c r="DA408" s="44">
        <v>2100.0</v>
      </c>
      <c r="DB408" s="44">
        <v>0.0</v>
      </c>
      <c r="DC408" s="46" t="s">
        <v>127</v>
      </c>
      <c r="DD408" s="47">
        <v>46240.0</v>
      </c>
      <c r="DE408" s="43"/>
      <c r="DF408" s="43"/>
      <c r="DG408" s="48" t="s">
        <v>128</v>
      </c>
      <c r="DH408" s="48" t="s">
        <v>128</v>
      </c>
      <c r="DI408" s="48" t="s">
        <v>128</v>
      </c>
      <c r="DJ408" s="49">
        <v>1.0</v>
      </c>
      <c r="DK408" s="48" t="b">
        <v>0</v>
      </c>
      <c r="DL408" s="50" t="s">
        <v>1035</v>
      </c>
      <c r="DM408" s="50" t="s">
        <v>131</v>
      </c>
      <c r="DN408" s="50" t="s">
        <v>1036</v>
      </c>
      <c r="DO408" s="49">
        <v>0.82</v>
      </c>
      <c r="DP408" s="48" t="s">
        <v>128</v>
      </c>
      <c r="DQ408" s="48" t="s">
        <v>128</v>
      </c>
      <c r="DR408" s="51"/>
      <c r="DS408" s="48" t="s">
        <v>134</v>
      </c>
    </row>
    <row r="409">
      <c r="A409" s="52" t="s">
        <v>118</v>
      </c>
      <c r="B409" s="53">
        <v>13.0</v>
      </c>
      <c r="C409" s="52" t="s">
        <v>1032</v>
      </c>
      <c r="D409" s="53">
        <v>640888.0</v>
      </c>
      <c r="E409" s="52" t="s">
        <v>161</v>
      </c>
      <c r="F409" s="52" t="s">
        <v>1043</v>
      </c>
      <c r="G409" s="52" t="s">
        <v>1044</v>
      </c>
      <c r="H409" s="53">
        <v>33027.0</v>
      </c>
      <c r="I409" s="53">
        <v>25.0</v>
      </c>
      <c r="J409" s="53">
        <v>0.0</v>
      </c>
      <c r="K409" s="53">
        <v>0.0</v>
      </c>
      <c r="L409" s="53">
        <v>0.0</v>
      </c>
      <c r="M409" s="53">
        <v>0.0</v>
      </c>
      <c r="N409" s="53">
        <v>0.0</v>
      </c>
      <c r="O409" s="53">
        <v>0.0</v>
      </c>
      <c r="P409" s="53">
        <v>1.0</v>
      </c>
      <c r="Q409" s="53">
        <v>0.0</v>
      </c>
      <c r="R409" s="53">
        <v>0.0</v>
      </c>
      <c r="S409" s="53">
        <v>1.0</v>
      </c>
      <c r="T409" s="53">
        <v>0.0</v>
      </c>
      <c r="U409" s="53">
        <v>2.0</v>
      </c>
      <c r="V409" s="53">
        <v>0.0</v>
      </c>
      <c r="W409" s="53">
        <v>0.0</v>
      </c>
      <c r="X409" s="53">
        <v>0.0</v>
      </c>
      <c r="Y409" s="53">
        <v>2.0</v>
      </c>
      <c r="Z409" s="53">
        <v>0.0</v>
      </c>
      <c r="AA409" s="53">
        <v>1.0</v>
      </c>
      <c r="AB409" s="53">
        <v>1.0</v>
      </c>
      <c r="AC409" s="53">
        <v>0.0</v>
      </c>
      <c r="AD409" s="53">
        <v>1.0</v>
      </c>
      <c r="AE409" s="53">
        <v>0.0</v>
      </c>
      <c r="AF409" s="53">
        <v>1.0</v>
      </c>
      <c r="AG409" s="53">
        <v>1.0</v>
      </c>
      <c r="AH409" s="53">
        <v>3.0</v>
      </c>
      <c r="AI409" s="53">
        <v>1.0</v>
      </c>
      <c r="AJ409" s="53">
        <v>0.0</v>
      </c>
      <c r="AK409" s="53">
        <v>7.0</v>
      </c>
      <c r="AL409" s="53">
        <v>1.0</v>
      </c>
      <c r="AM409" s="53">
        <v>1.0</v>
      </c>
      <c r="AN409" s="53">
        <v>1.0</v>
      </c>
      <c r="AO409" s="25">
        <v>22.5</v>
      </c>
      <c r="AP409" s="54"/>
      <c r="AQ409" s="54"/>
      <c r="AR409" s="54"/>
      <c r="AS409" s="54"/>
      <c r="AT409" s="54"/>
      <c r="AU409" s="54"/>
      <c r="AV409" s="53">
        <v>18.88</v>
      </c>
      <c r="AW409" s="54"/>
      <c r="AX409" s="54"/>
      <c r="AY409" s="53">
        <v>14.62</v>
      </c>
      <c r="AZ409" s="54"/>
      <c r="BA409" s="53">
        <v>14.44</v>
      </c>
      <c r="BB409" s="54"/>
      <c r="BC409" s="54"/>
      <c r="BD409" s="54"/>
      <c r="BE409" s="53">
        <v>20.15</v>
      </c>
      <c r="BF409" s="54"/>
      <c r="BG409" s="53">
        <v>18.93</v>
      </c>
      <c r="BH409" s="53">
        <v>19.28</v>
      </c>
      <c r="BI409" s="54"/>
      <c r="BJ409" s="53">
        <v>23.48</v>
      </c>
      <c r="BK409" s="54"/>
      <c r="BL409" s="53">
        <v>16.55</v>
      </c>
      <c r="BM409" s="53">
        <v>23.3</v>
      </c>
      <c r="BN409" s="53">
        <v>19.98</v>
      </c>
      <c r="BO409" s="53">
        <v>0.45</v>
      </c>
      <c r="BP409" s="53">
        <v>4.87</v>
      </c>
      <c r="BQ409" s="53">
        <v>4.76</v>
      </c>
      <c r="BR409" s="53">
        <v>9.42</v>
      </c>
      <c r="BS409" s="25">
        <v>5.17</v>
      </c>
      <c r="BT409" s="56">
        <v>21.7</v>
      </c>
      <c r="BU409" s="25">
        <v>5.0</v>
      </c>
      <c r="BV409" s="25">
        <v>7.06</v>
      </c>
      <c r="BW409" s="54"/>
      <c r="BX409" s="53">
        <v>3000.0</v>
      </c>
      <c r="BY409" s="53" t="s">
        <v>123</v>
      </c>
      <c r="BZ409" s="58">
        <v>2700.0</v>
      </c>
      <c r="CA409" s="29" t="s">
        <v>124</v>
      </c>
      <c r="CB409" s="30">
        <v>2700.0</v>
      </c>
      <c r="CC409" s="31"/>
      <c r="CD409" s="58">
        <v>2700.0</v>
      </c>
      <c r="CE409" s="59" t="e">
        <v>#REF!</v>
      </c>
      <c r="CF409" s="105">
        <v>-300.0</v>
      </c>
      <c r="CG409" s="61">
        <v>-10.0</v>
      </c>
      <c r="CH409" s="62">
        <v>-0.4</v>
      </c>
      <c r="CI409" s="63">
        <v>15.0</v>
      </c>
      <c r="CJ409" s="63">
        <v>2265.0</v>
      </c>
      <c r="CK409" s="64">
        <v>-22.0</v>
      </c>
      <c r="CL409" s="63">
        <v>2243.0</v>
      </c>
      <c r="CM409" s="65">
        <v>563.0</v>
      </c>
      <c r="CN409" s="63">
        <v>13.0</v>
      </c>
      <c r="CO409" s="66">
        <v>36.6</v>
      </c>
      <c r="CP409" s="90">
        <f>+14.1</f>
        <v>14.1</v>
      </c>
      <c r="CQ409" s="63">
        <v>122.0</v>
      </c>
      <c r="CR409" s="63">
        <v>73.0</v>
      </c>
      <c r="CS409" s="63">
        <v>78.0</v>
      </c>
      <c r="CT409" s="68"/>
      <c r="CU409" s="69"/>
      <c r="CV409" s="70"/>
      <c r="CW409" s="71">
        <v>9.0</v>
      </c>
      <c r="CX409" s="71" t="s">
        <v>143</v>
      </c>
      <c r="CY409" s="71" t="s">
        <v>144</v>
      </c>
      <c r="CZ409" s="107" t="s">
        <v>124</v>
      </c>
      <c r="DA409" s="44">
        <v>2700.0</v>
      </c>
      <c r="DB409" s="44">
        <v>0.0</v>
      </c>
      <c r="DC409" s="43"/>
      <c r="DD409" s="78"/>
      <c r="DE409" s="43"/>
      <c r="DF409" s="43"/>
      <c r="DG409" s="48" t="s">
        <v>128</v>
      </c>
      <c r="DH409" s="48" t="s">
        <v>128</v>
      </c>
      <c r="DI409" s="48" t="s">
        <v>128</v>
      </c>
      <c r="DJ409" s="49">
        <v>1.0</v>
      </c>
      <c r="DK409" s="48" t="b">
        <v>0</v>
      </c>
      <c r="DL409" s="50" t="s">
        <v>1035</v>
      </c>
      <c r="DM409" s="50" t="s">
        <v>131</v>
      </c>
      <c r="DN409" s="50" t="s">
        <v>1036</v>
      </c>
      <c r="DO409" s="49">
        <v>0.82</v>
      </c>
      <c r="DP409" s="48" t="s">
        <v>128</v>
      </c>
      <c r="DQ409" s="48" t="s">
        <v>128</v>
      </c>
      <c r="DR409" s="51"/>
      <c r="DS409" s="48" t="s">
        <v>134</v>
      </c>
    </row>
    <row r="410">
      <c r="A410" s="23" t="s">
        <v>118</v>
      </c>
      <c r="B410" s="24">
        <v>13.0</v>
      </c>
      <c r="C410" s="23" t="s">
        <v>1032</v>
      </c>
      <c r="D410" s="24">
        <v>648806.0</v>
      </c>
      <c r="E410" s="23" t="s">
        <v>179</v>
      </c>
      <c r="F410" s="23" t="s">
        <v>1045</v>
      </c>
      <c r="G410" s="23" t="s">
        <v>1046</v>
      </c>
      <c r="H410" s="24">
        <v>33027.0</v>
      </c>
      <c r="I410" s="24">
        <v>1.0</v>
      </c>
      <c r="J410" s="24">
        <v>0.0</v>
      </c>
      <c r="K410" s="24">
        <v>0.0</v>
      </c>
      <c r="L410" s="24">
        <v>0.0</v>
      </c>
      <c r="M410" s="24">
        <v>0.0</v>
      </c>
      <c r="N410" s="24">
        <v>0.0</v>
      </c>
      <c r="O410" s="24">
        <v>0.0</v>
      </c>
      <c r="P410" s="24">
        <v>1.0</v>
      </c>
      <c r="Q410" s="24">
        <v>0.0</v>
      </c>
      <c r="R410" s="24">
        <v>0.0</v>
      </c>
      <c r="S410" s="24">
        <v>0.0</v>
      </c>
      <c r="T410" s="24">
        <v>0.0</v>
      </c>
      <c r="U410" s="24">
        <v>0.0</v>
      </c>
      <c r="V410" s="24">
        <v>0.0</v>
      </c>
      <c r="W410" s="24">
        <v>0.0</v>
      </c>
      <c r="X410" s="24">
        <v>0.0</v>
      </c>
      <c r="Y410" s="24">
        <v>0.0</v>
      </c>
      <c r="Z410" s="24">
        <v>0.0</v>
      </c>
      <c r="AA410" s="24">
        <v>0.0</v>
      </c>
      <c r="AB410" s="24">
        <v>0.0</v>
      </c>
      <c r="AC410" s="24">
        <v>0.0</v>
      </c>
      <c r="AD410" s="24">
        <v>0.0</v>
      </c>
      <c r="AE410" s="24">
        <v>0.0</v>
      </c>
      <c r="AF410" s="24">
        <v>0.0</v>
      </c>
      <c r="AG410" s="24">
        <v>0.0</v>
      </c>
      <c r="AH410" s="24">
        <v>0.0</v>
      </c>
      <c r="AI410" s="24">
        <v>0.0</v>
      </c>
      <c r="AJ410" s="24">
        <v>0.0</v>
      </c>
      <c r="AK410" s="24">
        <v>0.0</v>
      </c>
      <c r="AL410" s="24">
        <v>0.0</v>
      </c>
      <c r="AM410" s="24">
        <v>0.0</v>
      </c>
      <c r="AN410" s="24">
        <v>0.0</v>
      </c>
      <c r="AO410" s="25">
        <v>21.6</v>
      </c>
      <c r="AP410" s="26"/>
      <c r="AQ410" s="26"/>
      <c r="AR410" s="26"/>
      <c r="AS410" s="26"/>
      <c r="AT410" s="26"/>
      <c r="AU410" s="26"/>
      <c r="AV410" s="24">
        <v>21.57</v>
      </c>
      <c r="AW410" s="26"/>
      <c r="AX410" s="26"/>
      <c r="AY410" s="26"/>
      <c r="AZ410" s="26"/>
      <c r="BA410" s="26"/>
      <c r="BB410" s="26"/>
      <c r="BC410" s="26"/>
      <c r="BD410" s="26"/>
      <c r="BE410" s="26"/>
      <c r="BF410" s="26"/>
      <c r="BG410" s="26"/>
      <c r="BH410" s="26"/>
      <c r="BI410" s="26"/>
      <c r="BJ410" s="26"/>
      <c r="BK410" s="26"/>
      <c r="BL410" s="26"/>
      <c r="BM410" s="26"/>
      <c r="BN410" s="26"/>
      <c r="BO410" s="26"/>
      <c r="BP410" s="24">
        <v>5.72</v>
      </c>
      <c r="BQ410" s="24">
        <v>8.18</v>
      </c>
      <c r="BR410" s="24">
        <v>13.67</v>
      </c>
      <c r="BS410" s="25">
        <v>5.12</v>
      </c>
      <c r="BT410" s="56">
        <v>21.6</v>
      </c>
      <c r="BU410" s="25">
        <v>5.1</v>
      </c>
      <c r="BV410" s="57">
        <v>2.55</v>
      </c>
      <c r="BW410" s="26"/>
      <c r="BX410" s="24">
        <v>1500.0</v>
      </c>
      <c r="BY410" s="24" t="s">
        <v>123</v>
      </c>
      <c r="BZ410" s="28">
        <v>1200.0</v>
      </c>
      <c r="CA410" s="29" t="s">
        <v>124</v>
      </c>
      <c r="CB410" s="30">
        <v>2100.0</v>
      </c>
      <c r="CC410" s="31"/>
      <c r="CD410" s="28">
        <v>2100.0</v>
      </c>
      <c r="CE410" s="32" t="e">
        <v>#REF!</v>
      </c>
      <c r="CF410" s="73">
        <f>+600</f>
        <v>600</v>
      </c>
      <c r="CG410" s="74">
        <f t="shared" ref="CG410:CG411" si="9">+1</f>
        <v>1</v>
      </c>
      <c r="CH410" s="35">
        <v>1.0</v>
      </c>
      <c r="CI410" s="36">
        <v>2.0</v>
      </c>
      <c r="CJ410" s="36">
        <v>2265.0</v>
      </c>
      <c r="CK410" s="37">
        <v>-22.0</v>
      </c>
      <c r="CL410" s="36">
        <v>2243.0</v>
      </c>
      <c r="CM410" s="38">
        <v>22.0</v>
      </c>
      <c r="CN410" s="36">
        <v>-16.0</v>
      </c>
      <c r="CO410" s="39">
        <v>18.8</v>
      </c>
      <c r="CP410" s="40">
        <v>-2.8</v>
      </c>
      <c r="CQ410" s="36">
        <v>6.0</v>
      </c>
      <c r="CR410" s="36">
        <v>11.0</v>
      </c>
      <c r="CS410" s="36">
        <v>10.0</v>
      </c>
      <c r="CT410" s="41"/>
      <c r="CU410" s="42"/>
      <c r="CV410" s="43"/>
      <c r="CW410" s="44">
        <v>7.0</v>
      </c>
      <c r="CX410" s="44" t="s">
        <v>201</v>
      </c>
      <c r="CY410" s="44" t="s">
        <v>202</v>
      </c>
      <c r="CZ410" s="76" t="s">
        <v>151</v>
      </c>
      <c r="DA410" s="44">
        <v>2100.0</v>
      </c>
      <c r="DB410" s="44">
        <v>0.0</v>
      </c>
      <c r="DC410" s="43"/>
      <c r="DD410" s="78"/>
      <c r="DE410" s="43"/>
      <c r="DF410" s="43"/>
      <c r="DG410" s="48" t="s">
        <v>128</v>
      </c>
      <c r="DH410" s="48" t="s">
        <v>128</v>
      </c>
      <c r="DI410" s="48" t="s">
        <v>129</v>
      </c>
      <c r="DJ410" s="49">
        <v>1.0</v>
      </c>
      <c r="DK410" s="48" t="b">
        <v>0</v>
      </c>
      <c r="DL410" s="50" t="s">
        <v>1035</v>
      </c>
      <c r="DM410" s="50" t="s">
        <v>131</v>
      </c>
      <c r="DN410" s="50" t="s">
        <v>1036</v>
      </c>
      <c r="DO410" s="49">
        <v>0.82</v>
      </c>
      <c r="DP410" s="48" t="s">
        <v>128</v>
      </c>
      <c r="DQ410" s="48" t="s">
        <v>133</v>
      </c>
      <c r="DR410" s="51"/>
      <c r="DS410" s="48" t="s">
        <v>134</v>
      </c>
    </row>
    <row r="411">
      <c r="A411" s="52" t="s">
        <v>118</v>
      </c>
      <c r="B411" s="53">
        <v>13.0</v>
      </c>
      <c r="C411" s="52" t="s">
        <v>1032</v>
      </c>
      <c r="D411" s="53">
        <v>536832.0</v>
      </c>
      <c r="E411" s="52" t="s">
        <v>158</v>
      </c>
      <c r="F411" s="52" t="s">
        <v>1047</v>
      </c>
      <c r="G411" s="52" t="s">
        <v>1048</v>
      </c>
      <c r="H411" s="53">
        <v>33027.0</v>
      </c>
      <c r="I411" s="53">
        <v>6.0</v>
      </c>
      <c r="J411" s="53">
        <v>0.0</v>
      </c>
      <c r="K411" s="53">
        <v>0.0</v>
      </c>
      <c r="L411" s="53">
        <v>0.0</v>
      </c>
      <c r="M411" s="53">
        <v>0.0</v>
      </c>
      <c r="N411" s="53">
        <v>0.0</v>
      </c>
      <c r="O411" s="53">
        <v>1.0</v>
      </c>
      <c r="P411" s="53">
        <v>1.0</v>
      </c>
      <c r="Q411" s="53">
        <v>1.0</v>
      </c>
      <c r="R411" s="53">
        <v>0.0</v>
      </c>
      <c r="S411" s="53">
        <v>1.0</v>
      </c>
      <c r="T411" s="53">
        <v>0.0</v>
      </c>
      <c r="U411" s="53">
        <v>0.0</v>
      </c>
      <c r="V411" s="53">
        <v>0.0</v>
      </c>
      <c r="W411" s="53">
        <v>0.0</v>
      </c>
      <c r="X411" s="53">
        <v>0.0</v>
      </c>
      <c r="Y411" s="53">
        <v>0.0</v>
      </c>
      <c r="Z411" s="53">
        <v>0.0</v>
      </c>
      <c r="AA411" s="53">
        <v>0.0</v>
      </c>
      <c r="AB411" s="53">
        <v>0.0</v>
      </c>
      <c r="AC411" s="53">
        <v>0.0</v>
      </c>
      <c r="AD411" s="53">
        <v>1.0</v>
      </c>
      <c r="AE411" s="53">
        <v>0.0</v>
      </c>
      <c r="AF411" s="53">
        <v>0.0</v>
      </c>
      <c r="AG411" s="53">
        <v>0.0</v>
      </c>
      <c r="AH411" s="53">
        <v>1.0</v>
      </c>
      <c r="AI411" s="53">
        <v>0.0</v>
      </c>
      <c r="AJ411" s="53">
        <v>0.0</v>
      </c>
      <c r="AK411" s="53">
        <v>0.0</v>
      </c>
      <c r="AL411" s="53">
        <v>0.0</v>
      </c>
      <c r="AM411" s="53">
        <v>0.0</v>
      </c>
      <c r="AN411" s="53">
        <v>0.0</v>
      </c>
      <c r="AO411" s="25">
        <v>18.1</v>
      </c>
      <c r="AP411" s="54"/>
      <c r="AQ411" s="54"/>
      <c r="AR411" s="54"/>
      <c r="AS411" s="54"/>
      <c r="AT411" s="54"/>
      <c r="AU411" s="53">
        <v>14.4</v>
      </c>
      <c r="AV411" s="53">
        <v>22.8</v>
      </c>
      <c r="AW411" s="53">
        <v>15.98</v>
      </c>
      <c r="AX411" s="54"/>
      <c r="AY411" s="53">
        <v>16.53</v>
      </c>
      <c r="AZ411" s="54"/>
      <c r="BA411" s="54"/>
      <c r="BB411" s="54"/>
      <c r="BC411" s="54"/>
      <c r="BD411" s="54"/>
      <c r="BE411" s="54"/>
      <c r="BF411" s="54"/>
      <c r="BG411" s="54"/>
      <c r="BH411" s="54"/>
      <c r="BI411" s="54"/>
      <c r="BJ411" s="53">
        <v>19.75</v>
      </c>
      <c r="BK411" s="54"/>
      <c r="BL411" s="54"/>
      <c r="BM411" s="54"/>
      <c r="BN411" s="53">
        <v>19.38</v>
      </c>
      <c r="BO411" s="54"/>
      <c r="BP411" s="53">
        <v>2.54</v>
      </c>
      <c r="BQ411" s="53">
        <v>6.23</v>
      </c>
      <c r="BR411" s="53">
        <v>8.58</v>
      </c>
      <c r="BS411" s="25">
        <v>4.63</v>
      </c>
      <c r="BT411" s="56">
        <v>19.8</v>
      </c>
      <c r="BU411" s="55">
        <v>3.3</v>
      </c>
      <c r="BV411" s="25">
        <v>7.1</v>
      </c>
      <c r="BW411" s="54"/>
      <c r="BX411" s="53">
        <v>2400.0</v>
      </c>
      <c r="BY411" s="53" t="s">
        <v>123</v>
      </c>
      <c r="BZ411" s="58">
        <v>2100.0</v>
      </c>
      <c r="CA411" s="29" t="s">
        <v>124</v>
      </c>
      <c r="CB411" s="30">
        <v>2700.0</v>
      </c>
      <c r="CC411" s="31"/>
      <c r="CD411" s="58">
        <v>2700.0</v>
      </c>
      <c r="CE411" s="59" t="e">
        <v>#REF!</v>
      </c>
      <c r="CF411" s="79">
        <f>+300</f>
        <v>300</v>
      </c>
      <c r="CG411" s="80">
        <f t="shared" si="9"/>
        <v>1</v>
      </c>
      <c r="CH411" s="62">
        <v>0.17</v>
      </c>
      <c r="CI411" s="63">
        <v>7.0</v>
      </c>
      <c r="CJ411" s="63">
        <v>2265.0</v>
      </c>
      <c r="CK411" s="64">
        <v>-22.0</v>
      </c>
      <c r="CL411" s="63">
        <v>2243.0</v>
      </c>
      <c r="CM411" s="65">
        <v>109.0</v>
      </c>
      <c r="CN411" s="63">
        <v>-20.0</v>
      </c>
      <c r="CO411" s="66">
        <v>18.4</v>
      </c>
      <c r="CP411" s="67">
        <v>0.3</v>
      </c>
      <c r="CQ411" s="63">
        <v>15.0</v>
      </c>
      <c r="CR411" s="63">
        <v>18.0</v>
      </c>
      <c r="CS411" s="63">
        <v>32.0</v>
      </c>
      <c r="CT411" s="68"/>
      <c r="CU411" s="69"/>
      <c r="CV411" s="70"/>
      <c r="CW411" s="71">
        <v>9.0</v>
      </c>
      <c r="CX411" s="71" t="s">
        <v>143</v>
      </c>
      <c r="CY411" s="71" t="s">
        <v>144</v>
      </c>
      <c r="CZ411" s="76" t="s">
        <v>151</v>
      </c>
      <c r="DA411" s="44">
        <v>2700.0</v>
      </c>
      <c r="DB411" s="44">
        <v>0.0</v>
      </c>
      <c r="DC411" s="46" t="s">
        <v>127</v>
      </c>
      <c r="DD411" s="47">
        <v>46240.0</v>
      </c>
      <c r="DE411" s="43"/>
      <c r="DF411" s="43"/>
      <c r="DG411" s="48" t="s">
        <v>128</v>
      </c>
      <c r="DH411" s="48" t="s">
        <v>128</v>
      </c>
      <c r="DI411" s="48" t="s">
        <v>128</v>
      </c>
      <c r="DJ411" s="49">
        <v>1.0</v>
      </c>
      <c r="DK411" s="48" t="b">
        <v>0</v>
      </c>
      <c r="DL411" s="50" t="s">
        <v>1035</v>
      </c>
      <c r="DM411" s="50" t="s">
        <v>131</v>
      </c>
      <c r="DN411" s="50" t="s">
        <v>1036</v>
      </c>
      <c r="DO411" s="49">
        <v>0.82</v>
      </c>
      <c r="DP411" s="48" t="s">
        <v>128</v>
      </c>
      <c r="DQ411" s="48" t="s">
        <v>128</v>
      </c>
      <c r="DR411" s="51"/>
      <c r="DS411" s="48" t="s">
        <v>134</v>
      </c>
    </row>
    <row r="412">
      <c r="A412" s="23" t="s">
        <v>118</v>
      </c>
      <c r="B412" s="24">
        <v>13.0</v>
      </c>
      <c r="C412" s="23" t="s">
        <v>1032</v>
      </c>
      <c r="D412" s="24">
        <v>639495.0</v>
      </c>
      <c r="E412" s="23" t="s">
        <v>155</v>
      </c>
      <c r="F412" s="23" t="s">
        <v>1049</v>
      </c>
      <c r="G412" s="23" t="s">
        <v>1050</v>
      </c>
      <c r="H412" s="24">
        <v>33027.0</v>
      </c>
      <c r="I412" s="24">
        <v>40.0</v>
      </c>
      <c r="J412" s="24">
        <v>0.0</v>
      </c>
      <c r="K412" s="24">
        <v>0.0</v>
      </c>
      <c r="L412" s="24">
        <v>0.0</v>
      </c>
      <c r="M412" s="24">
        <v>0.0</v>
      </c>
      <c r="N412" s="24">
        <v>2.0</v>
      </c>
      <c r="O412" s="24">
        <v>0.0</v>
      </c>
      <c r="P412" s="24">
        <v>1.0</v>
      </c>
      <c r="Q412" s="24">
        <v>0.0</v>
      </c>
      <c r="R412" s="24">
        <v>0.0</v>
      </c>
      <c r="S412" s="24">
        <v>2.0</v>
      </c>
      <c r="T412" s="24">
        <v>2.0</v>
      </c>
      <c r="U412" s="24">
        <v>5.0</v>
      </c>
      <c r="V412" s="24">
        <v>6.0</v>
      </c>
      <c r="W412" s="24">
        <v>2.0</v>
      </c>
      <c r="X412" s="24">
        <v>0.0</v>
      </c>
      <c r="Y412" s="24">
        <v>0.0</v>
      </c>
      <c r="Z412" s="24">
        <v>1.0</v>
      </c>
      <c r="AA412" s="24">
        <v>2.0</v>
      </c>
      <c r="AB412" s="24">
        <v>2.0</v>
      </c>
      <c r="AC412" s="24">
        <v>5.0</v>
      </c>
      <c r="AD412" s="24">
        <v>3.0</v>
      </c>
      <c r="AE412" s="24">
        <v>0.0</v>
      </c>
      <c r="AF412" s="24">
        <v>2.0</v>
      </c>
      <c r="AG412" s="24">
        <v>0.0</v>
      </c>
      <c r="AH412" s="24">
        <v>3.0</v>
      </c>
      <c r="AI412" s="24">
        <v>0.0</v>
      </c>
      <c r="AJ412" s="24">
        <v>1.0</v>
      </c>
      <c r="AK412" s="24">
        <v>0.0</v>
      </c>
      <c r="AL412" s="24">
        <v>0.0</v>
      </c>
      <c r="AM412" s="24">
        <v>0.0</v>
      </c>
      <c r="AN412" s="24">
        <v>1.0</v>
      </c>
      <c r="AO412" s="25">
        <v>22.4</v>
      </c>
      <c r="AP412" s="26"/>
      <c r="AQ412" s="26"/>
      <c r="AR412" s="26"/>
      <c r="AS412" s="26"/>
      <c r="AT412" s="24">
        <v>0.0</v>
      </c>
      <c r="AU412" s="26"/>
      <c r="AV412" s="24">
        <v>40.97</v>
      </c>
      <c r="AW412" s="26"/>
      <c r="AX412" s="26"/>
      <c r="AY412" s="24">
        <v>17.5</v>
      </c>
      <c r="AZ412" s="24">
        <v>17.81</v>
      </c>
      <c r="BA412" s="24">
        <v>16.84</v>
      </c>
      <c r="BB412" s="24">
        <v>21.23</v>
      </c>
      <c r="BC412" s="24">
        <v>19.98</v>
      </c>
      <c r="BD412" s="26"/>
      <c r="BE412" s="26"/>
      <c r="BF412" s="24">
        <v>17.63</v>
      </c>
      <c r="BG412" s="24">
        <v>21.79</v>
      </c>
      <c r="BH412" s="24">
        <v>18.94</v>
      </c>
      <c r="BI412" s="24">
        <v>21.06</v>
      </c>
      <c r="BJ412" s="24">
        <v>34.01</v>
      </c>
      <c r="BK412" s="26"/>
      <c r="BL412" s="24">
        <v>20.72</v>
      </c>
      <c r="BM412" s="26"/>
      <c r="BN412" s="24">
        <v>28.01</v>
      </c>
      <c r="BO412" s="24">
        <v>0.35</v>
      </c>
      <c r="BP412" s="24">
        <v>5.17</v>
      </c>
      <c r="BQ412" s="24">
        <v>6.92</v>
      </c>
      <c r="BR412" s="24">
        <v>11.88</v>
      </c>
      <c r="BS412" s="25">
        <v>4.03</v>
      </c>
      <c r="BT412" s="56">
        <v>18.6</v>
      </c>
      <c r="BU412" s="55">
        <v>3.2</v>
      </c>
      <c r="BV412" s="57">
        <v>5.41</v>
      </c>
      <c r="BW412" s="24">
        <v>1600.0</v>
      </c>
      <c r="BX412" s="24">
        <v>2100.0</v>
      </c>
      <c r="BY412" s="24" t="s">
        <v>123</v>
      </c>
      <c r="BZ412" s="28">
        <v>1800.0</v>
      </c>
      <c r="CA412" s="29" t="s">
        <v>124</v>
      </c>
      <c r="CB412" s="30">
        <v>2100.0</v>
      </c>
      <c r="CC412" s="31"/>
      <c r="CD412" s="28">
        <v>2100.0</v>
      </c>
      <c r="CE412" s="32" t="e">
        <v>#REF!</v>
      </c>
      <c r="CF412" s="33"/>
      <c r="CG412" s="34">
        <v>0.0</v>
      </c>
      <c r="CH412" s="35">
        <v>0.0</v>
      </c>
      <c r="CI412" s="36">
        <v>40.0</v>
      </c>
      <c r="CJ412" s="36">
        <v>2265.0</v>
      </c>
      <c r="CK412" s="37">
        <v>-22.0</v>
      </c>
      <c r="CL412" s="36">
        <v>2243.0</v>
      </c>
      <c r="CM412" s="38">
        <v>896.0</v>
      </c>
      <c r="CN412" s="36">
        <v>0.0</v>
      </c>
      <c r="CO412" s="39">
        <v>22.4</v>
      </c>
      <c r="CP412" s="40">
        <v>0.0</v>
      </c>
      <c r="CQ412" s="36">
        <v>207.0</v>
      </c>
      <c r="CR412" s="36">
        <v>207.0</v>
      </c>
      <c r="CS412" s="36">
        <v>161.0</v>
      </c>
      <c r="CT412" s="41"/>
      <c r="CU412" s="42"/>
      <c r="CV412" s="43"/>
      <c r="CW412" s="44">
        <v>7.0</v>
      </c>
      <c r="CX412" s="44" t="s">
        <v>201</v>
      </c>
      <c r="CY412" s="44" t="s">
        <v>202</v>
      </c>
      <c r="CZ412" s="45"/>
      <c r="DA412" s="44">
        <v>2100.0</v>
      </c>
      <c r="DB412" s="44">
        <v>0.0</v>
      </c>
      <c r="DC412" s="43"/>
      <c r="DD412" s="78"/>
      <c r="DE412" s="43"/>
      <c r="DF412" s="43"/>
      <c r="DG412" s="48" t="s">
        <v>128</v>
      </c>
      <c r="DH412" s="48" t="s">
        <v>128</v>
      </c>
      <c r="DI412" s="48" t="s">
        <v>128</v>
      </c>
      <c r="DJ412" s="49">
        <v>1.0</v>
      </c>
      <c r="DK412" s="48" t="b">
        <v>0</v>
      </c>
      <c r="DL412" s="50" t="s">
        <v>1035</v>
      </c>
      <c r="DM412" s="50" t="s">
        <v>131</v>
      </c>
      <c r="DN412" s="50" t="s">
        <v>1036</v>
      </c>
      <c r="DO412" s="49">
        <v>0.82</v>
      </c>
      <c r="DP412" s="48" t="s">
        <v>128</v>
      </c>
      <c r="DQ412" s="48" t="s">
        <v>128</v>
      </c>
      <c r="DR412" s="51"/>
      <c r="DS412" s="48" t="s">
        <v>134</v>
      </c>
    </row>
    <row r="413">
      <c r="A413" s="52" t="s">
        <v>118</v>
      </c>
      <c r="B413" s="53">
        <v>13.0</v>
      </c>
      <c r="C413" s="52" t="s">
        <v>1032</v>
      </c>
      <c r="D413" s="53">
        <v>627274.0</v>
      </c>
      <c r="E413" s="52" t="s">
        <v>173</v>
      </c>
      <c r="F413" s="52" t="s">
        <v>1051</v>
      </c>
      <c r="G413" s="52" t="s">
        <v>1052</v>
      </c>
      <c r="H413" s="53">
        <v>33027.0</v>
      </c>
      <c r="I413" s="53">
        <v>4.0</v>
      </c>
      <c r="J413" s="53">
        <v>0.0</v>
      </c>
      <c r="K413" s="53">
        <v>0.0</v>
      </c>
      <c r="L413" s="53">
        <v>0.0</v>
      </c>
      <c r="M413" s="53">
        <v>0.0</v>
      </c>
      <c r="N413" s="53">
        <v>0.0</v>
      </c>
      <c r="O413" s="53">
        <v>0.0</v>
      </c>
      <c r="P413" s="53">
        <v>0.0</v>
      </c>
      <c r="Q413" s="53">
        <v>0.0</v>
      </c>
      <c r="R413" s="53">
        <v>1.0</v>
      </c>
      <c r="S413" s="53">
        <v>0.0</v>
      </c>
      <c r="T413" s="53">
        <v>1.0</v>
      </c>
      <c r="U413" s="53">
        <v>0.0</v>
      </c>
      <c r="V413" s="53">
        <v>0.0</v>
      </c>
      <c r="W413" s="53">
        <v>0.0</v>
      </c>
      <c r="X413" s="53">
        <v>1.0</v>
      </c>
      <c r="Y413" s="53">
        <v>0.0</v>
      </c>
      <c r="Z413" s="53">
        <v>0.0</v>
      </c>
      <c r="AA413" s="53">
        <v>0.0</v>
      </c>
      <c r="AB413" s="53">
        <v>0.0</v>
      </c>
      <c r="AC413" s="53">
        <v>0.0</v>
      </c>
      <c r="AD413" s="53">
        <v>1.0</v>
      </c>
      <c r="AE413" s="53">
        <v>0.0</v>
      </c>
      <c r="AF413" s="53">
        <v>0.0</v>
      </c>
      <c r="AG413" s="53">
        <v>0.0</v>
      </c>
      <c r="AH413" s="53">
        <v>0.0</v>
      </c>
      <c r="AI413" s="53">
        <v>0.0</v>
      </c>
      <c r="AJ413" s="53">
        <v>0.0</v>
      </c>
      <c r="AK413" s="53">
        <v>0.0</v>
      </c>
      <c r="AL413" s="53">
        <v>0.0</v>
      </c>
      <c r="AM413" s="53">
        <v>0.0</v>
      </c>
      <c r="AN413" s="53">
        <v>0.0</v>
      </c>
      <c r="AO413" s="25">
        <v>27.2</v>
      </c>
      <c r="AP413" s="54"/>
      <c r="AQ413" s="54"/>
      <c r="AR413" s="54"/>
      <c r="AS413" s="54"/>
      <c r="AT413" s="54"/>
      <c r="AU413" s="54"/>
      <c r="AV413" s="54"/>
      <c r="AW413" s="54"/>
      <c r="AX413" s="53">
        <v>17.58</v>
      </c>
      <c r="AY413" s="54"/>
      <c r="AZ413" s="53">
        <v>20.03</v>
      </c>
      <c r="BA413" s="54"/>
      <c r="BB413" s="54"/>
      <c r="BC413" s="54"/>
      <c r="BD413" s="53">
        <v>16.23</v>
      </c>
      <c r="BE413" s="54"/>
      <c r="BF413" s="54"/>
      <c r="BG413" s="54"/>
      <c r="BH413" s="54"/>
      <c r="BI413" s="54"/>
      <c r="BJ413" s="53">
        <v>54.97</v>
      </c>
      <c r="BK413" s="54"/>
      <c r="BL413" s="54"/>
      <c r="BM413" s="54"/>
      <c r="BN413" s="54"/>
      <c r="BO413" s="54"/>
      <c r="BP413" s="53">
        <v>12.8</v>
      </c>
      <c r="BQ413" s="53">
        <v>4.98</v>
      </c>
      <c r="BR413" s="53">
        <v>17.58</v>
      </c>
      <c r="BS413" s="55">
        <v>3.9</v>
      </c>
      <c r="BT413" s="81"/>
      <c r="BU413" s="54"/>
      <c r="BV413" s="54"/>
      <c r="BW413" s="54"/>
      <c r="BX413" s="53">
        <v>2700.0</v>
      </c>
      <c r="BY413" s="53" t="s">
        <v>123</v>
      </c>
      <c r="BZ413" s="58">
        <v>2400.0</v>
      </c>
      <c r="CA413" s="29" t="s">
        <v>124</v>
      </c>
      <c r="CB413" s="30">
        <v>2700.0</v>
      </c>
      <c r="CC413" s="31"/>
      <c r="CD413" s="58">
        <v>2700.0</v>
      </c>
      <c r="CE413" s="59" t="e">
        <v>#REF!</v>
      </c>
      <c r="CF413" s="60"/>
      <c r="CG413" s="61">
        <v>0.0</v>
      </c>
      <c r="CH413" s="62">
        <v>0.0</v>
      </c>
      <c r="CI413" s="63">
        <v>4.0</v>
      </c>
      <c r="CJ413" s="63">
        <v>2265.0</v>
      </c>
      <c r="CK413" s="64">
        <v>-22.0</v>
      </c>
      <c r="CL413" s="63">
        <v>2243.0</v>
      </c>
      <c r="CM413" s="65">
        <v>109.0</v>
      </c>
      <c r="CN413" s="63">
        <v>0.0</v>
      </c>
      <c r="CO413" s="66">
        <v>27.2</v>
      </c>
      <c r="CP413" s="67">
        <v>0.0</v>
      </c>
      <c r="CQ413" s="63">
        <v>51.0</v>
      </c>
      <c r="CR413" s="63">
        <v>51.0</v>
      </c>
      <c r="CS413" s="63">
        <v>16.0</v>
      </c>
      <c r="CT413" s="68"/>
      <c r="CU413" s="69"/>
      <c r="CV413" s="70"/>
      <c r="CW413" s="71">
        <v>9.0</v>
      </c>
      <c r="CX413" s="71" t="s">
        <v>143</v>
      </c>
      <c r="CY413" s="71" t="s">
        <v>144</v>
      </c>
      <c r="CZ413" s="45"/>
      <c r="DA413" s="44">
        <v>2700.0</v>
      </c>
      <c r="DB413" s="44">
        <v>0.0</v>
      </c>
      <c r="DC413" s="43"/>
      <c r="DD413" s="78"/>
      <c r="DE413" s="43"/>
      <c r="DF413" s="43"/>
      <c r="DG413" s="48" t="s">
        <v>128</v>
      </c>
      <c r="DH413" s="48" t="s">
        <v>128</v>
      </c>
      <c r="DI413" s="48" t="s">
        <v>129</v>
      </c>
      <c r="DJ413" s="49">
        <v>1.0</v>
      </c>
      <c r="DK413" s="48" t="b">
        <v>0</v>
      </c>
      <c r="DL413" s="50" t="s">
        <v>1035</v>
      </c>
      <c r="DM413" s="50" t="s">
        <v>131</v>
      </c>
      <c r="DN413" s="50" t="s">
        <v>1036</v>
      </c>
      <c r="DO413" s="49">
        <v>0.82</v>
      </c>
      <c r="DP413" s="48" t="s">
        <v>128</v>
      </c>
      <c r="DQ413" s="48" t="s">
        <v>133</v>
      </c>
      <c r="DR413" s="51"/>
      <c r="DS413" s="48" t="s">
        <v>134</v>
      </c>
    </row>
    <row r="414">
      <c r="A414" s="23" t="s">
        <v>118</v>
      </c>
      <c r="B414" s="24">
        <v>13.0</v>
      </c>
      <c r="C414" s="23" t="s">
        <v>1032</v>
      </c>
      <c r="D414" s="24">
        <v>576393.0</v>
      </c>
      <c r="E414" s="23" t="s">
        <v>164</v>
      </c>
      <c r="F414" s="23" t="s">
        <v>1053</v>
      </c>
      <c r="G414" s="23" t="s">
        <v>1054</v>
      </c>
      <c r="H414" s="24">
        <v>33027.0</v>
      </c>
      <c r="I414" s="24">
        <v>14.0</v>
      </c>
      <c r="J414" s="24">
        <v>0.0</v>
      </c>
      <c r="K414" s="24">
        <v>0.0</v>
      </c>
      <c r="L414" s="24">
        <v>0.0</v>
      </c>
      <c r="M414" s="24">
        <v>0.0</v>
      </c>
      <c r="N414" s="24">
        <v>0.0</v>
      </c>
      <c r="O414" s="24">
        <v>0.0</v>
      </c>
      <c r="P414" s="24">
        <v>0.0</v>
      </c>
      <c r="Q414" s="24">
        <v>1.0</v>
      </c>
      <c r="R414" s="24">
        <v>0.0</v>
      </c>
      <c r="S414" s="24">
        <v>1.0</v>
      </c>
      <c r="T414" s="24">
        <v>1.0</v>
      </c>
      <c r="U414" s="24">
        <v>0.0</v>
      </c>
      <c r="V414" s="24">
        <v>1.0</v>
      </c>
      <c r="W414" s="24">
        <v>0.0</v>
      </c>
      <c r="X414" s="24">
        <v>2.0</v>
      </c>
      <c r="Y414" s="24">
        <v>1.0</v>
      </c>
      <c r="Z414" s="24">
        <v>0.0</v>
      </c>
      <c r="AA414" s="24">
        <v>0.0</v>
      </c>
      <c r="AB414" s="24">
        <v>1.0</v>
      </c>
      <c r="AC414" s="24">
        <v>0.0</v>
      </c>
      <c r="AD414" s="24">
        <v>1.0</v>
      </c>
      <c r="AE414" s="24">
        <v>1.0</v>
      </c>
      <c r="AF414" s="24">
        <v>1.0</v>
      </c>
      <c r="AG414" s="24">
        <v>1.0</v>
      </c>
      <c r="AH414" s="24">
        <v>0.0</v>
      </c>
      <c r="AI414" s="24">
        <v>0.0</v>
      </c>
      <c r="AJ414" s="24">
        <v>2.0</v>
      </c>
      <c r="AK414" s="24">
        <v>0.0</v>
      </c>
      <c r="AL414" s="24">
        <v>0.0</v>
      </c>
      <c r="AM414" s="24">
        <v>0.0</v>
      </c>
      <c r="AN414" s="24">
        <v>0.0</v>
      </c>
      <c r="AO414" s="25">
        <v>20.2</v>
      </c>
      <c r="AP414" s="26"/>
      <c r="AQ414" s="26"/>
      <c r="AR414" s="26"/>
      <c r="AS414" s="26"/>
      <c r="AT414" s="26"/>
      <c r="AU414" s="26"/>
      <c r="AV414" s="26"/>
      <c r="AW414" s="24">
        <v>8.08</v>
      </c>
      <c r="AX414" s="26"/>
      <c r="AY414" s="24">
        <v>17.55</v>
      </c>
      <c r="AZ414" s="24">
        <v>15.63</v>
      </c>
      <c r="BA414" s="26"/>
      <c r="BB414" s="24">
        <v>17.15</v>
      </c>
      <c r="BC414" s="26"/>
      <c r="BD414" s="24">
        <v>25.44</v>
      </c>
      <c r="BE414" s="24">
        <v>16.72</v>
      </c>
      <c r="BF414" s="26"/>
      <c r="BG414" s="26"/>
      <c r="BH414" s="24">
        <v>22.12</v>
      </c>
      <c r="BI414" s="26"/>
      <c r="BJ414" s="24">
        <v>26.12</v>
      </c>
      <c r="BK414" s="24">
        <v>14.42</v>
      </c>
      <c r="BL414" s="24">
        <v>32.82</v>
      </c>
      <c r="BM414" s="24">
        <v>21.73</v>
      </c>
      <c r="BN414" s="26"/>
      <c r="BO414" s="24">
        <v>0.33</v>
      </c>
      <c r="BP414" s="24">
        <v>5.25</v>
      </c>
      <c r="BQ414" s="24">
        <v>4.63</v>
      </c>
      <c r="BR414" s="24">
        <v>9.67</v>
      </c>
      <c r="BS414" s="55">
        <v>3.71</v>
      </c>
      <c r="BT414" s="91">
        <v>16.7</v>
      </c>
      <c r="BU414" s="57">
        <v>2.9</v>
      </c>
      <c r="BV414" s="57">
        <v>5.4</v>
      </c>
      <c r="BW414" s="26"/>
      <c r="BX414" s="24">
        <v>2400.0</v>
      </c>
      <c r="BY414" s="24" t="s">
        <v>123</v>
      </c>
      <c r="BZ414" s="28">
        <v>2100.0</v>
      </c>
      <c r="CA414" s="29" t="s">
        <v>124</v>
      </c>
      <c r="CB414" s="30">
        <v>2400.0</v>
      </c>
      <c r="CC414" s="31"/>
      <c r="CD414" s="28">
        <v>2400.0</v>
      </c>
      <c r="CE414" s="32" t="e">
        <v>#REF!</v>
      </c>
      <c r="CF414" s="33"/>
      <c r="CG414" s="34">
        <v>0.0</v>
      </c>
      <c r="CH414" s="35">
        <v>0.0</v>
      </c>
      <c r="CI414" s="36">
        <v>14.0</v>
      </c>
      <c r="CJ414" s="36">
        <v>2265.0</v>
      </c>
      <c r="CK414" s="37">
        <v>-22.0</v>
      </c>
      <c r="CL414" s="36">
        <v>2243.0</v>
      </c>
      <c r="CM414" s="38">
        <v>283.0</v>
      </c>
      <c r="CN414" s="36">
        <v>0.0</v>
      </c>
      <c r="CO414" s="39">
        <v>20.2</v>
      </c>
      <c r="CP414" s="40">
        <v>0.0</v>
      </c>
      <c r="CQ414" s="36">
        <v>74.0</v>
      </c>
      <c r="CR414" s="36">
        <v>74.0</v>
      </c>
      <c r="CS414" s="36">
        <v>52.0</v>
      </c>
      <c r="CT414" s="41"/>
      <c r="CU414" s="42"/>
      <c r="CV414" s="43"/>
      <c r="CW414" s="44">
        <v>8.0</v>
      </c>
      <c r="CX414" s="44" t="s">
        <v>125</v>
      </c>
      <c r="CY414" s="44" t="s">
        <v>126</v>
      </c>
      <c r="CZ414" s="45"/>
      <c r="DA414" s="44">
        <v>2400.0</v>
      </c>
      <c r="DB414" s="44">
        <v>0.0</v>
      </c>
      <c r="DC414" s="46" t="s">
        <v>127</v>
      </c>
      <c r="DD414" s="47">
        <v>46246.0</v>
      </c>
      <c r="DE414" s="43"/>
      <c r="DF414" s="43"/>
      <c r="DG414" s="48" t="s">
        <v>128</v>
      </c>
      <c r="DH414" s="48" t="s">
        <v>128</v>
      </c>
      <c r="DI414" s="48" t="s">
        <v>128</v>
      </c>
      <c r="DJ414" s="49">
        <v>1.0</v>
      </c>
      <c r="DK414" s="48" t="b">
        <v>0</v>
      </c>
      <c r="DL414" s="50" t="s">
        <v>1035</v>
      </c>
      <c r="DM414" s="50" t="s">
        <v>131</v>
      </c>
      <c r="DN414" s="50" t="s">
        <v>1036</v>
      </c>
      <c r="DO414" s="49">
        <v>0.82</v>
      </c>
      <c r="DP414" s="48" t="s">
        <v>128</v>
      </c>
      <c r="DQ414" s="48" t="s">
        <v>128</v>
      </c>
      <c r="DR414" s="51"/>
      <c r="DS414" s="48" t="s">
        <v>134</v>
      </c>
    </row>
    <row r="415">
      <c r="A415" s="52" t="s">
        <v>118</v>
      </c>
      <c r="B415" s="53">
        <v>13.0</v>
      </c>
      <c r="C415" s="52" t="s">
        <v>1032</v>
      </c>
      <c r="D415" s="53">
        <v>648801.0</v>
      </c>
      <c r="E415" s="52" t="s">
        <v>198</v>
      </c>
      <c r="F415" s="52" t="s">
        <v>1055</v>
      </c>
      <c r="G415" s="52" t="s">
        <v>1056</v>
      </c>
      <c r="H415" s="53">
        <v>33027.0</v>
      </c>
      <c r="I415" s="53">
        <v>1.0</v>
      </c>
      <c r="J415" s="53">
        <v>0.0</v>
      </c>
      <c r="K415" s="53">
        <v>0.0</v>
      </c>
      <c r="L415" s="53">
        <v>0.0</v>
      </c>
      <c r="M415" s="53">
        <v>0.0</v>
      </c>
      <c r="N415" s="53">
        <v>0.0</v>
      </c>
      <c r="O415" s="53">
        <v>0.0</v>
      </c>
      <c r="P415" s="53">
        <v>0.0</v>
      </c>
      <c r="Q415" s="53">
        <v>0.0</v>
      </c>
      <c r="R415" s="53">
        <v>0.0</v>
      </c>
      <c r="S415" s="53">
        <v>0.0</v>
      </c>
      <c r="T415" s="53">
        <v>0.0</v>
      </c>
      <c r="U415" s="53">
        <v>0.0</v>
      </c>
      <c r="V415" s="53">
        <v>0.0</v>
      </c>
      <c r="W415" s="53">
        <v>0.0</v>
      </c>
      <c r="X415" s="53">
        <v>0.0</v>
      </c>
      <c r="Y415" s="53">
        <v>0.0</v>
      </c>
      <c r="Z415" s="53">
        <v>0.0</v>
      </c>
      <c r="AA415" s="53">
        <v>0.0</v>
      </c>
      <c r="AB415" s="53">
        <v>0.0</v>
      </c>
      <c r="AC415" s="53">
        <v>0.0</v>
      </c>
      <c r="AD415" s="53">
        <v>0.0</v>
      </c>
      <c r="AE415" s="53">
        <v>0.0</v>
      </c>
      <c r="AF415" s="53">
        <v>0.0</v>
      </c>
      <c r="AG415" s="53">
        <v>1.0</v>
      </c>
      <c r="AH415" s="53">
        <v>0.0</v>
      </c>
      <c r="AI415" s="53">
        <v>0.0</v>
      </c>
      <c r="AJ415" s="53">
        <v>0.0</v>
      </c>
      <c r="AK415" s="53">
        <v>0.0</v>
      </c>
      <c r="AL415" s="53">
        <v>0.0</v>
      </c>
      <c r="AM415" s="53">
        <v>0.0</v>
      </c>
      <c r="AN415" s="53">
        <v>0.0</v>
      </c>
      <c r="AO415" s="25">
        <v>20.9</v>
      </c>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3">
        <v>20.92</v>
      </c>
      <c r="BN415" s="54"/>
      <c r="BO415" s="54"/>
      <c r="BP415" s="53">
        <v>0.93</v>
      </c>
      <c r="BQ415" s="53">
        <v>11.28</v>
      </c>
      <c r="BR415" s="53">
        <v>11.95</v>
      </c>
      <c r="BS415" s="55">
        <v>3.3</v>
      </c>
      <c r="BT415" s="56">
        <v>20.9</v>
      </c>
      <c r="BU415" s="55">
        <v>3.3</v>
      </c>
      <c r="BV415" s="57">
        <v>5.4</v>
      </c>
      <c r="BW415" s="54"/>
      <c r="BX415" s="53">
        <v>2400.0</v>
      </c>
      <c r="BY415" s="53" t="s">
        <v>123</v>
      </c>
      <c r="BZ415" s="58">
        <v>2100.0</v>
      </c>
      <c r="CA415" s="29" t="s">
        <v>124</v>
      </c>
      <c r="CB415" s="30">
        <v>2400.0</v>
      </c>
      <c r="CC415" s="31"/>
      <c r="CD415" s="58">
        <v>2400.0</v>
      </c>
      <c r="CE415" s="59" t="e">
        <v>#REF!</v>
      </c>
      <c r="CF415" s="60"/>
      <c r="CG415" s="61">
        <v>0.0</v>
      </c>
      <c r="CH415" s="62">
        <v>0.0</v>
      </c>
      <c r="CI415" s="63">
        <v>1.0</v>
      </c>
      <c r="CJ415" s="63">
        <v>2265.0</v>
      </c>
      <c r="CK415" s="64">
        <v>-22.0</v>
      </c>
      <c r="CL415" s="63">
        <v>2243.0</v>
      </c>
      <c r="CM415" s="65">
        <v>21.0</v>
      </c>
      <c r="CN415" s="63">
        <v>0.0</v>
      </c>
      <c r="CO415" s="66">
        <v>20.9</v>
      </c>
      <c r="CP415" s="67">
        <v>0.0</v>
      </c>
      <c r="CQ415" s="63">
        <v>1.0</v>
      </c>
      <c r="CR415" s="63">
        <v>1.0</v>
      </c>
      <c r="CS415" s="63">
        <v>3.0</v>
      </c>
      <c r="CT415" s="68"/>
      <c r="CU415" s="69"/>
      <c r="CV415" s="70"/>
      <c r="CW415" s="71">
        <v>8.0</v>
      </c>
      <c r="CX415" s="71" t="s">
        <v>125</v>
      </c>
      <c r="CY415" s="71" t="s">
        <v>126</v>
      </c>
      <c r="CZ415" s="45"/>
      <c r="DA415" s="44">
        <v>2400.0</v>
      </c>
      <c r="DB415" s="44">
        <v>0.0</v>
      </c>
      <c r="DC415" s="43"/>
      <c r="DD415" s="78"/>
      <c r="DE415" s="43"/>
      <c r="DF415" s="43"/>
      <c r="DG415" s="48" t="s">
        <v>128</v>
      </c>
      <c r="DH415" s="48" t="s">
        <v>128</v>
      </c>
      <c r="DI415" s="48" t="s">
        <v>128</v>
      </c>
      <c r="DJ415" s="49">
        <v>1.0</v>
      </c>
      <c r="DK415" s="48" t="b">
        <v>0</v>
      </c>
      <c r="DL415" s="50" t="s">
        <v>1035</v>
      </c>
      <c r="DM415" s="50" t="s">
        <v>131</v>
      </c>
      <c r="DN415" s="50" t="s">
        <v>1036</v>
      </c>
      <c r="DO415" s="49">
        <v>0.82</v>
      </c>
      <c r="DP415" s="48" t="s">
        <v>128</v>
      </c>
      <c r="DQ415" s="48" t="s">
        <v>128</v>
      </c>
      <c r="DR415" s="48" t="s">
        <v>526</v>
      </c>
      <c r="DS415" s="48" t="s">
        <v>134</v>
      </c>
    </row>
    <row r="416">
      <c r="A416" s="23" t="s">
        <v>118</v>
      </c>
      <c r="B416" s="24">
        <v>13.0</v>
      </c>
      <c r="C416" s="23" t="s">
        <v>1032</v>
      </c>
      <c r="D416" s="24">
        <v>669823.0</v>
      </c>
      <c r="E416" s="23" t="s">
        <v>214</v>
      </c>
      <c r="F416" s="23" t="s">
        <v>1057</v>
      </c>
      <c r="G416" s="23" t="s">
        <v>1058</v>
      </c>
      <c r="H416" s="24">
        <v>33027.0</v>
      </c>
      <c r="I416" s="24">
        <v>1.0</v>
      </c>
      <c r="J416" s="24">
        <v>1.0</v>
      </c>
      <c r="K416" s="24">
        <v>0.0</v>
      </c>
      <c r="L416" s="24">
        <v>0.0</v>
      </c>
      <c r="M416" s="24">
        <v>0.0</v>
      </c>
      <c r="N416" s="24">
        <v>0.0</v>
      </c>
      <c r="O416" s="24">
        <v>0.0</v>
      </c>
      <c r="P416" s="24">
        <v>0.0</v>
      </c>
      <c r="Q416" s="24">
        <v>0.0</v>
      </c>
      <c r="R416" s="24">
        <v>0.0</v>
      </c>
      <c r="S416" s="24">
        <v>0.0</v>
      </c>
      <c r="T416" s="24">
        <v>0.0</v>
      </c>
      <c r="U416" s="24">
        <v>0.0</v>
      </c>
      <c r="V416" s="24">
        <v>0.0</v>
      </c>
      <c r="W416" s="24">
        <v>0.0</v>
      </c>
      <c r="X416" s="24">
        <v>0.0</v>
      </c>
      <c r="Y416" s="24">
        <v>0.0</v>
      </c>
      <c r="Z416" s="24">
        <v>0.0</v>
      </c>
      <c r="AA416" s="24">
        <v>0.0</v>
      </c>
      <c r="AB416" s="24">
        <v>0.0</v>
      </c>
      <c r="AC416" s="24">
        <v>0.0</v>
      </c>
      <c r="AD416" s="24">
        <v>0.0</v>
      </c>
      <c r="AE416" s="24">
        <v>0.0</v>
      </c>
      <c r="AF416" s="24">
        <v>0.0</v>
      </c>
      <c r="AG416" s="24">
        <v>0.0</v>
      </c>
      <c r="AH416" s="24">
        <v>0.0</v>
      </c>
      <c r="AI416" s="24">
        <v>0.0</v>
      </c>
      <c r="AJ416" s="24">
        <v>0.0</v>
      </c>
      <c r="AK416" s="24">
        <v>0.0</v>
      </c>
      <c r="AL416" s="24">
        <v>0.0</v>
      </c>
      <c r="AM416" s="24">
        <v>0.0</v>
      </c>
      <c r="AN416" s="24">
        <v>0.0</v>
      </c>
      <c r="AO416" s="57">
        <v>9.2</v>
      </c>
      <c r="AP416" s="24">
        <v>9.23</v>
      </c>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4">
        <v>4.97</v>
      </c>
      <c r="BQ416" s="24">
        <v>2.6</v>
      </c>
      <c r="BR416" s="24">
        <v>7.38</v>
      </c>
      <c r="BS416" s="57">
        <v>1.53</v>
      </c>
      <c r="BT416" s="77">
        <v>9.2</v>
      </c>
      <c r="BU416" s="57">
        <v>1.5</v>
      </c>
      <c r="BV416" s="57">
        <v>0.13</v>
      </c>
      <c r="BW416" s="26"/>
      <c r="BX416" s="24">
        <v>2400.0</v>
      </c>
      <c r="BY416" s="24" t="s">
        <v>123</v>
      </c>
      <c r="BZ416" s="28">
        <v>3000.0</v>
      </c>
      <c r="CA416" s="92" t="s">
        <v>151</v>
      </c>
      <c r="CB416" s="30">
        <v>2700.0</v>
      </c>
      <c r="CC416" s="31"/>
      <c r="CD416" s="28">
        <v>2700.0</v>
      </c>
      <c r="CE416" s="32" t="e">
        <v>#REF!</v>
      </c>
      <c r="CF416" s="73">
        <f>+300</f>
        <v>300</v>
      </c>
      <c r="CG416" s="74">
        <f>+1</f>
        <v>1</v>
      </c>
      <c r="CH416" s="35">
        <v>1.0</v>
      </c>
      <c r="CI416" s="36">
        <v>2.0</v>
      </c>
      <c r="CJ416" s="36">
        <v>2265.0</v>
      </c>
      <c r="CK416" s="37">
        <v>-22.0</v>
      </c>
      <c r="CL416" s="36">
        <v>2243.0</v>
      </c>
      <c r="CM416" s="38">
        <v>9.0</v>
      </c>
      <c r="CN416" s="36">
        <v>-4.0</v>
      </c>
      <c r="CO416" s="39">
        <v>6.6</v>
      </c>
      <c r="CP416" s="40">
        <v>-2.6</v>
      </c>
      <c r="CQ416" s="36">
        <v>5.0</v>
      </c>
      <c r="CR416" s="36">
        <v>10.0</v>
      </c>
      <c r="CS416" s="36">
        <v>3.0</v>
      </c>
      <c r="CT416" s="41"/>
      <c r="CU416" s="42"/>
      <c r="CV416" s="43"/>
      <c r="CW416" s="44">
        <v>9.0</v>
      </c>
      <c r="CX416" s="44" t="s">
        <v>143</v>
      </c>
      <c r="CY416" s="44" t="s">
        <v>144</v>
      </c>
      <c r="CZ416" s="76" t="s">
        <v>151</v>
      </c>
      <c r="DA416" s="44">
        <v>2700.0</v>
      </c>
      <c r="DB416" s="44">
        <v>0.0</v>
      </c>
      <c r="DC416" s="46" t="s">
        <v>127</v>
      </c>
      <c r="DD416" s="47">
        <v>46246.0</v>
      </c>
      <c r="DE416" s="43"/>
      <c r="DF416" s="43"/>
      <c r="DG416" s="48" t="s">
        <v>128</v>
      </c>
      <c r="DH416" s="48" t="s">
        <v>128</v>
      </c>
      <c r="DI416" s="48" t="s">
        <v>128</v>
      </c>
      <c r="DJ416" s="49">
        <v>1.0</v>
      </c>
      <c r="DK416" s="48" t="b">
        <v>1</v>
      </c>
      <c r="DL416" s="50" t="s">
        <v>1035</v>
      </c>
      <c r="DM416" s="50" t="s">
        <v>131</v>
      </c>
      <c r="DN416" s="50" t="s">
        <v>1036</v>
      </c>
      <c r="DO416" s="49">
        <v>0.82</v>
      </c>
      <c r="DP416" s="48" t="s">
        <v>128</v>
      </c>
      <c r="DQ416" s="48" t="s">
        <v>128</v>
      </c>
      <c r="DR416" s="51"/>
      <c r="DS416" s="48" t="s">
        <v>134</v>
      </c>
    </row>
    <row r="417">
      <c r="A417" s="52" t="s">
        <v>118</v>
      </c>
      <c r="B417" s="53">
        <v>13.0</v>
      </c>
      <c r="C417" s="52" t="s">
        <v>1032</v>
      </c>
      <c r="D417" s="53">
        <v>604008.0</v>
      </c>
      <c r="E417" s="52" t="s">
        <v>176</v>
      </c>
      <c r="F417" s="52" t="s">
        <v>1059</v>
      </c>
      <c r="G417" s="52" t="s">
        <v>1060</v>
      </c>
      <c r="H417" s="53">
        <v>33027.0</v>
      </c>
      <c r="I417" s="53">
        <v>4.0</v>
      </c>
      <c r="J417" s="53">
        <v>0.0</v>
      </c>
      <c r="K417" s="53">
        <v>0.0</v>
      </c>
      <c r="L417" s="53">
        <v>0.0</v>
      </c>
      <c r="M417" s="53">
        <v>0.0</v>
      </c>
      <c r="N417" s="53">
        <v>0.0</v>
      </c>
      <c r="O417" s="53">
        <v>0.0</v>
      </c>
      <c r="P417" s="53">
        <v>0.0</v>
      </c>
      <c r="Q417" s="53">
        <v>0.0</v>
      </c>
      <c r="R417" s="53">
        <v>0.0</v>
      </c>
      <c r="S417" s="53">
        <v>0.0</v>
      </c>
      <c r="T417" s="53">
        <v>0.0</v>
      </c>
      <c r="U417" s="53">
        <v>0.0</v>
      </c>
      <c r="V417" s="53">
        <v>0.0</v>
      </c>
      <c r="W417" s="53">
        <v>1.0</v>
      </c>
      <c r="X417" s="53">
        <v>0.0</v>
      </c>
      <c r="Y417" s="53">
        <v>0.0</v>
      </c>
      <c r="Z417" s="53">
        <v>0.0</v>
      </c>
      <c r="AA417" s="53">
        <v>0.0</v>
      </c>
      <c r="AB417" s="53">
        <v>0.0</v>
      </c>
      <c r="AC417" s="53">
        <v>0.0</v>
      </c>
      <c r="AD417" s="53">
        <v>0.0</v>
      </c>
      <c r="AE417" s="53">
        <v>0.0</v>
      </c>
      <c r="AF417" s="53">
        <v>0.0</v>
      </c>
      <c r="AG417" s="53">
        <v>0.0</v>
      </c>
      <c r="AH417" s="53">
        <v>2.0</v>
      </c>
      <c r="AI417" s="53">
        <v>0.0</v>
      </c>
      <c r="AJ417" s="53">
        <v>0.0</v>
      </c>
      <c r="AK417" s="53">
        <v>0.0</v>
      </c>
      <c r="AL417" s="53">
        <v>0.0</v>
      </c>
      <c r="AM417" s="53">
        <v>1.0</v>
      </c>
      <c r="AN417" s="53">
        <v>0.0</v>
      </c>
      <c r="AO417" s="25">
        <v>18.3</v>
      </c>
      <c r="AP417" s="54"/>
      <c r="AQ417" s="54"/>
      <c r="AR417" s="54"/>
      <c r="AS417" s="54"/>
      <c r="AT417" s="54"/>
      <c r="AU417" s="54"/>
      <c r="AV417" s="54"/>
      <c r="AW417" s="54"/>
      <c r="AX417" s="54"/>
      <c r="AY417" s="54"/>
      <c r="AZ417" s="54"/>
      <c r="BA417" s="54"/>
      <c r="BB417" s="54"/>
      <c r="BC417" s="53">
        <v>14.3</v>
      </c>
      <c r="BD417" s="54"/>
      <c r="BE417" s="54"/>
      <c r="BF417" s="54"/>
      <c r="BG417" s="54"/>
      <c r="BH417" s="54"/>
      <c r="BI417" s="54"/>
      <c r="BJ417" s="54"/>
      <c r="BK417" s="54"/>
      <c r="BL417" s="54"/>
      <c r="BM417" s="54"/>
      <c r="BN417" s="53">
        <v>20.84</v>
      </c>
      <c r="BO417" s="53">
        <v>0.29</v>
      </c>
      <c r="BP417" s="53">
        <v>5.22</v>
      </c>
      <c r="BQ417" s="53">
        <v>5.06</v>
      </c>
      <c r="BR417" s="53">
        <v>10.08</v>
      </c>
      <c r="BS417" s="57">
        <v>0.99</v>
      </c>
      <c r="BT417" s="91">
        <v>16.5</v>
      </c>
      <c r="BU417" s="57">
        <v>0.7</v>
      </c>
      <c r="BV417" s="55">
        <v>6.75</v>
      </c>
      <c r="BW417" s="54"/>
      <c r="BX417" s="53">
        <v>3000.0</v>
      </c>
      <c r="BY417" s="53" t="s">
        <v>123</v>
      </c>
      <c r="BZ417" s="58">
        <v>3000.0</v>
      </c>
      <c r="CA417" s="72"/>
      <c r="CB417" s="30">
        <v>3000.0</v>
      </c>
      <c r="CC417" s="31"/>
      <c r="CD417" s="58">
        <v>3000.0</v>
      </c>
      <c r="CE417" s="59" t="e">
        <v>#REF!</v>
      </c>
      <c r="CF417" s="60"/>
      <c r="CG417" s="61">
        <v>0.0</v>
      </c>
      <c r="CH417" s="62">
        <v>0.0</v>
      </c>
      <c r="CI417" s="63">
        <v>4.0</v>
      </c>
      <c r="CJ417" s="63">
        <v>2265.0</v>
      </c>
      <c r="CK417" s="64">
        <v>-22.0</v>
      </c>
      <c r="CL417" s="63">
        <v>2243.0</v>
      </c>
      <c r="CM417" s="65">
        <v>73.0</v>
      </c>
      <c r="CN417" s="63">
        <v>0.0</v>
      </c>
      <c r="CO417" s="66">
        <v>18.3</v>
      </c>
      <c r="CP417" s="67">
        <v>0.0</v>
      </c>
      <c r="CQ417" s="63">
        <v>21.0</v>
      </c>
      <c r="CR417" s="63">
        <v>21.0</v>
      </c>
      <c r="CS417" s="63">
        <v>4.0</v>
      </c>
      <c r="CT417" s="68"/>
      <c r="CU417" s="69"/>
      <c r="CV417" s="70"/>
      <c r="CW417" s="71">
        <v>10.0</v>
      </c>
      <c r="CX417" s="71" t="s">
        <v>138</v>
      </c>
      <c r="CY417" s="71" t="s">
        <v>139</v>
      </c>
      <c r="CZ417" s="45"/>
      <c r="DA417" s="44">
        <v>3000.0</v>
      </c>
      <c r="DB417" s="44">
        <v>0.0</v>
      </c>
      <c r="DC417" s="46" t="s">
        <v>127</v>
      </c>
      <c r="DD417" s="47">
        <v>46233.0</v>
      </c>
      <c r="DE417" s="43"/>
      <c r="DF417" s="43"/>
      <c r="DG417" s="48" t="s">
        <v>128</v>
      </c>
      <c r="DH417" s="48" t="s">
        <v>128</v>
      </c>
      <c r="DI417" s="48" t="s">
        <v>128</v>
      </c>
      <c r="DJ417" s="49">
        <v>1.0</v>
      </c>
      <c r="DK417" s="48" t="b">
        <v>0</v>
      </c>
      <c r="DL417" s="50" t="s">
        <v>1035</v>
      </c>
      <c r="DM417" s="50" t="s">
        <v>131</v>
      </c>
      <c r="DN417" s="50" t="s">
        <v>1036</v>
      </c>
      <c r="DO417" s="49">
        <v>0.82</v>
      </c>
      <c r="DP417" s="48" t="s">
        <v>128</v>
      </c>
      <c r="DQ417" s="48" t="s">
        <v>128</v>
      </c>
      <c r="DR417" s="51"/>
      <c r="DS417" s="48" t="s">
        <v>134</v>
      </c>
    </row>
    <row r="418">
      <c r="A418" s="23" t="s">
        <v>118</v>
      </c>
      <c r="B418" s="24">
        <v>13.0</v>
      </c>
      <c r="C418" s="23" t="s">
        <v>1032</v>
      </c>
      <c r="D418" s="24">
        <v>643373.0</v>
      </c>
      <c r="E418" s="23" t="s">
        <v>120</v>
      </c>
      <c r="F418" s="23" t="s">
        <v>1061</v>
      </c>
      <c r="G418" s="23" t="s">
        <v>1062</v>
      </c>
      <c r="H418" s="24">
        <v>33027.0</v>
      </c>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7"/>
      <c r="BU418" s="26"/>
      <c r="BV418" s="26"/>
      <c r="BW418" s="26"/>
      <c r="BX418" s="24">
        <v>2400.0</v>
      </c>
      <c r="BY418" s="24" t="s">
        <v>123</v>
      </c>
      <c r="BZ418" s="28">
        <v>2400.0</v>
      </c>
      <c r="CA418" s="72"/>
      <c r="CB418" s="82"/>
      <c r="CC418" s="31"/>
      <c r="CD418" s="28">
        <v>2400.0</v>
      </c>
      <c r="CE418" s="88" t="s">
        <v>185</v>
      </c>
      <c r="CF418" s="33"/>
      <c r="CG418" s="34">
        <v>0.0</v>
      </c>
      <c r="CH418" s="89"/>
      <c r="CI418" s="36">
        <v>0.0</v>
      </c>
      <c r="CJ418" s="36">
        <v>2265.0</v>
      </c>
      <c r="CK418" s="37">
        <v>-22.0</v>
      </c>
      <c r="CL418" s="36">
        <v>2243.0</v>
      </c>
      <c r="CM418" s="38">
        <v>0.0</v>
      </c>
      <c r="CN418" s="36">
        <v>0.0</v>
      </c>
      <c r="CO418" s="39">
        <v>0.0</v>
      </c>
      <c r="CP418" s="40">
        <v>0.0</v>
      </c>
      <c r="CQ418" s="36">
        <v>0.0</v>
      </c>
      <c r="CR418" s="36">
        <v>0.0</v>
      </c>
      <c r="CS418" s="36">
        <v>0.0</v>
      </c>
      <c r="CT418" s="41"/>
      <c r="CU418" s="42"/>
      <c r="CV418" s="43"/>
      <c r="CW418" s="44">
        <v>8.0</v>
      </c>
      <c r="CX418" s="44" t="s">
        <v>125</v>
      </c>
      <c r="CY418" s="44" t="s">
        <v>126</v>
      </c>
      <c r="CZ418" s="45"/>
      <c r="DA418" s="43"/>
      <c r="DB418" s="44">
        <v>0.0</v>
      </c>
      <c r="DC418" s="46" t="s">
        <v>127</v>
      </c>
      <c r="DD418" s="47">
        <v>46228.0</v>
      </c>
      <c r="DE418" s="43"/>
      <c r="DF418" s="43"/>
      <c r="DG418" s="48" t="s">
        <v>128</v>
      </c>
      <c r="DH418" s="48" t="s">
        <v>128</v>
      </c>
      <c r="DI418" s="85" t="str">
        <f>+ OFF 30 DIAS SIN VENTA</f>
        <v>#ERROR!</v>
      </c>
      <c r="DJ418" s="49">
        <v>0.0</v>
      </c>
      <c r="DK418" s="48" t="b">
        <v>0</v>
      </c>
      <c r="DL418" s="50" t="s">
        <v>1035</v>
      </c>
      <c r="DM418" s="50" t="s">
        <v>131</v>
      </c>
      <c r="DN418" s="50" t="s">
        <v>1036</v>
      </c>
      <c r="DO418" s="49">
        <v>0.82</v>
      </c>
      <c r="DP418" s="48" t="s">
        <v>128</v>
      </c>
      <c r="DQ418" s="86" t="str">
        <f>+ OFF 30 DIAS SIN VENTA</f>
        <v>#ERROR!</v>
      </c>
      <c r="DR418" s="51"/>
      <c r="DS418" s="48" t="s">
        <v>134</v>
      </c>
    </row>
    <row r="419">
      <c r="A419" s="52" t="s">
        <v>118</v>
      </c>
      <c r="B419" s="53">
        <v>13.0</v>
      </c>
      <c r="C419" s="52" t="s">
        <v>1032</v>
      </c>
      <c r="D419" s="53">
        <v>588071.0</v>
      </c>
      <c r="E419" s="52" t="s">
        <v>152</v>
      </c>
      <c r="F419" s="52" t="s">
        <v>1063</v>
      </c>
      <c r="G419" s="52" t="s">
        <v>1064</v>
      </c>
      <c r="H419" s="53">
        <v>33027.0</v>
      </c>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c r="BM419" s="54"/>
      <c r="BN419" s="54"/>
      <c r="BO419" s="54"/>
      <c r="BP419" s="54"/>
      <c r="BQ419" s="54"/>
      <c r="BR419" s="54"/>
      <c r="BS419" s="54"/>
      <c r="BT419" s="81"/>
      <c r="BU419" s="54"/>
      <c r="BV419" s="54"/>
      <c r="BW419" s="54"/>
      <c r="BX419" s="53">
        <v>2400.0</v>
      </c>
      <c r="BY419" s="53" t="s">
        <v>123</v>
      </c>
      <c r="BZ419" s="58">
        <v>2400.0</v>
      </c>
      <c r="CA419" s="72"/>
      <c r="CB419" s="82"/>
      <c r="CC419" s="31"/>
      <c r="CD419" s="58">
        <v>2400.0</v>
      </c>
      <c r="CE419" s="83" t="s">
        <v>185</v>
      </c>
      <c r="CF419" s="60"/>
      <c r="CG419" s="61">
        <v>0.0</v>
      </c>
      <c r="CH419" s="84"/>
      <c r="CI419" s="63">
        <v>0.0</v>
      </c>
      <c r="CJ419" s="63">
        <v>2265.0</v>
      </c>
      <c r="CK419" s="64">
        <v>-22.0</v>
      </c>
      <c r="CL419" s="63">
        <v>2243.0</v>
      </c>
      <c r="CM419" s="65">
        <v>0.0</v>
      </c>
      <c r="CN419" s="63">
        <v>0.0</v>
      </c>
      <c r="CO419" s="66">
        <v>0.0</v>
      </c>
      <c r="CP419" s="67">
        <v>0.0</v>
      </c>
      <c r="CQ419" s="63">
        <v>0.0</v>
      </c>
      <c r="CR419" s="63">
        <v>0.0</v>
      </c>
      <c r="CS419" s="63">
        <v>0.0</v>
      </c>
      <c r="CT419" s="68"/>
      <c r="CU419" s="69"/>
      <c r="CV419" s="70"/>
      <c r="CW419" s="71">
        <v>8.0</v>
      </c>
      <c r="CX419" s="71" t="s">
        <v>125</v>
      </c>
      <c r="CY419" s="71" t="s">
        <v>126</v>
      </c>
      <c r="CZ419" s="45"/>
      <c r="DA419" s="43"/>
      <c r="DB419" s="44">
        <v>0.0</v>
      </c>
      <c r="DC419" s="43"/>
      <c r="DD419" s="78"/>
      <c r="DE419" s="43"/>
      <c r="DF419" s="43"/>
      <c r="DG419" s="48" t="s">
        <v>128</v>
      </c>
      <c r="DH419" s="48" t="s">
        <v>128</v>
      </c>
      <c r="DI419" s="85" t="str">
        <f>+ OFF 30 DIAS SIN VENTA</f>
        <v>#ERROR!</v>
      </c>
      <c r="DJ419" s="49">
        <v>1.0</v>
      </c>
      <c r="DK419" s="48" t="b">
        <v>0</v>
      </c>
      <c r="DL419" s="50" t="s">
        <v>1035</v>
      </c>
      <c r="DM419" s="50" t="s">
        <v>131</v>
      </c>
      <c r="DN419" s="50" t="s">
        <v>1036</v>
      </c>
      <c r="DO419" s="49">
        <v>0.82</v>
      </c>
      <c r="DP419" s="48" t="s">
        <v>128</v>
      </c>
      <c r="DQ419" s="86" t="str">
        <f>+ OFF 30 DIAS SIN VENTA</f>
        <v>#ERROR!</v>
      </c>
      <c r="DR419" s="51"/>
      <c r="DS419" s="48" t="s">
        <v>134</v>
      </c>
    </row>
    <row r="420">
      <c r="A420" s="23" t="s">
        <v>118</v>
      </c>
      <c r="B420" s="24">
        <v>13.0</v>
      </c>
      <c r="C420" s="23" t="s">
        <v>1032</v>
      </c>
      <c r="D420" s="24">
        <v>558730.0</v>
      </c>
      <c r="E420" s="23" t="s">
        <v>148</v>
      </c>
      <c r="F420" s="23" t="s">
        <v>1065</v>
      </c>
      <c r="G420" s="23" t="s">
        <v>1066</v>
      </c>
      <c r="H420" s="24">
        <v>33027.0</v>
      </c>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7"/>
      <c r="BU420" s="26"/>
      <c r="BV420" s="26"/>
      <c r="BW420" s="26"/>
      <c r="BX420" s="24">
        <v>2400.0</v>
      </c>
      <c r="BY420" s="24" t="s">
        <v>123</v>
      </c>
      <c r="BZ420" s="28">
        <v>2400.0</v>
      </c>
      <c r="CA420" s="72"/>
      <c r="CB420" s="82"/>
      <c r="CC420" s="31"/>
      <c r="CD420" s="28">
        <v>2400.0</v>
      </c>
      <c r="CE420" s="88" t="s">
        <v>185</v>
      </c>
      <c r="CF420" s="33"/>
      <c r="CG420" s="34">
        <v>0.0</v>
      </c>
      <c r="CH420" s="89"/>
      <c r="CI420" s="36">
        <v>0.0</v>
      </c>
      <c r="CJ420" s="36">
        <v>2265.0</v>
      </c>
      <c r="CK420" s="37">
        <v>-22.0</v>
      </c>
      <c r="CL420" s="36">
        <v>2243.0</v>
      </c>
      <c r="CM420" s="38">
        <v>0.0</v>
      </c>
      <c r="CN420" s="36">
        <v>0.0</v>
      </c>
      <c r="CO420" s="39">
        <v>0.0</v>
      </c>
      <c r="CP420" s="40">
        <v>0.0</v>
      </c>
      <c r="CQ420" s="36">
        <v>0.0</v>
      </c>
      <c r="CR420" s="36">
        <v>0.0</v>
      </c>
      <c r="CS420" s="36">
        <v>0.0</v>
      </c>
      <c r="CT420" s="41"/>
      <c r="CU420" s="42"/>
      <c r="CV420" s="43"/>
      <c r="CW420" s="44">
        <v>8.0</v>
      </c>
      <c r="CX420" s="44" t="s">
        <v>125</v>
      </c>
      <c r="CY420" s="44" t="s">
        <v>126</v>
      </c>
      <c r="CZ420" s="45"/>
      <c r="DA420" s="43"/>
      <c r="DB420" s="44">
        <v>0.0</v>
      </c>
      <c r="DC420" s="43"/>
      <c r="DD420" s="78"/>
      <c r="DE420" s="43"/>
      <c r="DF420" s="43"/>
      <c r="DG420" s="48" t="s">
        <v>128</v>
      </c>
      <c r="DH420" s="48" t="s">
        <v>128</v>
      </c>
      <c r="DI420" s="48" t="s">
        <v>128</v>
      </c>
      <c r="DJ420" s="49">
        <v>1.0</v>
      </c>
      <c r="DK420" s="48" t="b">
        <v>0</v>
      </c>
      <c r="DL420" s="50" t="s">
        <v>1035</v>
      </c>
      <c r="DM420" s="50" t="s">
        <v>131</v>
      </c>
      <c r="DN420" s="50" t="s">
        <v>1036</v>
      </c>
      <c r="DO420" s="49">
        <v>0.82</v>
      </c>
      <c r="DP420" s="48" t="s">
        <v>128</v>
      </c>
      <c r="DQ420" s="48" t="s">
        <v>128</v>
      </c>
      <c r="DR420" s="48" t="s">
        <v>526</v>
      </c>
      <c r="DS420" s="48" t="s">
        <v>134</v>
      </c>
    </row>
    <row r="421">
      <c r="A421" s="52" t="s">
        <v>118</v>
      </c>
      <c r="B421" s="53">
        <v>13.0</v>
      </c>
      <c r="C421" s="52" t="s">
        <v>1032</v>
      </c>
      <c r="D421" s="53">
        <v>648803.0</v>
      </c>
      <c r="E421" s="52" t="s">
        <v>189</v>
      </c>
      <c r="F421" s="52" t="s">
        <v>1067</v>
      </c>
      <c r="G421" s="52" t="s">
        <v>1068</v>
      </c>
      <c r="H421" s="53">
        <v>33027.0</v>
      </c>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c r="BS421" s="54"/>
      <c r="BT421" s="81"/>
      <c r="BU421" s="54"/>
      <c r="BV421" s="54"/>
      <c r="BW421" s="54"/>
      <c r="BX421" s="53">
        <v>2100.0</v>
      </c>
      <c r="BY421" s="53" t="s">
        <v>123</v>
      </c>
      <c r="BZ421" s="58">
        <v>2100.0</v>
      </c>
      <c r="CA421" s="72"/>
      <c r="CB421" s="82"/>
      <c r="CC421" s="31"/>
      <c r="CD421" s="58">
        <v>2100.0</v>
      </c>
      <c r="CE421" s="83" t="s">
        <v>185</v>
      </c>
      <c r="CF421" s="60"/>
      <c r="CG421" s="61">
        <v>0.0</v>
      </c>
      <c r="CH421" s="84"/>
      <c r="CI421" s="63">
        <v>0.0</v>
      </c>
      <c r="CJ421" s="63">
        <v>2265.0</v>
      </c>
      <c r="CK421" s="64">
        <v>-22.0</v>
      </c>
      <c r="CL421" s="63">
        <v>2243.0</v>
      </c>
      <c r="CM421" s="65">
        <v>0.0</v>
      </c>
      <c r="CN421" s="63">
        <v>0.0</v>
      </c>
      <c r="CO421" s="66">
        <v>0.0</v>
      </c>
      <c r="CP421" s="67">
        <v>0.0</v>
      </c>
      <c r="CQ421" s="63">
        <v>0.0</v>
      </c>
      <c r="CR421" s="63">
        <v>0.0</v>
      </c>
      <c r="CS421" s="63">
        <v>0.0</v>
      </c>
      <c r="CT421" s="68"/>
      <c r="CU421" s="69"/>
      <c r="CV421" s="70"/>
      <c r="CW421" s="71">
        <v>7.0</v>
      </c>
      <c r="CX421" s="71" t="s">
        <v>201</v>
      </c>
      <c r="CY421" s="71" t="s">
        <v>202</v>
      </c>
      <c r="CZ421" s="45"/>
      <c r="DA421" s="43"/>
      <c r="DB421" s="44">
        <v>0.0</v>
      </c>
      <c r="DC421" s="43"/>
      <c r="DD421" s="78"/>
      <c r="DE421" s="43"/>
      <c r="DF421" s="43"/>
      <c r="DG421" s="48" t="s">
        <v>128</v>
      </c>
      <c r="DH421" s="48" t="s">
        <v>128</v>
      </c>
      <c r="DI421" s="85" t="str">
        <f>+ OFF 30 DIAS SIN VENTA</f>
        <v>#ERROR!</v>
      </c>
      <c r="DJ421" s="49">
        <v>0.0</v>
      </c>
      <c r="DK421" s="48" t="b">
        <v>0</v>
      </c>
      <c r="DL421" s="50" t="s">
        <v>1035</v>
      </c>
      <c r="DM421" s="50" t="s">
        <v>131</v>
      </c>
      <c r="DN421" s="50" t="s">
        <v>1036</v>
      </c>
      <c r="DO421" s="49">
        <v>0.82</v>
      </c>
      <c r="DP421" s="48" t="s">
        <v>128</v>
      </c>
      <c r="DQ421" s="86" t="str">
        <f>+ OFF 30 DIAS SIN VENTA</f>
        <v>#ERROR!</v>
      </c>
      <c r="DR421" s="51"/>
      <c r="DS421" s="48" t="s">
        <v>134</v>
      </c>
    </row>
    <row r="422">
      <c r="A422" s="23" t="s">
        <v>118</v>
      </c>
      <c r="B422" s="24">
        <v>13.0</v>
      </c>
      <c r="C422" s="23" t="s">
        <v>1032</v>
      </c>
      <c r="D422" s="24">
        <v>631195.0</v>
      </c>
      <c r="E422" s="23" t="s">
        <v>140</v>
      </c>
      <c r="F422" s="23" t="s">
        <v>1069</v>
      </c>
      <c r="G422" s="23" t="s">
        <v>1070</v>
      </c>
      <c r="H422" s="24">
        <v>33027.0</v>
      </c>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7"/>
      <c r="BU422" s="26"/>
      <c r="BV422" s="26"/>
      <c r="BW422" s="26"/>
      <c r="BX422" s="24">
        <v>2400.0</v>
      </c>
      <c r="BY422" s="24" t="s">
        <v>123</v>
      </c>
      <c r="BZ422" s="28">
        <v>2400.0</v>
      </c>
      <c r="CA422" s="72"/>
      <c r="CB422" s="82"/>
      <c r="CC422" s="31"/>
      <c r="CD422" s="28">
        <v>2400.0</v>
      </c>
      <c r="CE422" s="88" t="s">
        <v>185</v>
      </c>
      <c r="CF422" s="33"/>
      <c r="CG422" s="34">
        <v>0.0</v>
      </c>
      <c r="CH422" s="89"/>
      <c r="CI422" s="36">
        <v>0.0</v>
      </c>
      <c r="CJ422" s="36">
        <v>2265.0</v>
      </c>
      <c r="CK422" s="37">
        <v>-22.0</v>
      </c>
      <c r="CL422" s="36">
        <v>2243.0</v>
      </c>
      <c r="CM422" s="38">
        <v>0.0</v>
      </c>
      <c r="CN422" s="36">
        <v>0.0</v>
      </c>
      <c r="CO422" s="39">
        <v>0.0</v>
      </c>
      <c r="CP422" s="40">
        <v>0.0</v>
      </c>
      <c r="CQ422" s="36">
        <v>0.0</v>
      </c>
      <c r="CR422" s="36">
        <v>0.0</v>
      </c>
      <c r="CS422" s="36">
        <v>0.0</v>
      </c>
      <c r="CT422" s="41"/>
      <c r="CU422" s="42"/>
      <c r="CV422" s="43"/>
      <c r="CW422" s="44">
        <v>8.0</v>
      </c>
      <c r="CX422" s="44" t="s">
        <v>125</v>
      </c>
      <c r="CY422" s="44" t="s">
        <v>126</v>
      </c>
      <c r="CZ422" s="45"/>
      <c r="DA422" s="43"/>
      <c r="DB422" s="44">
        <v>0.0</v>
      </c>
      <c r="DC422" s="43"/>
      <c r="DD422" s="78"/>
      <c r="DE422" s="43"/>
      <c r="DF422" s="43"/>
      <c r="DG422" s="48" t="s">
        <v>128</v>
      </c>
      <c r="DH422" s="48" t="s">
        <v>128</v>
      </c>
      <c r="DI422" s="48" t="s">
        <v>128</v>
      </c>
      <c r="DJ422" s="49">
        <v>1.0</v>
      </c>
      <c r="DK422" s="48" t="b">
        <v>0</v>
      </c>
      <c r="DL422" s="50" t="s">
        <v>1035</v>
      </c>
      <c r="DM422" s="50" t="s">
        <v>131</v>
      </c>
      <c r="DN422" s="50" t="s">
        <v>1036</v>
      </c>
      <c r="DO422" s="49">
        <v>0.82</v>
      </c>
      <c r="DP422" s="48" t="s">
        <v>128</v>
      </c>
      <c r="DQ422" s="48" t="s">
        <v>128</v>
      </c>
      <c r="DR422" s="51"/>
      <c r="DS422" s="48" t="s">
        <v>134</v>
      </c>
    </row>
    <row r="423">
      <c r="A423" s="52" t="s">
        <v>118</v>
      </c>
      <c r="B423" s="53">
        <v>13.0</v>
      </c>
      <c r="C423" s="52" t="s">
        <v>1032</v>
      </c>
      <c r="D423" s="53">
        <v>610881.0</v>
      </c>
      <c r="E423" s="52" t="s">
        <v>167</v>
      </c>
      <c r="F423" s="52" t="s">
        <v>1071</v>
      </c>
      <c r="G423" s="52" t="s">
        <v>1072</v>
      </c>
      <c r="H423" s="53">
        <v>33027.0</v>
      </c>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c r="BS423" s="54"/>
      <c r="BT423" s="81"/>
      <c r="BU423" s="54"/>
      <c r="BV423" s="54"/>
      <c r="BW423" s="54"/>
      <c r="BX423" s="53">
        <v>2400.0</v>
      </c>
      <c r="BY423" s="53" t="s">
        <v>123</v>
      </c>
      <c r="BZ423" s="58">
        <v>2400.0</v>
      </c>
      <c r="CA423" s="72"/>
      <c r="CB423" s="82"/>
      <c r="CC423" s="31"/>
      <c r="CD423" s="58">
        <v>2400.0</v>
      </c>
      <c r="CE423" s="83" t="s">
        <v>185</v>
      </c>
      <c r="CF423" s="60"/>
      <c r="CG423" s="61">
        <v>0.0</v>
      </c>
      <c r="CH423" s="84"/>
      <c r="CI423" s="63">
        <v>0.0</v>
      </c>
      <c r="CJ423" s="63">
        <v>2265.0</v>
      </c>
      <c r="CK423" s="64">
        <v>-22.0</v>
      </c>
      <c r="CL423" s="63">
        <v>2243.0</v>
      </c>
      <c r="CM423" s="65">
        <v>0.0</v>
      </c>
      <c r="CN423" s="63">
        <v>0.0</v>
      </c>
      <c r="CO423" s="66">
        <v>0.0</v>
      </c>
      <c r="CP423" s="67">
        <v>0.0</v>
      </c>
      <c r="CQ423" s="63">
        <v>0.0</v>
      </c>
      <c r="CR423" s="63">
        <v>0.0</v>
      </c>
      <c r="CS423" s="63">
        <v>0.0</v>
      </c>
      <c r="CT423" s="68"/>
      <c r="CU423" s="69"/>
      <c r="CV423" s="70"/>
      <c r="CW423" s="71">
        <v>8.0</v>
      </c>
      <c r="CX423" s="71" t="s">
        <v>125</v>
      </c>
      <c r="CY423" s="71" t="s">
        <v>126</v>
      </c>
      <c r="CZ423" s="45"/>
      <c r="DA423" s="43"/>
      <c r="DB423" s="44">
        <v>0.0</v>
      </c>
      <c r="DC423" s="43"/>
      <c r="DD423" s="78"/>
      <c r="DE423" s="43"/>
      <c r="DF423" s="43"/>
      <c r="DG423" s="48" t="s">
        <v>128</v>
      </c>
      <c r="DH423" s="48" t="s">
        <v>128</v>
      </c>
      <c r="DI423" s="85" t="str">
        <f>+ OFF 30 DIAS SIN VENTA</f>
        <v>#ERROR!</v>
      </c>
      <c r="DJ423" s="49">
        <v>1.0</v>
      </c>
      <c r="DK423" s="48" t="b">
        <v>0</v>
      </c>
      <c r="DL423" s="50" t="s">
        <v>1035</v>
      </c>
      <c r="DM423" s="50" t="s">
        <v>131</v>
      </c>
      <c r="DN423" s="50" t="s">
        <v>1036</v>
      </c>
      <c r="DO423" s="49">
        <v>0.82</v>
      </c>
      <c r="DP423" s="48" t="s">
        <v>128</v>
      </c>
      <c r="DQ423" s="86" t="str">
        <f>+ OFF 30 DIAS SIN VENTA</f>
        <v>#ERROR!</v>
      </c>
      <c r="DR423" s="51"/>
      <c r="DS423" s="48" t="s">
        <v>134</v>
      </c>
    </row>
    <row r="424">
      <c r="A424" s="23" t="s">
        <v>118</v>
      </c>
      <c r="B424" s="24">
        <v>13.0</v>
      </c>
      <c r="C424" s="23" t="s">
        <v>1032</v>
      </c>
      <c r="D424" s="24">
        <v>536832.0</v>
      </c>
      <c r="E424" s="23" t="s">
        <v>158</v>
      </c>
      <c r="F424" s="23" t="s">
        <v>1073</v>
      </c>
      <c r="G424" s="23" t="s">
        <v>1074</v>
      </c>
      <c r="H424" s="24">
        <v>33027.0</v>
      </c>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7"/>
      <c r="BU424" s="26"/>
      <c r="BV424" s="26"/>
      <c r="BW424" s="26"/>
      <c r="BX424" s="24">
        <v>1.0</v>
      </c>
      <c r="BY424" s="24" t="s">
        <v>123</v>
      </c>
      <c r="BZ424" s="87">
        <v>1.0</v>
      </c>
      <c r="CA424" s="72"/>
      <c r="CB424" s="82"/>
      <c r="CC424" s="31"/>
      <c r="CD424" s="28">
        <v>1.0</v>
      </c>
      <c r="CE424" s="88" t="s">
        <v>185</v>
      </c>
      <c r="CF424" s="33"/>
      <c r="CG424" s="34">
        <v>0.0</v>
      </c>
      <c r="CH424" s="89"/>
      <c r="CI424" s="36">
        <v>0.0</v>
      </c>
      <c r="CJ424" s="36">
        <v>2265.0</v>
      </c>
      <c r="CK424" s="37">
        <v>-22.0</v>
      </c>
      <c r="CL424" s="36">
        <v>2243.0</v>
      </c>
      <c r="CM424" s="38">
        <v>0.0</v>
      </c>
      <c r="CN424" s="36">
        <v>0.0</v>
      </c>
      <c r="CO424" s="39">
        <v>0.0</v>
      </c>
      <c r="CP424" s="40">
        <v>0.0</v>
      </c>
      <c r="CQ424" s="36">
        <v>0.0</v>
      </c>
      <c r="CR424" s="36">
        <v>0.0</v>
      </c>
      <c r="CS424" s="36">
        <v>0.0</v>
      </c>
      <c r="CT424" s="41"/>
      <c r="CU424" s="42"/>
      <c r="CV424" s="43"/>
      <c r="CW424" s="44">
        <v>1.0</v>
      </c>
      <c r="CX424" s="44">
        <v>1.0</v>
      </c>
      <c r="CY424" s="44">
        <v>0.1</v>
      </c>
      <c r="CZ424" s="45"/>
      <c r="DA424" s="43"/>
      <c r="DB424" s="44">
        <v>0.0</v>
      </c>
      <c r="DC424" s="43"/>
      <c r="DD424" s="78"/>
      <c r="DE424" s="43"/>
      <c r="DF424" s="43"/>
      <c r="DG424" s="48" t="s">
        <v>128</v>
      </c>
      <c r="DH424" s="48" t="s">
        <v>131</v>
      </c>
      <c r="DI424" s="48" t="s">
        <v>188</v>
      </c>
      <c r="DJ424" s="49">
        <v>1.0</v>
      </c>
      <c r="DK424" s="48" t="b">
        <v>0</v>
      </c>
      <c r="DL424" s="50" t="s">
        <v>1035</v>
      </c>
      <c r="DM424" s="50" t="s">
        <v>131</v>
      </c>
      <c r="DN424" s="50" t="s">
        <v>1036</v>
      </c>
      <c r="DO424" s="49">
        <v>0.82</v>
      </c>
      <c r="DP424" s="51"/>
      <c r="DQ424" s="48" t="s">
        <v>188</v>
      </c>
      <c r="DR424" s="51"/>
      <c r="DS424" s="48" t="s">
        <v>134</v>
      </c>
    </row>
    <row r="425">
      <c r="A425" s="52" t="s">
        <v>118</v>
      </c>
      <c r="B425" s="53">
        <v>13.0</v>
      </c>
      <c r="C425" s="52" t="s">
        <v>1032</v>
      </c>
      <c r="D425" s="53">
        <v>640888.0</v>
      </c>
      <c r="E425" s="52" t="s">
        <v>161</v>
      </c>
      <c r="F425" s="52" t="s">
        <v>1075</v>
      </c>
      <c r="G425" s="52" t="s">
        <v>1076</v>
      </c>
      <c r="H425" s="53">
        <v>33027.0</v>
      </c>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c r="BM425" s="54"/>
      <c r="BN425" s="54"/>
      <c r="BO425" s="54"/>
      <c r="BP425" s="54"/>
      <c r="BQ425" s="54"/>
      <c r="BR425" s="54"/>
      <c r="BS425" s="54"/>
      <c r="BT425" s="81"/>
      <c r="BU425" s="54"/>
      <c r="BV425" s="54"/>
      <c r="BW425" s="54"/>
      <c r="BX425" s="53">
        <v>1.0</v>
      </c>
      <c r="BY425" s="53" t="s">
        <v>123</v>
      </c>
      <c r="BZ425" s="87">
        <v>1.0</v>
      </c>
      <c r="CA425" s="72"/>
      <c r="CB425" s="82"/>
      <c r="CC425" s="31"/>
      <c r="CD425" s="58">
        <v>1.0</v>
      </c>
      <c r="CE425" s="83" t="s">
        <v>185</v>
      </c>
      <c r="CF425" s="60"/>
      <c r="CG425" s="61">
        <v>0.0</v>
      </c>
      <c r="CH425" s="84"/>
      <c r="CI425" s="63">
        <v>0.0</v>
      </c>
      <c r="CJ425" s="63">
        <v>2265.0</v>
      </c>
      <c r="CK425" s="64">
        <v>-22.0</v>
      </c>
      <c r="CL425" s="63">
        <v>2243.0</v>
      </c>
      <c r="CM425" s="65">
        <v>0.0</v>
      </c>
      <c r="CN425" s="63">
        <v>0.0</v>
      </c>
      <c r="CO425" s="66">
        <v>0.0</v>
      </c>
      <c r="CP425" s="67">
        <v>0.0</v>
      </c>
      <c r="CQ425" s="63">
        <v>0.0</v>
      </c>
      <c r="CR425" s="63">
        <v>0.0</v>
      </c>
      <c r="CS425" s="63">
        <v>0.0</v>
      </c>
      <c r="CT425" s="68"/>
      <c r="CU425" s="69"/>
      <c r="CV425" s="70"/>
      <c r="CW425" s="71">
        <v>1.0</v>
      </c>
      <c r="CX425" s="71">
        <v>1.0</v>
      </c>
      <c r="CY425" s="71">
        <v>0.1</v>
      </c>
      <c r="CZ425" s="45"/>
      <c r="DA425" s="43"/>
      <c r="DB425" s="44">
        <v>0.0</v>
      </c>
      <c r="DC425" s="43"/>
      <c r="DD425" s="78"/>
      <c r="DE425" s="43"/>
      <c r="DF425" s="43"/>
      <c r="DG425" s="48" t="s">
        <v>128</v>
      </c>
      <c r="DH425" s="48" t="s">
        <v>131</v>
      </c>
      <c r="DI425" s="48" t="s">
        <v>188</v>
      </c>
      <c r="DJ425" s="49">
        <v>1.0</v>
      </c>
      <c r="DK425" s="48" t="b">
        <v>0</v>
      </c>
      <c r="DL425" s="50" t="s">
        <v>1035</v>
      </c>
      <c r="DM425" s="50" t="s">
        <v>131</v>
      </c>
      <c r="DN425" s="50" t="s">
        <v>1036</v>
      </c>
      <c r="DO425" s="49">
        <v>0.82</v>
      </c>
      <c r="DP425" s="51"/>
      <c r="DQ425" s="48" t="s">
        <v>188</v>
      </c>
      <c r="DR425" s="51"/>
      <c r="DS425" s="48" t="s">
        <v>134</v>
      </c>
    </row>
    <row r="426">
      <c r="A426" s="23" t="s">
        <v>118</v>
      </c>
      <c r="B426" s="24">
        <v>13.0</v>
      </c>
      <c r="C426" s="23" t="s">
        <v>1032</v>
      </c>
      <c r="D426" s="24">
        <v>626041.0</v>
      </c>
      <c r="E426" s="23" t="s">
        <v>135</v>
      </c>
      <c r="F426" s="23" t="s">
        <v>1077</v>
      </c>
      <c r="G426" s="23" t="s">
        <v>1078</v>
      </c>
      <c r="H426" s="24">
        <v>45066.0</v>
      </c>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7"/>
      <c r="BU426" s="26"/>
      <c r="BV426" s="26"/>
      <c r="BW426" s="26"/>
      <c r="BX426" s="24">
        <v>1.0</v>
      </c>
      <c r="BY426" s="24" t="s">
        <v>123</v>
      </c>
      <c r="BZ426" s="87">
        <v>1.0</v>
      </c>
      <c r="CA426" s="72"/>
      <c r="CB426" s="82"/>
      <c r="CC426" s="31"/>
      <c r="CD426" s="28">
        <v>1.0</v>
      </c>
      <c r="CE426" s="88" t="s">
        <v>185</v>
      </c>
      <c r="CF426" s="33"/>
      <c r="CG426" s="34">
        <v>0.0</v>
      </c>
      <c r="CH426" s="89"/>
      <c r="CI426" s="36">
        <v>0.0</v>
      </c>
      <c r="CJ426" s="36">
        <v>1310.0</v>
      </c>
      <c r="CK426" s="37">
        <v>0.0</v>
      </c>
      <c r="CL426" s="36">
        <v>1310.0</v>
      </c>
      <c r="CM426" s="38">
        <v>0.0</v>
      </c>
      <c r="CN426" s="36">
        <v>0.0</v>
      </c>
      <c r="CO426" s="39">
        <v>0.0</v>
      </c>
      <c r="CP426" s="40">
        <v>0.0</v>
      </c>
      <c r="CQ426" s="36">
        <v>0.0</v>
      </c>
      <c r="CR426" s="36">
        <v>0.0</v>
      </c>
      <c r="CS426" s="36">
        <v>0.0</v>
      </c>
      <c r="CT426" s="41"/>
      <c r="CU426" s="42"/>
      <c r="CV426" s="43"/>
      <c r="CW426" s="44">
        <v>1.0</v>
      </c>
      <c r="CX426" s="44">
        <v>1.0</v>
      </c>
      <c r="CY426" s="44">
        <v>0.1</v>
      </c>
      <c r="CZ426" s="45"/>
      <c r="DA426" s="43"/>
      <c r="DB426" s="44">
        <v>0.0</v>
      </c>
      <c r="DC426" s="43"/>
      <c r="DD426" s="78"/>
      <c r="DE426" s="43"/>
      <c r="DF426" s="43"/>
      <c r="DG426" s="48" t="s">
        <v>128</v>
      </c>
      <c r="DH426" s="48" t="s">
        <v>131</v>
      </c>
      <c r="DI426" s="48" t="s">
        <v>188</v>
      </c>
      <c r="DJ426" s="49">
        <v>1.0</v>
      </c>
      <c r="DK426" s="48" t="b">
        <v>0</v>
      </c>
      <c r="DL426" s="50" t="s">
        <v>1079</v>
      </c>
      <c r="DM426" s="50" t="s">
        <v>128</v>
      </c>
      <c r="DN426" s="50" t="s">
        <v>1080</v>
      </c>
      <c r="DO426" s="49">
        <v>0.85</v>
      </c>
      <c r="DP426" s="51"/>
      <c r="DQ426" s="48" t="s">
        <v>188</v>
      </c>
      <c r="DR426" s="51"/>
      <c r="DS426" s="48" t="s">
        <v>134</v>
      </c>
    </row>
    <row r="427">
      <c r="A427" s="52" t="s">
        <v>118</v>
      </c>
      <c r="B427" s="53">
        <v>13.0</v>
      </c>
      <c r="C427" s="52" t="s">
        <v>1032</v>
      </c>
      <c r="D427" s="53">
        <v>536832.0</v>
      </c>
      <c r="E427" s="52" t="s">
        <v>158</v>
      </c>
      <c r="F427" s="52" t="s">
        <v>1081</v>
      </c>
      <c r="G427" s="52" t="s">
        <v>1082</v>
      </c>
      <c r="H427" s="53">
        <v>45066.0</v>
      </c>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c r="BS427" s="54"/>
      <c r="BT427" s="81"/>
      <c r="BU427" s="54"/>
      <c r="BV427" s="54"/>
      <c r="BW427" s="54"/>
      <c r="BX427" s="53">
        <v>1.0</v>
      </c>
      <c r="BY427" s="53" t="s">
        <v>123</v>
      </c>
      <c r="BZ427" s="87">
        <v>1.0</v>
      </c>
      <c r="CA427" s="72"/>
      <c r="CB427" s="82"/>
      <c r="CC427" s="31"/>
      <c r="CD427" s="58">
        <v>1.0</v>
      </c>
      <c r="CE427" s="83" t="s">
        <v>185</v>
      </c>
      <c r="CF427" s="60"/>
      <c r="CG427" s="61">
        <v>0.0</v>
      </c>
      <c r="CH427" s="84"/>
      <c r="CI427" s="63">
        <v>0.0</v>
      </c>
      <c r="CJ427" s="63">
        <v>1310.0</v>
      </c>
      <c r="CK427" s="64">
        <v>0.0</v>
      </c>
      <c r="CL427" s="63">
        <v>1310.0</v>
      </c>
      <c r="CM427" s="65">
        <v>0.0</v>
      </c>
      <c r="CN427" s="63">
        <v>0.0</v>
      </c>
      <c r="CO427" s="66">
        <v>0.0</v>
      </c>
      <c r="CP427" s="67">
        <v>0.0</v>
      </c>
      <c r="CQ427" s="63">
        <v>0.0</v>
      </c>
      <c r="CR427" s="63">
        <v>0.0</v>
      </c>
      <c r="CS427" s="63">
        <v>0.0</v>
      </c>
      <c r="CT427" s="68"/>
      <c r="CU427" s="69"/>
      <c r="CV427" s="70"/>
      <c r="CW427" s="71">
        <v>1.0</v>
      </c>
      <c r="CX427" s="71">
        <v>1.0</v>
      </c>
      <c r="CY427" s="71">
        <v>0.1</v>
      </c>
      <c r="CZ427" s="45"/>
      <c r="DA427" s="43"/>
      <c r="DB427" s="44">
        <v>0.0</v>
      </c>
      <c r="DC427" s="43"/>
      <c r="DD427" s="78"/>
      <c r="DE427" s="43"/>
      <c r="DF427" s="43"/>
      <c r="DG427" s="48" t="s">
        <v>128</v>
      </c>
      <c r="DH427" s="48" t="s">
        <v>131</v>
      </c>
      <c r="DI427" s="48" t="s">
        <v>188</v>
      </c>
      <c r="DJ427" s="49">
        <v>1.0</v>
      </c>
      <c r="DK427" s="48" t="b">
        <v>0</v>
      </c>
      <c r="DL427" s="50" t="s">
        <v>1079</v>
      </c>
      <c r="DM427" s="50" t="s">
        <v>128</v>
      </c>
      <c r="DN427" s="50" t="s">
        <v>1080</v>
      </c>
      <c r="DO427" s="49">
        <v>0.85</v>
      </c>
      <c r="DP427" s="51"/>
      <c r="DQ427" s="48" t="s">
        <v>188</v>
      </c>
      <c r="DR427" s="51"/>
      <c r="DS427" s="48" t="s">
        <v>134</v>
      </c>
    </row>
    <row r="428">
      <c r="A428" s="23" t="s">
        <v>118</v>
      </c>
      <c r="B428" s="24">
        <v>13.0</v>
      </c>
      <c r="C428" s="23" t="s">
        <v>1032</v>
      </c>
      <c r="D428" s="24">
        <v>610881.0</v>
      </c>
      <c r="E428" s="23" t="s">
        <v>167</v>
      </c>
      <c r="F428" s="23" t="s">
        <v>1083</v>
      </c>
      <c r="G428" s="23" t="s">
        <v>1084</v>
      </c>
      <c r="H428" s="24">
        <v>45066.0</v>
      </c>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7"/>
      <c r="BU428" s="26"/>
      <c r="BV428" s="26"/>
      <c r="BW428" s="26"/>
      <c r="BX428" s="24">
        <v>1.0</v>
      </c>
      <c r="BY428" s="24" t="s">
        <v>123</v>
      </c>
      <c r="BZ428" s="87">
        <v>1.0</v>
      </c>
      <c r="CA428" s="72"/>
      <c r="CB428" s="82"/>
      <c r="CC428" s="31"/>
      <c r="CD428" s="28">
        <v>1.0</v>
      </c>
      <c r="CE428" s="88" t="s">
        <v>185</v>
      </c>
      <c r="CF428" s="33"/>
      <c r="CG428" s="34">
        <v>0.0</v>
      </c>
      <c r="CH428" s="89"/>
      <c r="CI428" s="36">
        <v>0.0</v>
      </c>
      <c r="CJ428" s="36">
        <v>1310.0</v>
      </c>
      <c r="CK428" s="37">
        <v>0.0</v>
      </c>
      <c r="CL428" s="36">
        <v>1310.0</v>
      </c>
      <c r="CM428" s="38">
        <v>0.0</v>
      </c>
      <c r="CN428" s="36">
        <v>0.0</v>
      </c>
      <c r="CO428" s="39">
        <v>0.0</v>
      </c>
      <c r="CP428" s="40">
        <v>0.0</v>
      </c>
      <c r="CQ428" s="36">
        <v>0.0</v>
      </c>
      <c r="CR428" s="36">
        <v>0.0</v>
      </c>
      <c r="CS428" s="36">
        <v>0.0</v>
      </c>
      <c r="CT428" s="41"/>
      <c r="CU428" s="42"/>
      <c r="CV428" s="43"/>
      <c r="CW428" s="44">
        <v>1.0</v>
      </c>
      <c r="CX428" s="44">
        <v>1.0</v>
      </c>
      <c r="CY428" s="44">
        <v>0.1</v>
      </c>
      <c r="CZ428" s="45"/>
      <c r="DA428" s="43"/>
      <c r="DB428" s="44">
        <v>0.0</v>
      </c>
      <c r="DC428" s="43"/>
      <c r="DD428" s="78"/>
      <c r="DE428" s="43"/>
      <c r="DF428" s="43"/>
      <c r="DG428" s="48" t="s">
        <v>128</v>
      </c>
      <c r="DH428" s="48" t="s">
        <v>131</v>
      </c>
      <c r="DI428" s="48" t="s">
        <v>188</v>
      </c>
      <c r="DJ428" s="49">
        <v>1.0</v>
      </c>
      <c r="DK428" s="48" t="b">
        <v>0</v>
      </c>
      <c r="DL428" s="50" t="s">
        <v>1079</v>
      </c>
      <c r="DM428" s="50" t="s">
        <v>128</v>
      </c>
      <c r="DN428" s="50" t="s">
        <v>1080</v>
      </c>
      <c r="DO428" s="49">
        <v>0.85</v>
      </c>
      <c r="DP428" s="51"/>
      <c r="DQ428" s="48" t="s">
        <v>188</v>
      </c>
      <c r="DR428" s="51"/>
      <c r="DS428" s="48" t="s">
        <v>134</v>
      </c>
    </row>
    <row r="429">
      <c r="A429" s="52" t="s">
        <v>118</v>
      </c>
      <c r="B429" s="53">
        <v>13.0</v>
      </c>
      <c r="C429" s="52" t="s">
        <v>1032</v>
      </c>
      <c r="D429" s="53">
        <v>640888.0</v>
      </c>
      <c r="E429" s="52" t="s">
        <v>161</v>
      </c>
      <c r="F429" s="52" t="s">
        <v>1085</v>
      </c>
      <c r="G429" s="52" t="s">
        <v>1086</v>
      </c>
      <c r="H429" s="53">
        <v>48388.0</v>
      </c>
      <c r="I429" s="53">
        <v>1.0</v>
      </c>
      <c r="J429" s="53">
        <v>0.0</v>
      </c>
      <c r="K429" s="53">
        <v>0.0</v>
      </c>
      <c r="L429" s="53">
        <v>0.0</v>
      </c>
      <c r="M429" s="53">
        <v>0.0</v>
      </c>
      <c r="N429" s="53">
        <v>0.0</v>
      </c>
      <c r="O429" s="53">
        <v>0.0</v>
      </c>
      <c r="P429" s="53">
        <v>0.0</v>
      </c>
      <c r="Q429" s="53">
        <v>0.0</v>
      </c>
      <c r="R429" s="53">
        <v>0.0</v>
      </c>
      <c r="S429" s="53">
        <v>0.0</v>
      </c>
      <c r="T429" s="53">
        <v>0.0</v>
      </c>
      <c r="U429" s="53">
        <v>0.0</v>
      </c>
      <c r="V429" s="53">
        <v>0.0</v>
      </c>
      <c r="W429" s="53">
        <v>0.0</v>
      </c>
      <c r="X429" s="53">
        <v>0.0</v>
      </c>
      <c r="Y429" s="53">
        <v>0.0</v>
      </c>
      <c r="Z429" s="53">
        <v>0.0</v>
      </c>
      <c r="AA429" s="53">
        <v>1.0</v>
      </c>
      <c r="AB429" s="53">
        <v>0.0</v>
      </c>
      <c r="AC429" s="53">
        <v>0.0</v>
      </c>
      <c r="AD429" s="53">
        <v>0.0</v>
      </c>
      <c r="AE429" s="53">
        <v>0.0</v>
      </c>
      <c r="AF429" s="53">
        <v>0.0</v>
      </c>
      <c r="AG429" s="53">
        <v>0.0</v>
      </c>
      <c r="AH429" s="53">
        <v>0.0</v>
      </c>
      <c r="AI429" s="53">
        <v>0.0</v>
      </c>
      <c r="AJ429" s="53">
        <v>0.0</v>
      </c>
      <c r="AK429" s="53">
        <v>0.0</v>
      </c>
      <c r="AL429" s="53">
        <v>0.0</v>
      </c>
      <c r="AM429" s="53">
        <v>0.0</v>
      </c>
      <c r="AN429" s="53">
        <v>0.0</v>
      </c>
      <c r="AO429" s="25">
        <v>17.6</v>
      </c>
      <c r="AP429" s="54"/>
      <c r="AQ429" s="54"/>
      <c r="AR429" s="54"/>
      <c r="AS429" s="54"/>
      <c r="AT429" s="54"/>
      <c r="AU429" s="54"/>
      <c r="AV429" s="54"/>
      <c r="AW429" s="54"/>
      <c r="AX429" s="54"/>
      <c r="AY429" s="54"/>
      <c r="AZ429" s="54"/>
      <c r="BA429" s="54"/>
      <c r="BB429" s="54"/>
      <c r="BC429" s="54"/>
      <c r="BD429" s="54"/>
      <c r="BE429" s="54"/>
      <c r="BF429" s="54"/>
      <c r="BG429" s="53">
        <v>17.57</v>
      </c>
      <c r="BH429" s="54"/>
      <c r="BI429" s="54"/>
      <c r="BJ429" s="54"/>
      <c r="BK429" s="54"/>
      <c r="BL429" s="54"/>
      <c r="BM429" s="54"/>
      <c r="BN429" s="54"/>
      <c r="BO429" s="54"/>
      <c r="BP429" s="53">
        <v>1.2</v>
      </c>
      <c r="BQ429" s="53">
        <v>0.8</v>
      </c>
      <c r="BR429" s="53">
        <v>1.78</v>
      </c>
      <c r="BS429" s="25">
        <v>7.53</v>
      </c>
      <c r="BT429" s="81"/>
      <c r="BU429" s="54"/>
      <c r="BV429" s="54"/>
      <c r="BW429" s="54"/>
      <c r="BX429" s="53">
        <v>3000.0</v>
      </c>
      <c r="BY429" s="53" t="s">
        <v>123</v>
      </c>
      <c r="BZ429" s="58">
        <v>2700.0</v>
      </c>
      <c r="CA429" s="29" t="s">
        <v>124</v>
      </c>
      <c r="CB429" s="30">
        <v>3000.0</v>
      </c>
      <c r="CC429" s="31"/>
      <c r="CD429" s="58">
        <v>3000.0</v>
      </c>
      <c r="CE429" s="59" t="e">
        <v>#REF!</v>
      </c>
      <c r="CF429" s="60"/>
      <c r="CG429" s="61">
        <v>0.0</v>
      </c>
      <c r="CH429" s="62">
        <v>0.0</v>
      </c>
      <c r="CI429" s="63">
        <v>1.0</v>
      </c>
      <c r="CJ429" s="63">
        <v>1999.0</v>
      </c>
      <c r="CK429" s="64">
        <v>0.0</v>
      </c>
      <c r="CL429" s="63">
        <v>1999.0</v>
      </c>
      <c r="CM429" s="65">
        <v>18.0</v>
      </c>
      <c r="CN429" s="63">
        <v>0.0</v>
      </c>
      <c r="CO429" s="66">
        <v>17.6</v>
      </c>
      <c r="CP429" s="67">
        <v>0.0</v>
      </c>
      <c r="CQ429" s="63">
        <v>1.0</v>
      </c>
      <c r="CR429" s="63">
        <v>1.0</v>
      </c>
      <c r="CS429" s="63">
        <v>8.0</v>
      </c>
      <c r="CT429" s="68"/>
      <c r="CU429" s="69"/>
      <c r="CV429" s="70"/>
      <c r="CW429" s="71">
        <v>10.0</v>
      </c>
      <c r="CX429" s="71" t="s">
        <v>138</v>
      </c>
      <c r="CY429" s="71" t="s">
        <v>139</v>
      </c>
      <c r="CZ429" s="45"/>
      <c r="DA429" s="44">
        <v>3000.0</v>
      </c>
      <c r="DB429" s="44">
        <v>0.0</v>
      </c>
      <c r="DC429" s="46" t="s">
        <v>127</v>
      </c>
      <c r="DD429" s="47">
        <v>46228.0</v>
      </c>
      <c r="DE429" s="43"/>
      <c r="DF429" s="43"/>
      <c r="DG429" s="48" t="s">
        <v>128</v>
      </c>
      <c r="DH429" s="48" t="s">
        <v>128</v>
      </c>
      <c r="DI429" s="48" t="s">
        <v>129</v>
      </c>
      <c r="DJ429" s="49">
        <v>0.0</v>
      </c>
      <c r="DK429" s="48" t="b">
        <v>0</v>
      </c>
      <c r="DL429" s="50" t="s">
        <v>1087</v>
      </c>
      <c r="DM429" s="50" t="s">
        <v>131</v>
      </c>
      <c r="DN429" s="50" t="s">
        <v>1088</v>
      </c>
      <c r="DO429" s="49">
        <v>0.68</v>
      </c>
      <c r="DP429" s="48" t="s">
        <v>128</v>
      </c>
      <c r="DQ429" s="48" t="s">
        <v>133</v>
      </c>
      <c r="DR429" s="51"/>
      <c r="DS429" s="48" t="s">
        <v>134</v>
      </c>
    </row>
    <row r="430">
      <c r="A430" s="23" t="s">
        <v>118</v>
      </c>
      <c r="B430" s="24">
        <v>13.0</v>
      </c>
      <c r="C430" s="23" t="s">
        <v>1032</v>
      </c>
      <c r="D430" s="24">
        <v>627274.0</v>
      </c>
      <c r="E430" s="23" t="s">
        <v>173</v>
      </c>
      <c r="F430" s="23" t="s">
        <v>1089</v>
      </c>
      <c r="G430" s="23" t="s">
        <v>1090</v>
      </c>
      <c r="H430" s="24">
        <v>48388.0</v>
      </c>
      <c r="I430" s="24">
        <v>15.0</v>
      </c>
      <c r="J430" s="24">
        <v>1.0</v>
      </c>
      <c r="K430" s="24">
        <v>0.0</v>
      </c>
      <c r="L430" s="24">
        <v>0.0</v>
      </c>
      <c r="M430" s="24">
        <v>0.0</v>
      </c>
      <c r="N430" s="24">
        <v>0.0</v>
      </c>
      <c r="O430" s="24">
        <v>2.0</v>
      </c>
      <c r="P430" s="24">
        <v>0.0</v>
      </c>
      <c r="Q430" s="24">
        <v>0.0</v>
      </c>
      <c r="R430" s="24">
        <v>0.0</v>
      </c>
      <c r="S430" s="24">
        <v>0.0</v>
      </c>
      <c r="T430" s="24">
        <v>0.0</v>
      </c>
      <c r="U430" s="24">
        <v>0.0</v>
      </c>
      <c r="V430" s="24">
        <v>0.0</v>
      </c>
      <c r="W430" s="24">
        <v>1.0</v>
      </c>
      <c r="X430" s="24">
        <v>1.0</v>
      </c>
      <c r="Y430" s="24">
        <v>1.0</v>
      </c>
      <c r="Z430" s="24">
        <v>1.0</v>
      </c>
      <c r="AA430" s="24">
        <v>1.0</v>
      </c>
      <c r="AB430" s="24">
        <v>0.0</v>
      </c>
      <c r="AC430" s="24">
        <v>1.0</v>
      </c>
      <c r="AD430" s="24">
        <v>1.0</v>
      </c>
      <c r="AE430" s="24">
        <v>0.0</v>
      </c>
      <c r="AF430" s="24">
        <v>0.0</v>
      </c>
      <c r="AG430" s="24">
        <v>0.0</v>
      </c>
      <c r="AH430" s="24">
        <v>0.0</v>
      </c>
      <c r="AI430" s="24">
        <v>0.0</v>
      </c>
      <c r="AJ430" s="24">
        <v>1.0</v>
      </c>
      <c r="AK430" s="24">
        <v>3.0</v>
      </c>
      <c r="AL430" s="24">
        <v>0.0</v>
      </c>
      <c r="AM430" s="24">
        <v>0.0</v>
      </c>
      <c r="AN430" s="24">
        <v>1.0</v>
      </c>
      <c r="AO430" s="25">
        <v>21.4</v>
      </c>
      <c r="AP430" s="24">
        <v>15.2</v>
      </c>
      <c r="AQ430" s="26"/>
      <c r="AR430" s="26"/>
      <c r="AS430" s="26"/>
      <c r="AT430" s="26"/>
      <c r="AU430" s="24">
        <v>15.14</v>
      </c>
      <c r="AV430" s="26"/>
      <c r="AW430" s="26"/>
      <c r="AX430" s="26"/>
      <c r="AY430" s="26"/>
      <c r="AZ430" s="26"/>
      <c r="BA430" s="26"/>
      <c r="BB430" s="26"/>
      <c r="BC430" s="24">
        <v>24.45</v>
      </c>
      <c r="BD430" s="24">
        <v>19.37</v>
      </c>
      <c r="BE430" s="24">
        <v>18.82</v>
      </c>
      <c r="BF430" s="24">
        <v>23.35</v>
      </c>
      <c r="BG430" s="24">
        <v>15.47</v>
      </c>
      <c r="BH430" s="26"/>
      <c r="BI430" s="24">
        <v>16.57</v>
      </c>
      <c r="BJ430" s="24">
        <v>34.85</v>
      </c>
      <c r="BK430" s="26"/>
      <c r="BL430" s="26"/>
      <c r="BM430" s="26"/>
      <c r="BN430" s="26"/>
      <c r="BO430" s="24">
        <v>0.41</v>
      </c>
      <c r="BP430" s="24">
        <v>2.15</v>
      </c>
      <c r="BQ430" s="24">
        <v>7.09</v>
      </c>
      <c r="BR430" s="24">
        <v>9.05</v>
      </c>
      <c r="BS430" s="25">
        <v>5.35</v>
      </c>
      <c r="BT430" s="91">
        <v>15.8</v>
      </c>
      <c r="BU430" s="57">
        <v>2.7</v>
      </c>
      <c r="BV430" s="57">
        <v>5.33</v>
      </c>
      <c r="BW430" s="24">
        <v>1300.0</v>
      </c>
      <c r="BX430" s="24">
        <v>3000.0</v>
      </c>
      <c r="BY430" s="24" t="s">
        <v>123</v>
      </c>
      <c r="BZ430" s="28">
        <v>2700.0</v>
      </c>
      <c r="CA430" s="29" t="s">
        <v>124</v>
      </c>
      <c r="CB430" s="30">
        <v>3000.0</v>
      </c>
      <c r="CC430" s="31"/>
      <c r="CD430" s="28">
        <v>3000.0</v>
      </c>
      <c r="CE430" s="32" t="e">
        <v>#REF!</v>
      </c>
      <c r="CF430" s="33"/>
      <c r="CG430" s="34">
        <v>0.0</v>
      </c>
      <c r="CH430" s="35">
        <v>0.0</v>
      </c>
      <c r="CI430" s="36">
        <v>15.0</v>
      </c>
      <c r="CJ430" s="36">
        <v>1999.0</v>
      </c>
      <c r="CK430" s="37">
        <v>0.0</v>
      </c>
      <c r="CL430" s="36">
        <v>1999.0</v>
      </c>
      <c r="CM430" s="38">
        <v>321.0</v>
      </c>
      <c r="CN430" s="36">
        <v>0.0</v>
      </c>
      <c r="CO430" s="39">
        <v>21.4</v>
      </c>
      <c r="CP430" s="40">
        <v>0.0</v>
      </c>
      <c r="CQ430" s="36">
        <v>32.0</v>
      </c>
      <c r="CR430" s="36">
        <v>32.0</v>
      </c>
      <c r="CS430" s="36">
        <v>80.0</v>
      </c>
      <c r="CT430" s="41"/>
      <c r="CU430" s="42"/>
      <c r="CV430" s="43"/>
      <c r="CW430" s="44">
        <v>10.0</v>
      </c>
      <c r="CX430" s="44" t="s">
        <v>138</v>
      </c>
      <c r="CY430" s="44" t="s">
        <v>139</v>
      </c>
      <c r="CZ430" s="45"/>
      <c r="DA430" s="44">
        <v>2700.0</v>
      </c>
      <c r="DB430" s="44">
        <v>0.0</v>
      </c>
      <c r="DC430" s="46" t="s">
        <v>127</v>
      </c>
      <c r="DD430" s="47">
        <v>46228.0</v>
      </c>
      <c r="DE430" s="43"/>
      <c r="DF430" s="43"/>
      <c r="DG430" s="48" t="s">
        <v>128</v>
      </c>
      <c r="DH430" s="48" t="s">
        <v>128</v>
      </c>
      <c r="DI430" s="48" t="s">
        <v>128</v>
      </c>
      <c r="DJ430" s="49">
        <v>1.0</v>
      </c>
      <c r="DK430" s="48" t="b">
        <v>1</v>
      </c>
      <c r="DL430" s="50" t="s">
        <v>1087</v>
      </c>
      <c r="DM430" s="50" t="s">
        <v>131</v>
      </c>
      <c r="DN430" s="50" t="s">
        <v>1088</v>
      </c>
      <c r="DO430" s="49">
        <v>0.68</v>
      </c>
      <c r="DP430" s="48" t="s">
        <v>128</v>
      </c>
      <c r="DQ430" s="48" t="s">
        <v>128</v>
      </c>
      <c r="DR430" s="51"/>
      <c r="DS430" s="48" t="s">
        <v>134</v>
      </c>
    </row>
    <row r="431">
      <c r="A431" s="52" t="s">
        <v>118</v>
      </c>
      <c r="B431" s="53">
        <v>13.0</v>
      </c>
      <c r="C431" s="52" t="s">
        <v>1032</v>
      </c>
      <c r="D431" s="53">
        <v>588071.0</v>
      </c>
      <c r="E431" s="52" t="s">
        <v>152</v>
      </c>
      <c r="F431" s="52" t="s">
        <v>1091</v>
      </c>
      <c r="G431" s="52" t="s">
        <v>1092</v>
      </c>
      <c r="H431" s="53">
        <v>48388.0</v>
      </c>
      <c r="I431" s="53">
        <v>21.0</v>
      </c>
      <c r="J431" s="53">
        <v>0.0</v>
      </c>
      <c r="K431" s="53">
        <v>0.0</v>
      </c>
      <c r="L431" s="53">
        <v>0.0</v>
      </c>
      <c r="M431" s="53">
        <v>0.0</v>
      </c>
      <c r="N431" s="53">
        <v>0.0</v>
      </c>
      <c r="O431" s="53">
        <v>0.0</v>
      </c>
      <c r="P431" s="53">
        <v>1.0</v>
      </c>
      <c r="Q431" s="53">
        <v>1.0</v>
      </c>
      <c r="R431" s="53">
        <v>0.0</v>
      </c>
      <c r="S431" s="53">
        <v>2.0</v>
      </c>
      <c r="T431" s="53">
        <v>1.0</v>
      </c>
      <c r="U431" s="53">
        <v>0.0</v>
      </c>
      <c r="V431" s="53">
        <v>0.0</v>
      </c>
      <c r="W431" s="53">
        <v>1.0</v>
      </c>
      <c r="X431" s="53">
        <v>0.0</v>
      </c>
      <c r="Y431" s="53">
        <v>1.0</v>
      </c>
      <c r="Z431" s="53">
        <v>1.0</v>
      </c>
      <c r="AA431" s="53">
        <v>0.0</v>
      </c>
      <c r="AB431" s="53">
        <v>0.0</v>
      </c>
      <c r="AC431" s="53">
        <v>0.0</v>
      </c>
      <c r="AD431" s="53">
        <v>0.0</v>
      </c>
      <c r="AE431" s="53">
        <v>1.0</v>
      </c>
      <c r="AF431" s="53">
        <v>0.0</v>
      </c>
      <c r="AG431" s="53">
        <v>0.0</v>
      </c>
      <c r="AH431" s="53">
        <v>1.0</v>
      </c>
      <c r="AI431" s="53">
        <v>6.0</v>
      </c>
      <c r="AJ431" s="53">
        <v>1.0</v>
      </c>
      <c r="AK431" s="53">
        <v>1.0</v>
      </c>
      <c r="AL431" s="53">
        <v>0.0</v>
      </c>
      <c r="AM431" s="53">
        <v>2.0</v>
      </c>
      <c r="AN431" s="53">
        <v>1.0</v>
      </c>
      <c r="AO431" s="25">
        <v>18.6</v>
      </c>
      <c r="AP431" s="54"/>
      <c r="AQ431" s="54"/>
      <c r="AR431" s="54"/>
      <c r="AS431" s="54"/>
      <c r="AT431" s="54"/>
      <c r="AU431" s="54"/>
      <c r="AV431" s="53">
        <v>41.85</v>
      </c>
      <c r="AW431" s="53">
        <v>15.37</v>
      </c>
      <c r="AX431" s="54"/>
      <c r="AY431" s="53">
        <v>21.59</v>
      </c>
      <c r="AZ431" s="53">
        <v>17.82</v>
      </c>
      <c r="BA431" s="54"/>
      <c r="BB431" s="54"/>
      <c r="BC431" s="53">
        <v>10.45</v>
      </c>
      <c r="BD431" s="54"/>
      <c r="BE431" s="53">
        <v>9.38</v>
      </c>
      <c r="BF431" s="53">
        <v>15.22</v>
      </c>
      <c r="BG431" s="54"/>
      <c r="BH431" s="54"/>
      <c r="BI431" s="54"/>
      <c r="BJ431" s="54"/>
      <c r="BK431" s="53">
        <v>12.78</v>
      </c>
      <c r="BL431" s="54"/>
      <c r="BM431" s="54"/>
      <c r="BN431" s="53">
        <v>13.07</v>
      </c>
      <c r="BO431" s="53">
        <v>0.32</v>
      </c>
      <c r="BP431" s="53">
        <v>3.85</v>
      </c>
      <c r="BQ431" s="53">
        <v>3.84</v>
      </c>
      <c r="BR431" s="53">
        <v>7.48</v>
      </c>
      <c r="BS431" s="55">
        <v>3.84</v>
      </c>
      <c r="BT431" s="56">
        <v>20.9</v>
      </c>
      <c r="BU431" s="55">
        <v>3.9</v>
      </c>
      <c r="BV431" s="57">
        <v>4.62</v>
      </c>
      <c r="BW431" s="54"/>
      <c r="BX431" s="53">
        <v>3000.0</v>
      </c>
      <c r="BY431" s="53" t="s">
        <v>123</v>
      </c>
      <c r="BZ431" s="58">
        <v>3000.0</v>
      </c>
      <c r="CA431" s="72"/>
      <c r="CB431" s="30">
        <v>3000.0</v>
      </c>
      <c r="CC431" s="31"/>
      <c r="CD431" s="58">
        <v>3000.0</v>
      </c>
      <c r="CE431" s="59" t="e">
        <v>#REF!</v>
      </c>
      <c r="CF431" s="60"/>
      <c r="CG431" s="61">
        <v>0.0</v>
      </c>
      <c r="CH431" s="62">
        <v>0.0</v>
      </c>
      <c r="CI431" s="63">
        <v>21.0</v>
      </c>
      <c r="CJ431" s="63">
        <v>1999.0</v>
      </c>
      <c r="CK431" s="64">
        <v>0.0</v>
      </c>
      <c r="CL431" s="63">
        <v>1999.0</v>
      </c>
      <c r="CM431" s="65">
        <v>391.0</v>
      </c>
      <c r="CN431" s="63">
        <v>0.0</v>
      </c>
      <c r="CO431" s="66">
        <v>18.6</v>
      </c>
      <c r="CP431" s="67">
        <v>0.0</v>
      </c>
      <c r="CQ431" s="63">
        <v>81.0</v>
      </c>
      <c r="CR431" s="63">
        <v>81.0</v>
      </c>
      <c r="CS431" s="63">
        <v>81.0</v>
      </c>
      <c r="CT431" s="68"/>
      <c r="CU431" s="69"/>
      <c r="CV431" s="70"/>
      <c r="CW431" s="71">
        <v>10.0</v>
      </c>
      <c r="CX431" s="71" t="s">
        <v>138</v>
      </c>
      <c r="CY431" s="71" t="s">
        <v>139</v>
      </c>
      <c r="CZ431" s="45"/>
      <c r="DA431" s="44">
        <v>3000.0</v>
      </c>
      <c r="DB431" s="44">
        <v>0.0</v>
      </c>
      <c r="DC431" s="46" t="s">
        <v>127</v>
      </c>
      <c r="DD431" s="47">
        <v>46197.0</v>
      </c>
      <c r="DE431" s="43"/>
      <c r="DF431" s="43"/>
      <c r="DG431" s="48" t="s">
        <v>128</v>
      </c>
      <c r="DH431" s="48" t="s">
        <v>128</v>
      </c>
      <c r="DI431" s="48" t="s">
        <v>128</v>
      </c>
      <c r="DJ431" s="49">
        <v>1.0</v>
      </c>
      <c r="DK431" s="48" t="b">
        <v>0</v>
      </c>
      <c r="DL431" s="50" t="s">
        <v>1087</v>
      </c>
      <c r="DM431" s="50" t="s">
        <v>131</v>
      </c>
      <c r="DN431" s="50" t="s">
        <v>1088</v>
      </c>
      <c r="DO431" s="49">
        <v>0.68</v>
      </c>
      <c r="DP431" s="48" t="s">
        <v>128</v>
      </c>
      <c r="DQ431" s="48" t="s">
        <v>128</v>
      </c>
      <c r="DR431" s="51"/>
      <c r="DS431" s="48" t="s">
        <v>134</v>
      </c>
    </row>
    <row r="432">
      <c r="A432" s="23" t="s">
        <v>118</v>
      </c>
      <c r="B432" s="24">
        <v>13.0</v>
      </c>
      <c r="C432" s="23" t="s">
        <v>1032</v>
      </c>
      <c r="D432" s="24">
        <v>648806.0</v>
      </c>
      <c r="E432" s="23" t="s">
        <v>179</v>
      </c>
      <c r="F432" s="23" t="s">
        <v>1093</v>
      </c>
      <c r="G432" s="23" t="s">
        <v>1094</v>
      </c>
      <c r="H432" s="24">
        <v>48388.0</v>
      </c>
      <c r="I432" s="24">
        <v>4.0</v>
      </c>
      <c r="J432" s="24">
        <v>0.0</v>
      </c>
      <c r="K432" s="24">
        <v>0.0</v>
      </c>
      <c r="L432" s="24">
        <v>0.0</v>
      </c>
      <c r="M432" s="24">
        <v>0.0</v>
      </c>
      <c r="N432" s="24">
        <v>0.0</v>
      </c>
      <c r="O432" s="24">
        <v>0.0</v>
      </c>
      <c r="P432" s="24">
        <v>0.0</v>
      </c>
      <c r="Q432" s="24">
        <v>0.0</v>
      </c>
      <c r="R432" s="24">
        <v>0.0</v>
      </c>
      <c r="S432" s="24">
        <v>0.0</v>
      </c>
      <c r="T432" s="24">
        <v>1.0</v>
      </c>
      <c r="U432" s="24">
        <v>0.0</v>
      </c>
      <c r="V432" s="24">
        <v>0.0</v>
      </c>
      <c r="W432" s="24">
        <v>0.0</v>
      </c>
      <c r="X432" s="24">
        <v>0.0</v>
      </c>
      <c r="Y432" s="24">
        <v>0.0</v>
      </c>
      <c r="Z432" s="24">
        <v>0.0</v>
      </c>
      <c r="AA432" s="24">
        <v>0.0</v>
      </c>
      <c r="AB432" s="24">
        <v>0.0</v>
      </c>
      <c r="AC432" s="24">
        <v>0.0</v>
      </c>
      <c r="AD432" s="24">
        <v>0.0</v>
      </c>
      <c r="AE432" s="24">
        <v>0.0</v>
      </c>
      <c r="AF432" s="24">
        <v>0.0</v>
      </c>
      <c r="AG432" s="24">
        <v>0.0</v>
      </c>
      <c r="AH432" s="24">
        <v>0.0</v>
      </c>
      <c r="AI432" s="24">
        <v>1.0</v>
      </c>
      <c r="AJ432" s="24">
        <v>2.0</v>
      </c>
      <c r="AK432" s="24">
        <v>0.0</v>
      </c>
      <c r="AL432" s="24">
        <v>0.0</v>
      </c>
      <c r="AM432" s="24">
        <v>0.0</v>
      </c>
      <c r="AN432" s="24">
        <v>0.0</v>
      </c>
      <c r="AO432" s="25">
        <v>18.8</v>
      </c>
      <c r="AP432" s="26"/>
      <c r="AQ432" s="26"/>
      <c r="AR432" s="26"/>
      <c r="AS432" s="26"/>
      <c r="AT432" s="26"/>
      <c r="AU432" s="26"/>
      <c r="AV432" s="26"/>
      <c r="AW432" s="26"/>
      <c r="AX432" s="26"/>
      <c r="AY432" s="26"/>
      <c r="AZ432" s="24">
        <v>9.65</v>
      </c>
      <c r="BA432" s="26"/>
      <c r="BB432" s="26"/>
      <c r="BC432" s="26"/>
      <c r="BD432" s="26"/>
      <c r="BE432" s="26"/>
      <c r="BF432" s="26"/>
      <c r="BG432" s="26"/>
      <c r="BH432" s="26"/>
      <c r="BI432" s="26"/>
      <c r="BJ432" s="26"/>
      <c r="BK432" s="26"/>
      <c r="BL432" s="26"/>
      <c r="BM432" s="26"/>
      <c r="BN432" s="26"/>
      <c r="BO432" s="24">
        <v>0.36</v>
      </c>
      <c r="BP432" s="24">
        <v>1.33</v>
      </c>
      <c r="BQ432" s="24">
        <v>5.31</v>
      </c>
      <c r="BR432" s="24">
        <v>6.43</v>
      </c>
      <c r="BS432" s="55">
        <v>3.79</v>
      </c>
      <c r="BT432" s="56">
        <v>24.5</v>
      </c>
      <c r="BU432" s="25">
        <v>4.2</v>
      </c>
      <c r="BV432" s="25">
        <v>11.25</v>
      </c>
      <c r="BW432" s="26"/>
      <c r="BX432" s="24">
        <v>3000.0</v>
      </c>
      <c r="BY432" s="24" t="s">
        <v>123</v>
      </c>
      <c r="BZ432" s="28">
        <v>2700.0</v>
      </c>
      <c r="CA432" s="29" t="s">
        <v>124</v>
      </c>
      <c r="CB432" s="30">
        <v>3000.0</v>
      </c>
      <c r="CC432" s="31"/>
      <c r="CD432" s="28">
        <v>3000.0</v>
      </c>
      <c r="CE432" s="32" t="e">
        <v>#REF!</v>
      </c>
      <c r="CF432" s="33"/>
      <c r="CG432" s="34">
        <v>0.0</v>
      </c>
      <c r="CH432" s="35">
        <v>0.0</v>
      </c>
      <c r="CI432" s="36">
        <v>4.0</v>
      </c>
      <c r="CJ432" s="36">
        <v>1999.0</v>
      </c>
      <c r="CK432" s="37">
        <v>0.0</v>
      </c>
      <c r="CL432" s="36">
        <v>1999.0</v>
      </c>
      <c r="CM432" s="38">
        <v>75.0</v>
      </c>
      <c r="CN432" s="36">
        <v>0.0</v>
      </c>
      <c r="CO432" s="39">
        <v>18.8</v>
      </c>
      <c r="CP432" s="40">
        <v>0.0</v>
      </c>
      <c r="CQ432" s="36">
        <v>5.0</v>
      </c>
      <c r="CR432" s="36">
        <v>5.0</v>
      </c>
      <c r="CS432" s="36">
        <v>15.0</v>
      </c>
      <c r="CT432" s="41"/>
      <c r="CU432" s="42"/>
      <c r="CV432" s="43"/>
      <c r="CW432" s="44">
        <v>10.0</v>
      </c>
      <c r="CX432" s="44" t="s">
        <v>138</v>
      </c>
      <c r="CY432" s="44" t="s">
        <v>139</v>
      </c>
      <c r="CZ432" s="45"/>
      <c r="DA432" s="44">
        <v>3000.0</v>
      </c>
      <c r="DB432" s="44">
        <v>0.0</v>
      </c>
      <c r="DC432" s="43"/>
      <c r="DD432" s="78"/>
      <c r="DE432" s="43"/>
      <c r="DF432" s="43"/>
      <c r="DG432" s="48" t="s">
        <v>128</v>
      </c>
      <c r="DH432" s="48" t="s">
        <v>128</v>
      </c>
      <c r="DI432" s="48" t="s">
        <v>128</v>
      </c>
      <c r="DJ432" s="49">
        <v>0.0</v>
      </c>
      <c r="DK432" s="48" t="b">
        <v>0</v>
      </c>
      <c r="DL432" s="50" t="s">
        <v>1087</v>
      </c>
      <c r="DM432" s="50" t="s">
        <v>131</v>
      </c>
      <c r="DN432" s="50" t="s">
        <v>1088</v>
      </c>
      <c r="DO432" s="49">
        <v>0.68</v>
      </c>
      <c r="DP432" s="48" t="s">
        <v>128</v>
      </c>
      <c r="DQ432" s="48" t="s">
        <v>128</v>
      </c>
      <c r="DR432" s="51"/>
      <c r="DS432" s="48" t="s">
        <v>134</v>
      </c>
    </row>
    <row r="433">
      <c r="A433" s="52" t="s">
        <v>118</v>
      </c>
      <c r="B433" s="53">
        <v>13.0</v>
      </c>
      <c r="C433" s="52" t="s">
        <v>1032</v>
      </c>
      <c r="D433" s="53">
        <v>641892.0</v>
      </c>
      <c r="E433" s="52" t="s">
        <v>170</v>
      </c>
      <c r="F433" s="52" t="s">
        <v>1095</v>
      </c>
      <c r="G433" s="52" t="s">
        <v>1096</v>
      </c>
      <c r="H433" s="53">
        <v>48388.0</v>
      </c>
      <c r="I433" s="53">
        <v>5.0</v>
      </c>
      <c r="J433" s="53">
        <v>0.0</v>
      </c>
      <c r="K433" s="53">
        <v>0.0</v>
      </c>
      <c r="L433" s="53">
        <v>0.0</v>
      </c>
      <c r="M433" s="53">
        <v>0.0</v>
      </c>
      <c r="N433" s="53">
        <v>0.0</v>
      </c>
      <c r="O433" s="53">
        <v>0.0</v>
      </c>
      <c r="P433" s="53">
        <v>1.0</v>
      </c>
      <c r="Q433" s="53">
        <v>0.0</v>
      </c>
      <c r="R433" s="53">
        <v>1.0</v>
      </c>
      <c r="S433" s="53">
        <v>0.0</v>
      </c>
      <c r="T433" s="53">
        <v>0.0</v>
      </c>
      <c r="U433" s="53">
        <v>0.0</v>
      </c>
      <c r="V433" s="53">
        <v>0.0</v>
      </c>
      <c r="W433" s="53">
        <v>0.0</v>
      </c>
      <c r="X433" s="53">
        <v>2.0</v>
      </c>
      <c r="Y433" s="53">
        <v>0.0</v>
      </c>
      <c r="Z433" s="53">
        <v>1.0</v>
      </c>
      <c r="AA433" s="53">
        <v>0.0</v>
      </c>
      <c r="AB433" s="53">
        <v>0.0</v>
      </c>
      <c r="AC433" s="53">
        <v>0.0</v>
      </c>
      <c r="AD433" s="53">
        <v>0.0</v>
      </c>
      <c r="AE433" s="53">
        <v>0.0</v>
      </c>
      <c r="AF433" s="53">
        <v>0.0</v>
      </c>
      <c r="AG433" s="53">
        <v>0.0</v>
      </c>
      <c r="AH433" s="53">
        <v>0.0</v>
      </c>
      <c r="AI433" s="53">
        <v>0.0</v>
      </c>
      <c r="AJ433" s="53">
        <v>0.0</v>
      </c>
      <c r="AK433" s="53">
        <v>0.0</v>
      </c>
      <c r="AL433" s="53">
        <v>0.0</v>
      </c>
      <c r="AM433" s="53">
        <v>0.0</v>
      </c>
      <c r="AN433" s="53">
        <v>0.0</v>
      </c>
      <c r="AO433" s="55">
        <v>15.1</v>
      </c>
      <c r="AP433" s="54"/>
      <c r="AQ433" s="54"/>
      <c r="AR433" s="54"/>
      <c r="AS433" s="54"/>
      <c r="AT433" s="54"/>
      <c r="AU433" s="54"/>
      <c r="AV433" s="53">
        <v>17.32</v>
      </c>
      <c r="AW433" s="54"/>
      <c r="AX433" s="53">
        <v>12.0</v>
      </c>
      <c r="AY433" s="54"/>
      <c r="AZ433" s="54"/>
      <c r="BA433" s="54"/>
      <c r="BB433" s="54"/>
      <c r="BC433" s="54"/>
      <c r="BD433" s="53">
        <v>14.38</v>
      </c>
      <c r="BE433" s="54"/>
      <c r="BF433" s="53">
        <v>17.42</v>
      </c>
      <c r="BG433" s="54"/>
      <c r="BH433" s="54"/>
      <c r="BI433" s="54"/>
      <c r="BJ433" s="54"/>
      <c r="BK433" s="54"/>
      <c r="BL433" s="54"/>
      <c r="BM433" s="54"/>
      <c r="BN433" s="54"/>
      <c r="BO433" s="54"/>
      <c r="BP433" s="53">
        <v>2.31</v>
      </c>
      <c r="BQ433" s="53">
        <v>4.2</v>
      </c>
      <c r="BR433" s="53">
        <v>6.31</v>
      </c>
      <c r="BS433" s="55">
        <v>3.18</v>
      </c>
      <c r="BT433" s="91">
        <v>15.8</v>
      </c>
      <c r="BU433" s="55">
        <v>3.5</v>
      </c>
      <c r="BV433" s="55">
        <v>6.7</v>
      </c>
      <c r="BW433" s="54"/>
      <c r="BX433" s="53">
        <v>3000.0</v>
      </c>
      <c r="BY433" s="53" t="s">
        <v>123</v>
      </c>
      <c r="BZ433" s="58">
        <v>3000.0</v>
      </c>
      <c r="CA433" s="72"/>
      <c r="CB433" s="30">
        <v>3000.0</v>
      </c>
      <c r="CC433" s="31"/>
      <c r="CD433" s="58">
        <v>3000.0</v>
      </c>
      <c r="CE433" s="59" t="e">
        <v>#REF!</v>
      </c>
      <c r="CF433" s="60"/>
      <c r="CG433" s="61">
        <v>0.0</v>
      </c>
      <c r="CH433" s="62">
        <v>0.0</v>
      </c>
      <c r="CI433" s="63">
        <v>5.0</v>
      </c>
      <c r="CJ433" s="63">
        <v>1999.0</v>
      </c>
      <c r="CK433" s="64">
        <v>0.0</v>
      </c>
      <c r="CL433" s="63">
        <v>1999.0</v>
      </c>
      <c r="CM433" s="65">
        <v>76.0</v>
      </c>
      <c r="CN433" s="63">
        <v>0.0</v>
      </c>
      <c r="CO433" s="66">
        <v>15.1</v>
      </c>
      <c r="CP433" s="67">
        <v>0.0</v>
      </c>
      <c r="CQ433" s="63">
        <v>12.0</v>
      </c>
      <c r="CR433" s="63">
        <v>12.0</v>
      </c>
      <c r="CS433" s="63">
        <v>16.0</v>
      </c>
      <c r="CT433" s="68"/>
      <c r="CU433" s="69"/>
      <c r="CV433" s="70"/>
      <c r="CW433" s="71">
        <v>10.0</v>
      </c>
      <c r="CX433" s="71" t="s">
        <v>138</v>
      </c>
      <c r="CY433" s="71" t="s">
        <v>139</v>
      </c>
      <c r="CZ433" s="45"/>
      <c r="DA433" s="44">
        <v>3000.0</v>
      </c>
      <c r="DB433" s="44">
        <v>0.0</v>
      </c>
      <c r="DC433" s="46" t="s">
        <v>127</v>
      </c>
      <c r="DD433" s="47">
        <v>46240.0</v>
      </c>
      <c r="DE433" s="43"/>
      <c r="DF433" s="43"/>
      <c r="DG433" s="48" t="s">
        <v>128</v>
      </c>
      <c r="DH433" s="48" t="s">
        <v>128</v>
      </c>
      <c r="DI433" s="48" t="s">
        <v>129</v>
      </c>
      <c r="DJ433" s="49">
        <v>1.0</v>
      </c>
      <c r="DK433" s="48" t="b">
        <v>0</v>
      </c>
      <c r="DL433" s="50" t="s">
        <v>1087</v>
      </c>
      <c r="DM433" s="50" t="s">
        <v>131</v>
      </c>
      <c r="DN433" s="50" t="s">
        <v>1088</v>
      </c>
      <c r="DO433" s="49">
        <v>0.68</v>
      </c>
      <c r="DP433" s="48" t="s">
        <v>128</v>
      </c>
      <c r="DQ433" s="48" t="s">
        <v>133</v>
      </c>
      <c r="DR433" s="51"/>
      <c r="DS433" s="48" t="s">
        <v>134</v>
      </c>
    </row>
    <row r="434">
      <c r="A434" s="23" t="s">
        <v>118</v>
      </c>
      <c r="B434" s="24">
        <v>13.0</v>
      </c>
      <c r="C434" s="23" t="s">
        <v>1032</v>
      </c>
      <c r="D434" s="24">
        <v>536832.0</v>
      </c>
      <c r="E434" s="23" t="s">
        <v>158</v>
      </c>
      <c r="F434" s="23" t="s">
        <v>1097</v>
      </c>
      <c r="G434" s="23" t="s">
        <v>1098</v>
      </c>
      <c r="H434" s="24">
        <v>48388.0</v>
      </c>
      <c r="I434" s="24">
        <v>32.0</v>
      </c>
      <c r="J434" s="24">
        <v>0.0</v>
      </c>
      <c r="K434" s="24">
        <v>1.0</v>
      </c>
      <c r="L434" s="24">
        <v>1.0</v>
      </c>
      <c r="M434" s="24">
        <v>0.0</v>
      </c>
      <c r="N434" s="24">
        <v>0.0</v>
      </c>
      <c r="O434" s="24">
        <v>0.0</v>
      </c>
      <c r="P434" s="24">
        <v>1.0</v>
      </c>
      <c r="Q434" s="24">
        <v>0.0</v>
      </c>
      <c r="R434" s="24">
        <v>1.0</v>
      </c>
      <c r="S434" s="24">
        <v>2.0</v>
      </c>
      <c r="T434" s="24">
        <v>0.0</v>
      </c>
      <c r="U434" s="24">
        <v>2.0</v>
      </c>
      <c r="V434" s="24">
        <v>0.0</v>
      </c>
      <c r="W434" s="24">
        <v>1.0</v>
      </c>
      <c r="X434" s="24">
        <v>0.0</v>
      </c>
      <c r="Y434" s="24">
        <v>0.0</v>
      </c>
      <c r="Z434" s="24">
        <v>3.0</v>
      </c>
      <c r="AA434" s="24">
        <v>2.0</v>
      </c>
      <c r="AB434" s="24">
        <v>3.0</v>
      </c>
      <c r="AC434" s="24">
        <v>1.0</v>
      </c>
      <c r="AD434" s="24">
        <v>0.0</v>
      </c>
      <c r="AE434" s="24">
        <v>2.0</v>
      </c>
      <c r="AF434" s="24">
        <v>0.0</v>
      </c>
      <c r="AG434" s="24">
        <v>3.0</v>
      </c>
      <c r="AH434" s="24">
        <v>3.0</v>
      </c>
      <c r="AI434" s="24">
        <v>3.0</v>
      </c>
      <c r="AJ434" s="24">
        <v>1.0</v>
      </c>
      <c r="AK434" s="24">
        <v>0.0</v>
      </c>
      <c r="AL434" s="24">
        <v>0.0</v>
      </c>
      <c r="AM434" s="24">
        <v>1.0</v>
      </c>
      <c r="AN434" s="24">
        <v>1.0</v>
      </c>
      <c r="AO434" s="25">
        <v>17.7</v>
      </c>
      <c r="AP434" s="26"/>
      <c r="AQ434" s="24">
        <v>11.68</v>
      </c>
      <c r="AR434" s="24">
        <v>12.58</v>
      </c>
      <c r="AS434" s="26"/>
      <c r="AT434" s="26"/>
      <c r="AU434" s="26"/>
      <c r="AV434" s="24">
        <v>9.1</v>
      </c>
      <c r="AW434" s="26"/>
      <c r="AX434" s="24">
        <v>22.63</v>
      </c>
      <c r="AY434" s="24">
        <v>22.18</v>
      </c>
      <c r="AZ434" s="26"/>
      <c r="BA434" s="24">
        <v>12.19</v>
      </c>
      <c r="BB434" s="26"/>
      <c r="BC434" s="24">
        <v>11.97</v>
      </c>
      <c r="BD434" s="26"/>
      <c r="BE434" s="26"/>
      <c r="BF434" s="24">
        <v>25.59</v>
      </c>
      <c r="BG434" s="24">
        <v>25.08</v>
      </c>
      <c r="BH434" s="24">
        <v>16.57</v>
      </c>
      <c r="BI434" s="24">
        <v>16.87</v>
      </c>
      <c r="BJ434" s="26"/>
      <c r="BK434" s="24">
        <v>16.86</v>
      </c>
      <c r="BL434" s="26"/>
      <c r="BM434" s="24">
        <v>15.53</v>
      </c>
      <c r="BN434" s="24">
        <v>16.94</v>
      </c>
      <c r="BO434" s="24">
        <v>0.29</v>
      </c>
      <c r="BP434" s="24">
        <v>2.45</v>
      </c>
      <c r="BQ434" s="24">
        <v>5.88</v>
      </c>
      <c r="BR434" s="24">
        <v>8.14</v>
      </c>
      <c r="BS434" s="57">
        <v>2.76</v>
      </c>
      <c r="BT434" s="77">
        <v>14.4</v>
      </c>
      <c r="BU434" s="57">
        <v>2.6</v>
      </c>
      <c r="BV434" s="55">
        <v>6.73</v>
      </c>
      <c r="BW434" s="26"/>
      <c r="BX434" s="24">
        <v>3000.0</v>
      </c>
      <c r="BY434" s="24" t="s">
        <v>123</v>
      </c>
      <c r="BZ434" s="28">
        <v>3000.0</v>
      </c>
      <c r="CA434" s="72"/>
      <c r="CB434" s="30">
        <v>3000.0</v>
      </c>
      <c r="CC434" s="31"/>
      <c r="CD434" s="28">
        <v>3000.0</v>
      </c>
      <c r="CE434" s="32" t="e">
        <v>#REF!</v>
      </c>
      <c r="CF434" s="33"/>
      <c r="CG434" s="34">
        <v>0.0</v>
      </c>
      <c r="CH434" s="35">
        <v>0.0</v>
      </c>
      <c r="CI434" s="36">
        <v>32.0</v>
      </c>
      <c r="CJ434" s="36">
        <v>1999.0</v>
      </c>
      <c r="CK434" s="37">
        <v>0.0</v>
      </c>
      <c r="CL434" s="36">
        <v>1999.0</v>
      </c>
      <c r="CM434" s="38">
        <v>566.0</v>
      </c>
      <c r="CN434" s="36">
        <v>0.0</v>
      </c>
      <c r="CO434" s="39">
        <v>17.7</v>
      </c>
      <c r="CP434" s="40">
        <v>0.0</v>
      </c>
      <c r="CQ434" s="36">
        <v>78.0</v>
      </c>
      <c r="CR434" s="36">
        <v>78.0</v>
      </c>
      <c r="CS434" s="36">
        <v>88.0</v>
      </c>
      <c r="CT434" s="41"/>
      <c r="CU434" s="42"/>
      <c r="CV434" s="43"/>
      <c r="CW434" s="44">
        <v>10.0</v>
      </c>
      <c r="CX434" s="44" t="s">
        <v>138</v>
      </c>
      <c r="CY434" s="44" t="s">
        <v>139</v>
      </c>
      <c r="CZ434" s="45"/>
      <c r="DA434" s="44">
        <v>3000.0</v>
      </c>
      <c r="DB434" s="44">
        <v>0.0</v>
      </c>
      <c r="DC434" s="46" t="s">
        <v>127</v>
      </c>
      <c r="DD434" s="47">
        <v>46197.0</v>
      </c>
      <c r="DE434" s="43"/>
      <c r="DF434" s="43"/>
      <c r="DG434" s="48" t="s">
        <v>128</v>
      </c>
      <c r="DH434" s="48" t="s">
        <v>128</v>
      </c>
      <c r="DI434" s="48" t="s">
        <v>128</v>
      </c>
      <c r="DJ434" s="49">
        <v>1.0</v>
      </c>
      <c r="DK434" s="48" t="b">
        <v>1</v>
      </c>
      <c r="DL434" s="50" t="s">
        <v>1087</v>
      </c>
      <c r="DM434" s="50" t="s">
        <v>131</v>
      </c>
      <c r="DN434" s="50" t="s">
        <v>1088</v>
      </c>
      <c r="DO434" s="49">
        <v>0.68</v>
      </c>
      <c r="DP434" s="48" t="s">
        <v>128</v>
      </c>
      <c r="DQ434" s="48" t="s">
        <v>128</v>
      </c>
      <c r="DR434" s="51"/>
      <c r="DS434" s="48" t="s">
        <v>134</v>
      </c>
    </row>
    <row r="435">
      <c r="A435" s="52" t="s">
        <v>118</v>
      </c>
      <c r="B435" s="53">
        <v>13.0</v>
      </c>
      <c r="C435" s="52" t="s">
        <v>1032</v>
      </c>
      <c r="D435" s="53">
        <v>643373.0</v>
      </c>
      <c r="E435" s="52" t="s">
        <v>120</v>
      </c>
      <c r="F435" s="52" t="s">
        <v>1099</v>
      </c>
      <c r="G435" s="52" t="s">
        <v>1100</v>
      </c>
      <c r="H435" s="53">
        <v>48388.0</v>
      </c>
      <c r="I435" s="53">
        <v>8.0</v>
      </c>
      <c r="J435" s="53">
        <v>0.0</v>
      </c>
      <c r="K435" s="53">
        <v>0.0</v>
      </c>
      <c r="L435" s="53">
        <v>0.0</v>
      </c>
      <c r="M435" s="53">
        <v>0.0</v>
      </c>
      <c r="N435" s="53">
        <v>0.0</v>
      </c>
      <c r="O435" s="53">
        <v>1.0</v>
      </c>
      <c r="P435" s="53">
        <v>0.0</v>
      </c>
      <c r="Q435" s="53">
        <v>0.0</v>
      </c>
      <c r="R435" s="53">
        <v>0.0</v>
      </c>
      <c r="S435" s="53">
        <v>1.0</v>
      </c>
      <c r="T435" s="53">
        <v>0.0</v>
      </c>
      <c r="U435" s="53">
        <v>1.0</v>
      </c>
      <c r="V435" s="53">
        <v>0.0</v>
      </c>
      <c r="W435" s="53">
        <v>0.0</v>
      </c>
      <c r="X435" s="53">
        <v>0.0</v>
      </c>
      <c r="Y435" s="53">
        <v>0.0</v>
      </c>
      <c r="Z435" s="53">
        <v>0.0</v>
      </c>
      <c r="AA435" s="53">
        <v>0.0</v>
      </c>
      <c r="AB435" s="53">
        <v>0.0</v>
      </c>
      <c r="AC435" s="53">
        <v>0.0</v>
      </c>
      <c r="AD435" s="53">
        <v>2.0</v>
      </c>
      <c r="AE435" s="53">
        <v>0.0</v>
      </c>
      <c r="AF435" s="53">
        <v>0.0</v>
      </c>
      <c r="AG435" s="53">
        <v>0.0</v>
      </c>
      <c r="AH435" s="53">
        <v>0.0</v>
      </c>
      <c r="AI435" s="53">
        <v>1.0</v>
      </c>
      <c r="AJ435" s="53">
        <v>0.0</v>
      </c>
      <c r="AK435" s="53">
        <v>1.0</v>
      </c>
      <c r="AL435" s="53">
        <v>0.0</v>
      </c>
      <c r="AM435" s="53">
        <v>0.0</v>
      </c>
      <c r="AN435" s="53">
        <v>1.0</v>
      </c>
      <c r="AO435" s="25">
        <v>27.1</v>
      </c>
      <c r="AP435" s="54"/>
      <c r="AQ435" s="54"/>
      <c r="AR435" s="54"/>
      <c r="AS435" s="54"/>
      <c r="AT435" s="54"/>
      <c r="AU435" s="53">
        <v>25.02</v>
      </c>
      <c r="AV435" s="54"/>
      <c r="AW435" s="54"/>
      <c r="AX435" s="54"/>
      <c r="AY435" s="53">
        <v>18.43</v>
      </c>
      <c r="AZ435" s="54"/>
      <c r="BA435" s="53">
        <v>11.52</v>
      </c>
      <c r="BB435" s="54"/>
      <c r="BC435" s="54"/>
      <c r="BD435" s="54"/>
      <c r="BE435" s="54"/>
      <c r="BF435" s="54"/>
      <c r="BG435" s="54"/>
      <c r="BH435" s="54"/>
      <c r="BI435" s="54"/>
      <c r="BJ435" s="53">
        <v>14.81</v>
      </c>
      <c r="BK435" s="54"/>
      <c r="BL435" s="54"/>
      <c r="BM435" s="54"/>
      <c r="BN435" s="54"/>
      <c r="BO435" s="53">
        <v>0.74</v>
      </c>
      <c r="BP435" s="53">
        <v>5.46</v>
      </c>
      <c r="BQ435" s="53">
        <v>9.58</v>
      </c>
      <c r="BR435" s="53">
        <v>14.85</v>
      </c>
      <c r="BS435" s="57">
        <v>2.69</v>
      </c>
      <c r="BT435" s="56">
        <v>27.9</v>
      </c>
      <c r="BU435" s="57">
        <v>1.7</v>
      </c>
      <c r="BV435" s="25">
        <v>9.52</v>
      </c>
      <c r="BW435" s="54"/>
      <c r="BX435" s="53">
        <v>3000.0</v>
      </c>
      <c r="BY435" s="52" t="s">
        <v>123</v>
      </c>
      <c r="BZ435" s="58">
        <v>2700.0</v>
      </c>
      <c r="CA435" s="29" t="s">
        <v>124</v>
      </c>
      <c r="CB435" s="30">
        <v>3000.0</v>
      </c>
      <c r="CC435" s="31"/>
      <c r="CD435" s="58">
        <v>3000.0</v>
      </c>
      <c r="CE435" s="59" t="e">
        <v>#REF!</v>
      </c>
      <c r="CF435" s="60"/>
      <c r="CG435" s="61">
        <v>0.0</v>
      </c>
      <c r="CH435" s="62">
        <v>0.0</v>
      </c>
      <c r="CI435" s="63">
        <v>8.0</v>
      </c>
      <c r="CJ435" s="63">
        <v>1999.0</v>
      </c>
      <c r="CK435" s="64">
        <v>0.0</v>
      </c>
      <c r="CL435" s="63">
        <v>1999.0</v>
      </c>
      <c r="CM435" s="65">
        <v>217.0</v>
      </c>
      <c r="CN435" s="63">
        <v>0.0</v>
      </c>
      <c r="CO435" s="66">
        <v>27.1</v>
      </c>
      <c r="CP435" s="67">
        <v>0.0</v>
      </c>
      <c r="CQ435" s="63">
        <v>44.0</v>
      </c>
      <c r="CR435" s="63">
        <v>44.0</v>
      </c>
      <c r="CS435" s="63">
        <v>22.0</v>
      </c>
      <c r="CT435" s="68"/>
      <c r="CU435" s="69"/>
      <c r="CV435" s="70"/>
      <c r="CW435" s="71">
        <v>10.0</v>
      </c>
      <c r="CX435" s="71" t="s">
        <v>138</v>
      </c>
      <c r="CY435" s="71" t="s">
        <v>139</v>
      </c>
      <c r="CZ435" s="45"/>
      <c r="DA435" s="44">
        <v>3000.0</v>
      </c>
      <c r="DB435" s="44">
        <v>0.0</v>
      </c>
      <c r="DC435" s="46" t="s">
        <v>127</v>
      </c>
      <c r="DD435" s="47">
        <v>46213.0</v>
      </c>
      <c r="DE435" s="43"/>
      <c r="DF435" s="43"/>
      <c r="DG435" s="48" t="s">
        <v>128</v>
      </c>
      <c r="DH435" s="48" t="s">
        <v>128</v>
      </c>
      <c r="DI435" s="48" t="s">
        <v>128</v>
      </c>
      <c r="DJ435" s="49">
        <v>1.0</v>
      </c>
      <c r="DK435" s="48" t="b">
        <v>0</v>
      </c>
      <c r="DL435" s="50" t="s">
        <v>1087</v>
      </c>
      <c r="DM435" s="50" t="s">
        <v>131</v>
      </c>
      <c r="DN435" s="50" t="s">
        <v>1088</v>
      </c>
      <c r="DO435" s="49">
        <v>0.68</v>
      </c>
      <c r="DP435" s="48" t="s">
        <v>128</v>
      </c>
      <c r="DQ435" s="48" t="s">
        <v>128</v>
      </c>
      <c r="DR435" s="51"/>
      <c r="DS435" s="48" t="s">
        <v>134</v>
      </c>
    </row>
    <row r="436">
      <c r="A436" s="23" t="s">
        <v>118</v>
      </c>
      <c r="B436" s="24">
        <v>13.0</v>
      </c>
      <c r="C436" s="23" t="s">
        <v>1032</v>
      </c>
      <c r="D436" s="24">
        <v>576393.0</v>
      </c>
      <c r="E436" s="23" t="s">
        <v>164</v>
      </c>
      <c r="F436" s="23" t="s">
        <v>1101</v>
      </c>
      <c r="G436" s="23" t="s">
        <v>1102</v>
      </c>
      <c r="H436" s="24">
        <v>48388.0</v>
      </c>
      <c r="I436" s="24">
        <v>19.0</v>
      </c>
      <c r="J436" s="24">
        <v>0.0</v>
      </c>
      <c r="K436" s="24">
        <v>0.0</v>
      </c>
      <c r="L436" s="24">
        <v>0.0</v>
      </c>
      <c r="M436" s="24">
        <v>0.0</v>
      </c>
      <c r="N436" s="24">
        <v>0.0</v>
      </c>
      <c r="O436" s="24">
        <v>1.0</v>
      </c>
      <c r="P436" s="24">
        <v>0.0</v>
      </c>
      <c r="Q436" s="24">
        <v>1.0</v>
      </c>
      <c r="R436" s="24">
        <v>1.0</v>
      </c>
      <c r="S436" s="24">
        <v>0.0</v>
      </c>
      <c r="T436" s="24">
        <v>0.0</v>
      </c>
      <c r="U436" s="24">
        <v>1.0</v>
      </c>
      <c r="V436" s="24">
        <v>0.0</v>
      </c>
      <c r="W436" s="24">
        <v>1.0</v>
      </c>
      <c r="X436" s="24">
        <v>0.0</v>
      </c>
      <c r="Y436" s="24">
        <v>0.0</v>
      </c>
      <c r="Z436" s="24">
        <v>1.0</v>
      </c>
      <c r="AA436" s="24">
        <v>0.0</v>
      </c>
      <c r="AB436" s="24">
        <v>1.0</v>
      </c>
      <c r="AC436" s="24">
        <v>0.0</v>
      </c>
      <c r="AD436" s="24">
        <v>1.0</v>
      </c>
      <c r="AE436" s="24">
        <v>2.0</v>
      </c>
      <c r="AF436" s="24">
        <v>0.0</v>
      </c>
      <c r="AG436" s="24">
        <v>1.0</v>
      </c>
      <c r="AH436" s="24">
        <v>1.0</v>
      </c>
      <c r="AI436" s="24">
        <v>1.0</v>
      </c>
      <c r="AJ436" s="24">
        <v>1.0</v>
      </c>
      <c r="AK436" s="24">
        <v>2.0</v>
      </c>
      <c r="AL436" s="24">
        <v>1.0</v>
      </c>
      <c r="AM436" s="24">
        <v>0.0</v>
      </c>
      <c r="AN436" s="24">
        <v>2.0</v>
      </c>
      <c r="AO436" s="25">
        <v>19.1</v>
      </c>
      <c r="AP436" s="26"/>
      <c r="AQ436" s="26"/>
      <c r="AR436" s="26"/>
      <c r="AS436" s="26"/>
      <c r="AT436" s="26"/>
      <c r="AU436" s="24">
        <v>15.57</v>
      </c>
      <c r="AV436" s="26"/>
      <c r="AW436" s="24">
        <v>9.2</v>
      </c>
      <c r="AX436" s="24">
        <v>18.78</v>
      </c>
      <c r="AY436" s="26"/>
      <c r="AZ436" s="26"/>
      <c r="BA436" s="24">
        <v>18.2</v>
      </c>
      <c r="BB436" s="26"/>
      <c r="BC436" s="24">
        <v>15.57</v>
      </c>
      <c r="BD436" s="26"/>
      <c r="BE436" s="26"/>
      <c r="BF436" s="24">
        <v>15.43</v>
      </c>
      <c r="BG436" s="26"/>
      <c r="BH436" s="24">
        <v>12.95</v>
      </c>
      <c r="BI436" s="26"/>
      <c r="BJ436" s="24">
        <v>16.52</v>
      </c>
      <c r="BK436" s="24">
        <v>17.03</v>
      </c>
      <c r="BL436" s="26"/>
      <c r="BM436" s="24">
        <v>19.93</v>
      </c>
      <c r="BN436" s="24">
        <v>25.37</v>
      </c>
      <c r="BO436" s="24">
        <v>0.39</v>
      </c>
      <c r="BP436" s="24">
        <v>3.22</v>
      </c>
      <c r="BQ436" s="24">
        <v>5.37</v>
      </c>
      <c r="BR436" s="24">
        <v>8.38</v>
      </c>
      <c r="BS436" s="57">
        <v>2.58</v>
      </c>
      <c r="BT436" s="56">
        <v>18.5</v>
      </c>
      <c r="BU436" s="55">
        <v>3.6</v>
      </c>
      <c r="BV436" s="55">
        <v>6.28</v>
      </c>
      <c r="BW436" s="26"/>
      <c r="BX436" s="24">
        <v>3000.0</v>
      </c>
      <c r="BY436" s="24" t="s">
        <v>123</v>
      </c>
      <c r="BZ436" s="28">
        <v>3000.0</v>
      </c>
      <c r="CA436" s="72"/>
      <c r="CB436" s="30">
        <v>3000.0</v>
      </c>
      <c r="CC436" s="31"/>
      <c r="CD436" s="28">
        <v>3000.0</v>
      </c>
      <c r="CE436" s="32" t="e">
        <v>#REF!</v>
      </c>
      <c r="CF436" s="33"/>
      <c r="CG436" s="34">
        <v>0.0</v>
      </c>
      <c r="CH436" s="35">
        <v>0.0</v>
      </c>
      <c r="CI436" s="36">
        <v>19.0</v>
      </c>
      <c r="CJ436" s="36">
        <v>1999.0</v>
      </c>
      <c r="CK436" s="37">
        <v>0.0</v>
      </c>
      <c r="CL436" s="36">
        <v>1999.0</v>
      </c>
      <c r="CM436" s="38">
        <v>363.0</v>
      </c>
      <c r="CN436" s="36">
        <v>0.0</v>
      </c>
      <c r="CO436" s="39">
        <v>19.1</v>
      </c>
      <c r="CP436" s="40">
        <v>0.0</v>
      </c>
      <c r="CQ436" s="36">
        <v>61.0</v>
      </c>
      <c r="CR436" s="36">
        <v>61.0</v>
      </c>
      <c r="CS436" s="36">
        <v>49.0</v>
      </c>
      <c r="CT436" s="41"/>
      <c r="CU436" s="42"/>
      <c r="CV436" s="43"/>
      <c r="CW436" s="44">
        <v>10.0</v>
      </c>
      <c r="CX436" s="44" t="s">
        <v>138</v>
      </c>
      <c r="CY436" s="44" t="s">
        <v>139</v>
      </c>
      <c r="CZ436" s="45"/>
      <c r="DA436" s="44">
        <v>3000.0</v>
      </c>
      <c r="DB436" s="44">
        <v>0.0</v>
      </c>
      <c r="DC436" s="46" t="s">
        <v>127</v>
      </c>
      <c r="DD436" s="47">
        <v>46218.0</v>
      </c>
      <c r="DE436" s="43"/>
      <c r="DF436" s="43"/>
      <c r="DG436" s="48" t="s">
        <v>128</v>
      </c>
      <c r="DH436" s="48" t="s">
        <v>128</v>
      </c>
      <c r="DI436" s="48" t="s">
        <v>128</v>
      </c>
      <c r="DJ436" s="49">
        <v>1.0</v>
      </c>
      <c r="DK436" s="48" t="b">
        <v>0</v>
      </c>
      <c r="DL436" s="50" t="s">
        <v>1087</v>
      </c>
      <c r="DM436" s="50" t="s">
        <v>131</v>
      </c>
      <c r="DN436" s="50" t="s">
        <v>1088</v>
      </c>
      <c r="DO436" s="49">
        <v>0.68</v>
      </c>
      <c r="DP436" s="48" t="s">
        <v>128</v>
      </c>
      <c r="DQ436" s="48" t="s">
        <v>128</v>
      </c>
      <c r="DR436" s="51"/>
      <c r="DS436" s="48" t="s">
        <v>134</v>
      </c>
    </row>
    <row r="437">
      <c r="A437" s="52" t="s">
        <v>118</v>
      </c>
      <c r="B437" s="53">
        <v>13.0</v>
      </c>
      <c r="C437" s="52" t="s">
        <v>1032</v>
      </c>
      <c r="D437" s="53">
        <v>631195.0</v>
      </c>
      <c r="E437" s="52" t="s">
        <v>140</v>
      </c>
      <c r="F437" s="52" t="s">
        <v>1103</v>
      </c>
      <c r="G437" s="52" t="s">
        <v>1104</v>
      </c>
      <c r="H437" s="53">
        <v>48388.0</v>
      </c>
      <c r="I437" s="53">
        <v>7.0</v>
      </c>
      <c r="J437" s="53">
        <v>0.0</v>
      </c>
      <c r="K437" s="53">
        <v>0.0</v>
      </c>
      <c r="L437" s="53">
        <v>0.0</v>
      </c>
      <c r="M437" s="53">
        <v>0.0</v>
      </c>
      <c r="N437" s="53">
        <v>0.0</v>
      </c>
      <c r="O437" s="53">
        <v>0.0</v>
      </c>
      <c r="P437" s="53">
        <v>0.0</v>
      </c>
      <c r="Q437" s="53">
        <v>0.0</v>
      </c>
      <c r="R437" s="53">
        <v>1.0</v>
      </c>
      <c r="S437" s="53">
        <v>0.0</v>
      </c>
      <c r="T437" s="53">
        <v>1.0</v>
      </c>
      <c r="U437" s="53">
        <v>0.0</v>
      </c>
      <c r="V437" s="53">
        <v>0.0</v>
      </c>
      <c r="W437" s="53">
        <v>0.0</v>
      </c>
      <c r="X437" s="53">
        <v>1.0</v>
      </c>
      <c r="Y437" s="53">
        <v>0.0</v>
      </c>
      <c r="Z437" s="53">
        <v>0.0</v>
      </c>
      <c r="AA437" s="53">
        <v>0.0</v>
      </c>
      <c r="AB437" s="53">
        <v>0.0</v>
      </c>
      <c r="AC437" s="53">
        <v>0.0</v>
      </c>
      <c r="AD437" s="53">
        <v>0.0</v>
      </c>
      <c r="AE437" s="53">
        <v>1.0</v>
      </c>
      <c r="AF437" s="53">
        <v>0.0</v>
      </c>
      <c r="AG437" s="53">
        <v>0.0</v>
      </c>
      <c r="AH437" s="53">
        <v>0.0</v>
      </c>
      <c r="AI437" s="53">
        <v>1.0</v>
      </c>
      <c r="AJ437" s="53">
        <v>1.0</v>
      </c>
      <c r="AK437" s="53">
        <v>0.0</v>
      </c>
      <c r="AL437" s="53">
        <v>1.0</v>
      </c>
      <c r="AM437" s="53">
        <v>0.0</v>
      </c>
      <c r="AN437" s="53">
        <v>0.0</v>
      </c>
      <c r="AO437" s="25">
        <v>18.4</v>
      </c>
      <c r="AP437" s="54"/>
      <c r="AQ437" s="54"/>
      <c r="AR437" s="54"/>
      <c r="AS437" s="54"/>
      <c r="AT437" s="54"/>
      <c r="AU437" s="54"/>
      <c r="AV437" s="54"/>
      <c r="AW437" s="54"/>
      <c r="AX437" s="53">
        <v>14.68</v>
      </c>
      <c r="AY437" s="54"/>
      <c r="AZ437" s="53">
        <v>16.12</v>
      </c>
      <c r="BA437" s="54"/>
      <c r="BB437" s="54"/>
      <c r="BC437" s="54"/>
      <c r="BD437" s="53">
        <v>13.57</v>
      </c>
      <c r="BE437" s="54"/>
      <c r="BF437" s="54"/>
      <c r="BG437" s="54"/>
      <c r="BH437" s="54"/>
      <c r="BI437" s="54"/>
      <c r="BJ437" s="54"/>
      <c r="BK437" s="53">
        <v>21.63</v>
      </c>
      <c r="BL437" s="54"/>
      <c r="BM437" s="54"/>
      <c r="BN437" s="54"/>
      <c r="BO437" s="53">
        <v>0.35</v>
      </c>
      <c r="BP437" s="53">
        <v>1.69</v>
      </c>
      <c r="BQ437" s="53">
        <v>7.4</v>
      </c>
      <c r="BR437" s="53">
        <v>8.86</v>
      </c>
      <c r="BS437" s="57">
        <v>2.58</v>
      </c>
      <c r="BT437" s="56">
        <v>23.6</v>
      </c>
      <c r="BU437" s="57">
        <v>0.9</v>
      </c>
      <c r="BV437" s="25">
        <v>10.98</v>
      </c>
      <c r="BW437" s="54"/>
      <c r="BX437" s="53">
        <v>3000.0</v>
      </c>
      <c r="BY437" s="53" t="s">
        <v>123</v>
      </c>
      <c r="BZ437" s="58">
        <v>2700.0</v>
      </c>
      <c r="CA437" s="29" t="s">
        <v>124</v>
      </c>
      <c r="CB437" s="30">
        <v>3000.0</v>
      </c>
      <c r="CC437" s="31"/>
      <c r="CD437" s="58">
        <v>3000.0</v>
      </c>
      <c r="CE437" s="59" t="e">
        <v>#REF!</v>
      </c>
      <c r="CF437" s="60"/>
      <c r="CG437" s="61">
        <v>0.0</v>
      </c>
      <c r="CH437" s="62">
        <v>0.0</v>
      </c>
      <c r="CI437" s="63">
        <v>7.0</v>
      </c>
      <c r="CJ437" s="63">
        <v>1999.0</v>
      </c>
      <c r="CK437" s="64">
        <v>0.0</v>
      </c>
      <c r="CL437" s="63">
        <v>1999.0</v>
      </c>
      <c r="CM437" s="65">
        <v>129.0</v>
      </c>
      <c r="CN437" s="63">
        <v>0.0</v>
      </c>
      <c r="CO437" s="66">
        <v>18.4</v>
      </c>
      <c r="CP437" s="67">
        <v>0.0</v>
      </c>
      <c r="CQ437" s="63">
        <v>12.0</v>
      </c>
      <c r="CR437" s="63">
        <v>12.0</v>
      </c>
      <c r="CS437" s="63">
        <v>18.0</v>
      </c>
      <c r="CT437" s="68"/>
      <c r="CU437" s="69"/>
      <c r="CV437" s="70"/>
      <c r="CW437" s="71">
        <v>10.0</v>
      </c>
      <c r="CX437" s="71" t="s">
        <v>138</v>
      </c>
      <c r="CY437" s="71" t="s">
        <v>139</v>
      </c>
      <c r="CZ437" s="45"/>
      <c r="DA437" s="44">
        <v>3000.0</v>
      </c>
      <c r="DB437" s="44">
        <v>0.0</v>
      </c>
      <c r="DC437" s="43"/>
      <c r="DD437" s="78"/>
      <c r="DE437" s="43"/>
      <c r="DF437" s="43"/>
      <c r="DG437" s="48" t="s">
        <v>128</v>
      </c>
      <c r="DH437" s="48" t="s">
        <v>128</v>
      </c>
      <c r="DI437" s="48" t="s">
        <v>128</v>
      </c>
      <c r="DJ437" s="49">
        <v>0.0</v>
      </c>
      <c r="DK437" s="48" t="b">
        <v>0</v>
      </c>
      <c r="DL437" s="50" t="s">
        <v>1087</v>
      </c>
      <c r="DM437" s="50" t="s">
        <v>131</v>
      </c>
      <c r="DN437" s="50" t="s">
        <v>1088</v>
      </c>
      <c r="DO437" s="49">
        <v>0.68</v>
      </c>
      <c r="DP437" s="48" t="s">
        <v>128</v>
      </c>
      <c r="DQ437" s="48" t="s">
        <v>128</v>
      </c>
      <c r="DR437" s="51"/>
      <c r="DS437" s="48" t="s">
        <v>134</v>
      </c>
    </row>
    <row r="438">
      <c r="A438" s="23" t="s">
        <v>118</v>
      </c>
      <c r="B438" s="24">
        <v>13.0</v>
      </c>
      <c r="C438" s="23" t="s">
        <v>1032</v>
      </c>
      <c r="D438" s="24">
        <v>639495.0</v>
      </c>
      <c r="E438" s="23" t="s">
        <v>155</v>
      </c>
      <c r="F438" s="23" t="s">
        <v>1105</v>
      </c>
      <c r="G438" s="23" t="s">
        <v>1106</v>
      </c>
      <c r="H438" s="24">
        <v>48388.0</v>
      </c>
      <c r="I438" s="24">
        <v>54.0</v>
      </c>
      <c r="J438" s="24">
        <v>0.0</v>
      </c>
      <c r="K438" s="24">
        <v>0.0</v>
      </c>
      <c r="L438" s="24">
        <v>0.0</v>
      </c>
      <c r="M438" s="24">
        <v>1.0</v>
      </c>
      <c r="N438" s="24">
        <v>0.0</v>
      </c>
      <c r="O438" s="24">
        <v>0.0</v>
      </c>
      <c r="P438" s="24">
        <v>0.0</v>
      </c>
      <c r="Q438" s="24">
        <v>1.0</v>
      </c>
      <c r="R438" s="24">
        <v>1.0</v>
      </c>
      <c r="S438" s="24">
        <v>0.0</v>
      </c>
      <c r="T438" s="24">
        <v>0.0</v>
      </c>
      <c r="U438" s="24">
        <v>1.0</v>
      </c>
      <c r="V438" s="24">
        <v>4.0</v>
      </c>
      <c r="W438" s="24">
        <v>0.0</v>
      </c>
      <c r="X438" s="24">
        <v>2.0</v>
      </c>
      <c r="Y438" s="24">
        <v>7.0</v>
      </c>
      <c r="Z438" s="24">
        <v>2.0</v>
      </c>
      <c r="AA438" s="24">
        <v>2.0</v>
      </c>
      <c r="AB438" s="24">
        <v>0.0</v>
      </c>
      <c r="AC438" s="24">
        <v>0.0</v>
      </c>
      <c r="AD438" s="24">
        <v>6.0</v>
      </c>
      <c r="AE438" s="24">
        <v>8.0</v>
      </c>
      <c r="AF438" s="24">
        <v>1.0</v>
      </c>
      <c r="AG438" s="24">
        <v>3.0</v>
      </c>
      <c r="AH438" s="24">
        <v>2.0</v>
      </c>
      <c r="AI438" s="24">
        <v>3.0</v>
      </c>
      <c r="AJ438" s="24">
        <v>2.0</v>
      </c>
      <c r="AK438" s="24">
        <v>1.0</v>
      </c>
      <c r="AL438" s="24">
        <v>4.0</v>
      </c>
      <c r="AM438" s="24">
        <v>1.0</v>
      </c>
      <c r="AN438" s="24">
        <v>2.0</v>
      </c>
      <c r="AO438" s="25">
        <v>20.0</v>
      </c>
      <c r="AP438" s="26"/>
      <c r="AQ438" s="26"/>
      <c r="AR438" s="26"/>
      <c r="AS438" s="24">
        <v>8.7</v>
      </c>
      <c r="AT438" s="26"/>
      <c r="AU438" s="26"/>
      <c r="AV438" s="26"/>
      <c r="AW438" s="24">
        <v>24.08</v>
      </c>
      <c r="AX438" s="24">
        <v>14.03</v>
      </c>
      <c r="AY438" s="26"/>
      <c r="AZ438" s="26"/>
      <c r="BA438" s="24">
        <v>20.02</v>
      </c>
      <c r="BB438" s="24">
        <v>19.75</v>
      </c>
      <c r="BC438" s="26"/>
      <c r="BD438" s="24">
        <v>31.56</v>
      </c>
      <c r="BE438" s="24">
        <v>15.14</v>
      </c>
      <c r="BF438" s="24">
        <v>25.53</v>
      </c>
      <c r="BG438" s="24">
        <v>15.43</v>
      </c>
      <c r="BH438" s="26"/>
      <c r="BI438" s="26"/>
      <c r="BJ438" s="24">
        <v>14.71</v>
      </c>
      <c r="BK438" s="24">
        <v>21.85</v>
      </c>
      <c r="BL438" s="24">
        <v>13.78</v>
      </c>
      <c r="BM438" s="24">
        <v>17.16</v>
      </c>
      <c r="BN438" s="24">
        <v>14.9</v>
      </c>
      <c r="BO438" s="24">
        <v>0.41</v>
      </c>
      <c r="BP438" s="24">
        <v>3.17</v>
      </c>
      <c r="BQ438" s="24">
        <v>6.24</v>
      </c>
      <c r="BR438" s="24">
        <v>9.2</v>
      </c>
      <c r="BS438" s="57">
        <v>2.47</v>
      </c>
      <c r="BT438" s="56">
        <v>21.8</v>
      </c>
      <c r="BU438" s="57">
        <v>2.6</v>
      </c>
      <c r="BV438" s="25">
        <v>8.06</v>
      </c>
      <c r="BW438" s="26"/>
      <c r="BX438" s="24">
        <v>3000.0</v>
      </c>
      <c r="BY438" s="24" t="s">
        <v>123</v>
      </c>
      <c r="BZ438" s="28">
        <v>2700.0</v>
      </c>
      <c r="CA438" s="29" t="s">
        <v>124</v>
      </c>
      <c r="CB438" s="30">
        <v>3000.0</v>
      </c>
      <c r="CC438" s="31"/>
      <c r="CD438" s="28">
        <v>3000.0</v>
      </c>
      <c r="CE438" s="32" t="e">
        <v>#REF!</v>
      </c>
      <c r="CF438" s="33"/>
      <c r="CG438" s="34">
        <v>0.0</v>
      </c>
      <c r="CH438" s="35">
        <v>0.0</v>
      </c>
      <c r="CI438" s="36">
        <v>54.0</v>
      </c>
      <c r="CJ438" s="36">
        <v>1999.0</v>
      </c>
      <c r="CK438" s="37">
        <v>0.0</v>
      </c>
      <c r="CL438" s="36">
        <v>1999.0</v>
      </c>
      <c r="CM438" s="38">
        <v>1080.0</v>
      </c>
      <c r="CN438" s="36">
        <v>0.0</v>
      </c>
      <c r="CO438" s="39">
        <v>20.0</v>
      </c>
      <c r="CP438" s="40">
        <v>0.0</v>
      </c>
      <c r="CQ438" s="36">
        <v>171.0</v>
      </c>
      <c r="CR438" s="36">
        <v>171.0</v>
      </c>
      <c r="CS438" s="36">
        <v>133.0</v>
      </c>
      <c r="CT438" s="41"/>
      <c r="CU438" s="42"/>
      <c r="CV438" s="43"/>
      <c r="CW438" s="44">
        <v>10.0</v>
      </c>
      <c r="CX438" s="44" t="s">
        <v>138</v>
      </c>
      <c r="CY438" s="44" t="s">
        <v>139</v>
      </c>
      <c r="CZ438" s="45"/>
      <c r="DA438" s="44">
        <v>3000.0</v>
      </c>
      <c r="DB438" s="44">
        <v>0.0</v>
      </c>
      <c r="DC438" s="46" t="s">
        <v>127</v>
      </c>
      <c r="DD438" s="47">
        <v>46240.0</v>
      </c>
      <c r="DE438" s="43"/>
      <c r="DF438" s="43"/>
      <c r="DG438" s="48" t="s">
        <v>128</v>
      </c>
      <c r="DH438" s="48" t="s">
        <v>128</v>
      </c>
      <c r="DI438" s="48" t="s">
        <v>128</v>
      </c>
      <c r="DJ438" s="49">
        <v>1.0</v>
      </c>
      <c r="DK438" s="48" t="b">
        <v>0</v>
      </c>
      <c r="DL438" s="50" t="s">
        <v>1087</v>
      </c>
      <c r="DM438" s="50" t="s">
        <v>131</v>
      </c>
      <c r="DN438" s="50" t="s">
        <v>1088</v>
      </c>
      <c r="DO438" s="49">
        <v>0.68</v>
      </c>
      <c r="DP438" s="48" t="s">
        <v>128</v>
      </c>
      <c r="DQ438" s="48" t="s">
        <v>128</v>
      </c>
      <c r="DR438" s="51"/>
      <c r="DS438" s="48" t="s">
        <v>134</v>
      </c>
    </row>
    <row r="439">
      <c r="A439" s="52" t="s">
        <v>118</v>
      </c>
      <c r="B439" s="53">
        <v>13.0</v>
      </c>
      <c r="C439" s="52" t="s">
        <v>1032</v>
      </c>
      <c r="D439" s="53">
        <v>641645.0</v>
      </c>
      <c r="E439" s="52" t="s">
        <v>145</v>
      </c>
      <c r="F439" s="52" t="s">
        <v>1107</v>
      </c>
      <c r="G439" s="52" t="s">
        <v>1108</v>
      </c>
      <c r="H439" s="53">
        <v>48388.0</v>
      </c>
      <c r="I439" s="53">
        <v>15.0</v>
      </c>
      <c r="J439" s="53">
        <v>0.0</v>
      </c>
      <c r="K439" s="53">
        <v>0.0</v>
      </c>
      <c r="L439" s="53">
        <v>0.0</v>
      </c>
      <c r="M439" s="53">
        <v>0.0</v>
      </c>
      <c r="N439" s="53">
        <v>1.0</v>
      </c>
      <c r="O439" s="53">
        <v>0.0</v>
      </c>
      <c r="P439" s="53">
        <v>0.0</v>
      </c>
      <c r="Q439" s="53">
        <v>0.0</v>
      </c>
      <c r="R439" s="53">
        <v>0.0</v>
      </c>
      <c r="S439" s="53">
        <v>0.0</v>
      </c>
      <c r="T439" s="53">
        <v>3.0</v>
      </c>
      <c r="U439" s="53">
        <v>0.0</v>
      </c>
      <c r="V439" s="53">
        <v>0.0</v>
      </c>
      <c r="W439" s="53">
        <v>0.0</v>
      </c>
      <c r="X439" s="53">
        <v>0.0</v>
      </c>
      <c r="Y439" s="53">
        <v>2.0</v>
      </c>
      <c r="Z439" s="53">
        <v>2.0</v>
      </c>
      <c r="AA439" s="53">
        <v>0.0</v>
      </c>
      <c r="AB439" s="53">
        <v>1.0</v>
      </c>
      <c r="AC439" s="53">
        <v>1.0</v>
      </c>
      <c r="AD439" s="53">
        <v>0.0</v>
      </c>
      <c r="AE439" s="53">
        <v>1.0</v>
      </c>
      <c r="AF439" s="53">
        <v>2.0</v>
      </c>
      <c r="AG439" s="53">
        <v>0.0</v>
      </c>
      <c r="AH439" s="53">
        <v>2.0</v>
      </c>
      <c r="AI439" s="53">
        <v>0.0</v>
      </c>
      <c r="AJ439" s="53">
        <v>0.0</v>
      </c>
      <c r="AK439" s="53">
        <v>0.0</v>
      </c>
      <c r="AL439" s="53">
        <v>0.0</v>
      </c>
      <c r="AM439" s="53">
        <v>0.0</v>
      </c>
      <c r="AN439" s="53">
        <v>0.0</v>
      </c>
      <c r="AO439" s="25">
        <v>19.6</v>
      </c>
      <c r="AP439" s="54"/>
      <c r="AQ439" s="54"/>
      <c r="AR439" s="54"/>
      <c r="AS439" s="54"/>
      <c r="AT439" s="53">
        <v>0.0</v>
      </c>
      <c r="AU439" s="54"/>
      <c r="AV439" s="54"/>
      <c r="AW439" s="54"/>
      <c r="AX439" s="54"/>
      <c r="AY439" s="54"/>
      <c r="AZ439" s="53">
        <v>25.79</v>
      </c>
      <c r="BA439" s="54"/>
      <c r="BB439" s="54"/>
      <c r="BC439" s="54"/>
      <c r="BD439" s="54"/>
      <c r="BE439" s="53">
        <v>16.63</v>
      </c>
      <c r="BF439" s="53">
        <v>16.48</v>
      </c>
      <c r="BG439" s="54"/>
      <c r="BH439" s="53">
        <v>11.85</v>
      </c>
      <c r="BI439" s="53">
        <v>15.17</v>
      </c>
      <c r="BJ439" s="54"/>
      <c r="BK439" s="53">
        <v>14.87</v>
      </c>
      <c r="BL439" s="53">
        <v>19.3</v>
      </c>
      <c r="BM439" s="54"/>
      <c r="BN439" s="53">
        <v>18.77</v>
      </c>
      <c r="BO439" s="54"/>
      <c r="BP439" s="53">
        <v>2.64</v>
      </c>
      <c r="BQ439" s="53">
        <v>8.2</v>
      </c>
      <c r="BR439" s="53">
        <v>10.65</v>
      </c>
      <c r="BS439" s="57">
        <v>2.24</v>
      </c>
      <c r="BT439" s="56">
        <v>18.2</v>
      </c>
      <c r="BU439" s="57">
        <v>2.7</v>
      </c>
      <c r="BV439" s="55">
        <v>6.71</v>
      </c>
      <c r="BW439" s="54"/>
      <c r="BX439" s="53">
        <v>3000.0</v>
      </c>
      <c r="BY439" s="53" t="s">
        <v>123</v>
      </c>
      <c r="BZ439" s="58">
        <v>3000.0</v>
      </c>
      <c r="CA439" s="72"/>
      <c r="CB439" s="30">
        <v>3000.0</v>
      </c>
      <c r="CC439" s="31"/>
      <c r="CD439" s="58">
        <v>3000.0</v>
      </c>
      <c r="CE439" s="59" t="e">
        <v>#REF!</v>
      </c>
      <c r="CF439" s="60"/>
      <c r="CG439" s="61">
        <v>0.0</v>
      </c>
      <c r="CH439" s="62">
        <v>0.0</v>
      </c>
      <c r="CI439" s="63">
        <v>15.0</v>
      </c>
      <c r="CJ439" s="63">
        <v>1999.0</v>
      </c>
      <c r="CK439" s="64">
        <v>0.0</v>
      </c>
      <c r="CL439" s="63">
        <v>1999.0</v>
      </c>
      <c r="CM439" s="65">
        <v>294.0</v>
      </c>
      <c r="CN439" s="63">
        <v>0.0</v>
      </c>
      <c r="CO439" s="66">
        <v>19.6</v>
      </c>
      <c r="CP439" s="67">
        <v>0.0</v>
      </c>
      <c r="CQ439" s="63">
        <v>40.0</v>
      </c>
      <c r="CR439" s="63">
        <v>40.0</v>
      </c>
      <c r="CS439" s="63">
        <v>34.0</v>
      </c>
      <c r="CT439" s="68"/>
      <c r="CU439" s="69"/>
      <c r="CV439" s="70"/>
      <c r="CW439" s="71">
        <v>10.0</v>
      </c>
      <c r="CX439" s="71" t="s">
        <v>138</v>
      </c>
      <c r="CY439" s="71" t="s">
        <v>139</v>
      </c>
      <c r="CZ439" s="45"/>
      <c r="DA439" s="44">
        <v>3000.0</v>
      </c>
      <c r="DB439" s="44">
        <v>0.0</v>
      </c>
      <c r="DC439" s="46" t="s">
        <v>127</v>
      </c>
      <c r="DD439" s="47">
        <v>46240.0</v>
      </c>
      <c r="DE439" s="43"/>
      <c r="DF439" s="43"/>
      <c r="DG439" s="48" t="s">
        <v>128</v>
      </c>
      <c r="DH439" s="48" t="s">
        <v>128</v>
      </c>
      <c r="DI439" s="48" t="s">
        <v>128</v>
      </c>
      <c r="DJ439" s="49">
        <v>0.0</v>
      </c>
      <c r="DK439" s="48" t="b">
        <v>0</v>
      </c>
      <c r="DL439" s="50" t="s">
        <v>1087</v>
      </c>
      <c r="DM439" s="50" t="s">
        <v>131</v>
      </c>
      <c r="DN439" s="50" t="s">
        <v>1088</v>
      </c>
      <c r="DO439" s="49">
        <v>0.68</v>
      </c>
      <c r="DP439" s="48" t="s">
        <v>128</v>
      </c>
      <c r="DQ439" s="48" t="s">
        <v>128</v>
      </c>
      <c r="DR439" s="51"/>
      <c r="DS439" s="48" t="s">
        <v>134</v>
      </c>
    </row>
    <row r="440">
      <c r="A440" s="23" t="s">
        <v>118</v>
      </c>
      <c r="B440" s="24">
        <v>13.0</v>
      </c>
      <c r="C440" s="23" t="s">
        <v>1032</v>
      </c>
      <c r="D440" s="24">
        <v>610881.0</v>
      </c>
      <c r="E440" s="23" t="s">
        <v>167</v>
      </c>
      <c r="F440" s="23" t="s">
        <v>1109</v>
      </c>
      <c r="G440" s="23" t="s">
        <v>1110</v>
      </c>
      <c r="H440" s="24">
        <v>48388.0</v>
      </c>
      <c r="I440" s="24">
        <v>27.0</v>
      </c>
      <c r="J440" s="24">
        <v>5.0</v>
      </c>
      <c r="K440" s="24">
        <v>0.0</v>
      </c>
      <c r="L440" s="24">
        <v>0.0</v>
      </c>
      <c r="M440" s="24">
        <v>1.0</v>
      </c>
      <c r="N440" s="24">
        <v>0.0</v>
      </c>
      <c r="O440" s="24">
        <v>2.0</v>
      </c>
      <c r="P440" s="24">
        <v>0.0</v>
      </c>
      <c r="Q440" s="24">
        <v>0.0</v>
      </c>
      <c r="R440" s="24">
        <v>1.0</v>
      </c>
      <c r="S440" s="24">
        <v>0.0</v>
      </c>
      <c r="T440" s="24">
        <v>0.0</v>
      </c>
      <c r="U440" s="24">
        <v>0.0</v>
      </c>
      <c r="V440" s="24">
        <v>0.0</v>
      </c>
      <c r="W440" s="24">
        <v>0.0</v>
      </c>
      <c r="X440" s="24">
        <v>0.0</v>
      </c>
      <c r="Y440" s="24">
        <v>1.0</v>
      </c>
      <c r="Z440" s="24">
        <v>1.0</v>
      </c>
      <c r="AA440" s="24">
        <v>1.0</v>
      </c>
      <c r="AB440" s="24">
        <v>0.0</v>
      </c>
      <c r="AC440" s="24">
        <v>1.0</v>
      </c>
      <c r="AD440" s="24">
        <v>2.0</v>
      </c>
      <c r="AE440" s="24">
        <v>1.0</v>
      </c>
      <c r="AF440" s="24">
        <v>1.0</v>
      </c>
      <c r="AG440" s="24">
        <v>0.0</v>
      </c>
      <c r="AH440" s="24">
        <v>0.0</v>
      </c>
      <c r="AI440" s="24">
        <v>3.0</v>
      </c>
      <c r="AJ440" s="24">
        <v>2.0</v>
      </c>
      <c r="AK440" s="24">
        <v>2.0</v>
      </c>
      <c r="AL440" s="24">
        <v>0.0</v>
      </c>
      <c r="AM440" s="24">
        <v>2.0</v>
      </c>
      <c r="AN440" s="24">
        <v>1.0</v>
      </c>
      <c r="AO440" s="55">
        <v>16.3</v>
      </c>
      <c r="AP440" s="24">
        <v>8.55</v>
      </c>
      <c r="AQ440" s="26"/>
      <c r="AR440" s="26"/>
      <c r="AS440" s="24">
        <v>16.1</v>
      </c>
      <c r="AT440" s="26"/>
      <c r="AU440" s="24">
        <v>13.26</v>
      </c>
      <c r="AV440" s="26"/>
      <c r="AW440" s="26"/>
      <c r="AX440" s="24">
        <v>19.13</v>
      </c>
      <c r="AY440" s="26"/>
      <c r="AZ440" s="26"/>
      <c r="BA440" s="26"/>
      <c r="BB440" s="26"/>
      <c r="BC440" s="26"/>
      <c r="BD440" s="26"/>
      <c r="BE440" s="24">
        <v>12.58</v>
      </c>
      <c r="BF440" s="24">
        <v>15.9</v>
      </c>
      <c r="BG440" s="24">
        <v>14.13</v>
      </c>
      <c r="BH440" s="26"/>
      <c r="BI440" s="24">
        <v>11.47</v>
      </c>
      <c r="BJ440" s="24">
        <v>16.6</v>
      </c>
      <c r="BK440" s="24">
        <v>16.93</v>
      </c>
      <c r="BL440" s="24">
        <v>13.78</v>
      </c>
      <c r="BM440" s="26"/>
      <c r="BN440" s="26"/>
      <c r="BO440" s="24">
        <v>0.36</v>
      </c>
      <c r="BP440" s="24">
        <v>3.1</v>
      </c>
      <c r="BQ440" s="24">
        <v>5.05</v>
      </c>
      <c r="BR440" s="24">
        <v>7.96</v>
      </c>
      <c r="BS440" s="57">
        <v>1.66</v>
      </c>
      <c r="BT440" s="91">
        <v>15.6</v>
      </c>
      <c r="BU440" s="57">
        <v>1.3</v>
      </c>
      <c r="BV440" s="55">
        <v>6.52</v>
      </c>
      <c r="BW440" s="26"/>
      <c r="BX440" s="24">
        <v>3000.0</v>
      </c>
      <c r="BY440" s="24" t="s">
        <v>123</v>
      </c>
      <c r="BZ440" s="28">
        <v>3000.0</v>
      </c>
      <c r="CA440" s="72"/>
      <c r="CB440" s="30">
        <v>3000.0</v>
      </c>
      <c r="CC440" s="31"/>
      <c r="CD440" s="28">
        <v>3000.0</v>
      </c>
      <c r="CE440" s="32" t="e">
        <v>#REF!</v>
      </c>
      <c r="CF440" s="33"/>
      <c r="CG440" s="34">
        <v>0.0</v>
      </c>
      <c r="CH440" s="35">
        <v>0.0</v>
      </c>
      <c r="CI440" s="36">
        <v>27.0</v>
      </c>
      <c r="CJ440" s="36">
        <v>1999.0</v>
      </c>
      <c r="CK440" s="37">
        <v>0.0</v>
      </c>
      <c r="CL440" s="36">
        <v>1999.0</v>
      </c>
      <c r="CM440" s="38">
        <v>440.0</v>
      </c>
      <c r="CN440" s="36">
        <v>0.0</v>
      </c>
      <c r="CO440" s="39">
        <v>16.3</v>
      </c>
      <c r="CP440" s="40">
        <v>0.0</v>
      </c>
      <c r="CQ440" s="36">
        <v>84.0</v>
      </c>
      <c r="CR440" s="36">
        <v>84.0</v>
      </c>
      <c r="CS440" s="36">
        <v>45.0</v>
      </c>
      <c r="CT440" s="41"/>
      <c r="CU440" s="42"/>
      <c r="CV440" s="43"/>
      <c r="CW440" s="44">
        <v>10.0</v>
      </c>
      <c r="CX440" s="44" t="s">
        <v>138</v>
      </c>
      <c r="CY440" s="44" t="s">
        <v>139</v>
      </c>
      <c r="CZ440" s="45"/>
      <c r="DA440" s="44">
        <v>3000.0</v>
      </c>
      <c r="DB440" s="44">
        <v>0.0</v>
      </c>
      <c r="DC440" s="46" t="s">
        <v>127</v>
      </c>
      <c r="DD440" s="47">
        <v>46228.0</v>
      </c>
      <c r="DE440" s="43"/>
      <c r="DF440" s="43"/>
      <c r="DG440" s="48" t="s">
        <v>128</v>
      </c>
      <c r="DH440" s="48" t="s">
        <v>128</v>
      </c>
      <c r="DI440" s="48" t="s">
        <v>128</v>
      </c>
      <c r="DJ440" s="49">
        <v>0.0</v>
      </c>
      <c r="DK440" s="48" t="b">
        <v>0</v>
      </c>
      <c r="DL440" s="50" t="s">
        <v>1087</v>
      </c>
      <c r="DM440" s="50" t="s">
        <v>131</v>
      </c>
      <c r="DN440" s="50" t="s">
        <v>1088</v>
      </c>
      <c r="DO440" s="49">
        <v>0.68</v>
      </c>
      <c r="DP440" s="48" t="s">
        <v>128</v>
      </c>
      <c r="DQ440" s="48" t="s">
        <v>128</v>
      </c>
      <c r="DR440" s="51"/>
      <c r="DS440" s="48" t="s">
        <v>134</v>
      </c>
    </row>
    <row r="441">
      <c r="A441" s="52" t="s">
        <v>118</v>
      </c>
      <c r="B441" s="53">
        <v>13.0</v>
      </c>
      <c r="C441" s="52" t="s">
        <v>1032</v>
      </c>
      <c r="D441" s="53">
        <v>648801.0</v>
      </c>
      <c r="E441" s="52" t="s">
        <v>198</v>
      </c>
      <c r="F441" s="52" t="s">
        <v>1111</v>
      </c>
      <c r="G441" s="52" t="s">
        <v>1112</v>
      </c>
      <c r="H441" s="53">
        <v>48388.0</v>
      </c>
      <c r="I441" s="53">
        <v>15.0</v>
      </c>
      <c r="J441" s="53">
        <v>0.0</v>
      </c>
      <c r="K441" s="53">
        <v>0.0</v>
      </c>
      <c r="L441" s="53">
        <v>0.0</v>
      </c>
      <c r="M441" s="53">
        <v>2.0</v>
      </c>
      <c r="N441" s="53">
        <v>1.0</v>
      </c>
      <c r="O441" s="53">
        <v>0.0</v>
      </c>
      <c r="P441" s="53">
        <v>0.0</v>
      </c>
      <c r="Q441" s="53">
        <v>0.0</v>
      </c>
      <c r="R441" s="53">
        <v>0.0</v>
      </c>
      <c r="S441" s="53">
        <v>0.0</v>
      </c>
      <c r="T441" s="53">
        <v>0.0</v>
      </c>
      <c r="U441" s="53">
        <v>0.0</v>
      </c>
      <c r="V441" s="53">
        <v>0.0</v>
      </c>
      <c r="W441" s="53">
        <v>0.0</v>
      </c>
      <c r="X441" s="53">
        <v>0.0</v>
      </c>
      <c r="Y441" s="53">
        <v>1.0</v>
      </c>
      <c r="Z441" s="53">
        <v>2.0</v>
      </c>
      <c r="AA441" s="53">
        <v>0.0</v>
      </c>
      <c r="AB441" s="53">
        <v>0.0</v>
      </c>
      <c r="AC441" s="53">
        <v>1.0</v>
      </c>
      <c r="AD441" s="53">
        <v>2.0</v>
      </c>
      <c r="AE441" s="53">
        <v>0.0</v>
      </c>
      <c r="AF441" s="53">
        <v>2.0</v>
      </c>
      <c r="AG441" s="53">
        <v>0.0</v>
      </c>
      <c r="AH441" s="53">
        <v>1.0</v>
      </c>
      <c r="AI441" s="53">
        <v>2.0</v>
      </c>
      <c r="AJ441" s="53">
        <v>0.0</v>
      </c>
      <c r="AK441" s="53">
        <v>0.0</v>
      </c>
      <c r="AL441" s="53">
        <v>0.0</v>
      </c>
      <c r="AM441" s="53">
        <v>1.0</v>
      </c>
      <c r="AN441" s="53">
        <v>0.0</v>
      </c>
      <c r="AO441" s="55">
        <v>16.7</v>
      </c>
      <c r="AP441" s="54"/>
      <c r="AQ441" s="54"/>
      <c r="AR441" s="54"/>
      <c r="AS441" s="53">
        <v>12.0</v>
      </c>
      <c r="AT441" s="53">
        <v>9.3</v>
      </c>
      <c r="AU441" s="54"/>
      <c r="AV441" s="54"/>
      <c r="AW441" s="54"/>
      <c r="AX441" s="54"/>
      <c r="AY441" s="54"/>
      <c r="AZ441" s="54"/>
      <c r="BA441" s="54"/>
      <c r="BB441" s="54"/>
      <c r="BC441" s="54"/>
      <c r="BD441" s="54"/>
      <c r="BE441" s="53">
        <v>10.83</v>
      </c>
      <c r="BF441" s="53">
        <v>10.84</v>
      </c>
      <c r="BG441" s="54"/>
      <c r="BH441" s="54"/>
      <c r="BI441" s="53">
        <v>21.57</v>
      </c>
      <c r="BJ441" s="53">
        <v>17.77</v>
      </c>
      <c r="BK441" s="54"/>
      <c r="BL441" s="53">
        <v>16.42</v>
      </c>
      <c r="BM441" s="54"/>
      <c r="BN441" s="53">
        <v>18.78</v>
      </c>
      <c r="BO441" s="53">
        <v>0.37</v>
      </c>
      <c r="BP441" s="53">
        <v>1.89</v>
      </c>
      <c r="BQ441" s="53">
        <v>5.98</v>
      </c>
      <c r="BR441" s="53">
        <v>7.67</v>
      </c>
      <c r="BS441" s="57">
        <v>1.59</v>
      </c>
      <c r="BT441" s="56">
        <v>18.2</v>
      </c>
      <c r="BU441" s="57">
        <v>0.9</v>
      </c>
      <c r="BV441" s="55">
        <v>6.08</v>
      </c>
      <c r="BW441" s="54"/>
      <c r="BX441" s="53">
        <v>3000.0</v>
      </c>
      <c r="BY441" s="53" t="s">
        <v>123</v>
      </c>
      <c r="BZ441" s="58">
        <v>3000.0</v>
      </c>
      <c r="CA441" s="72"/>
      <c r="CB441" s="30">
        <v>3000.0</v>
      </c>
      <c r="CC441" s="31"/>
      <c r="CD441" s="58">
        <v>3000.0</v>
      </c>
      <c r="CE441" s="59" t="e">
        <v>#REF!</v>
      </c>
      <c r="CF441" s="60"/>
      <c r="CG441" s="61">
        <v>0.0</v>
      </c>
      <c r="CH441" s="62">
        <v>0.0</v>
      </c>
      <c r="CI441" s="63">
        <v>15.0</v>
      </c>
      <c r="CJ441" s="63">
        <v>1999.0</v>
      </c>
      <c r="CK441" s="64">
        <v>0.0</v>
      </c>
      <c r="CL441" s="63">
        <v>1999.0</v>
      </c>
      <c r="CM441" s="65">
        <v>251.0</v>
      </c>
      <c r="CN441" s="63">
        <v>0.0</v>
      </c>
      <c r="CO441" s="66">
        <v>16.7</v>
      </c>
      <c r="CP441" s="67">
        <v>0.0</v>
      </c>
      <c r="CQ441" s="63">
        <v>28.0</v>
      </c>
      <c r="CR441" s="63">
        <v>28.0</v>
      </c>
      <c r="CS441" s="63">
        <v>24.0</v>
      </c>
      <c r="CT441" s="68"/>
      <c r="CU441" s="69"/>
      <c r="CV441" s="70"/>
      <c r="CW441" s="71">
        <v>10.0</v>
      </c>
      <c r="CX441" s="71" t="s">
        <v>138</v>
      </c>
      <c r="CY441" s="71" t="s">
        <v>139</v>
      </c>
      <c r="CZ441" s="45"/>
      <c r="DA441" s="44">
        <v>3000.0</v>
      </c>
      <c r="DB441" s="44">
        <v>0.0</v>
      </c>
      <c r="DC441" s="46" t="s">
        <v>127</v>
      </c>
      <c r="DD441" s="47">
        <v>46240.0</v>
      </c>
      <c r="DE441" s="43"/>
      <c r="DF441" s="43"/>
      <c r="DG441" s="48" t="s">
        <v>128</v>
      </c>
      <c r="DH441" s="48" t="s">
        <v>128</v>
      </c>
      <c r="DI441" s="48" t="s">
        <v>128</v>
      </c>
      <c r="DJ441" s="49">
        <v>1.0</v>
      </c>
      <c r="DK441" s="48" t="b">
        <v>0</v>
      </c>
      <c r="DL441" s="50" t="s">
        <v>1087</v>
      </c>
      <c r="DM441" s="50" t="s">
        <v>131</v>
      </c>
      <c r="DN441" s="50" t="s">
        <v>1088</v>
      </c>
      <c r="DO441" s="49">
        <v>0.68</v>
      </c>
      <c r="DP441" s="48" t="s">
        <v>128</v>
      </c>
      <c r="DQ441" s="48" t="s">
        <v>128</v>
      </c>
      <c r="DR441" s="51"/>
      <c r="DS441" s="48" t="s">
        <v>134</v>
      </c>
    </row>
    <row r="442">
      <c r="A442" s="23" t="s">
        <v>118</v>
      </c>
      <c r="B442" s="24">
        <v>13.0</v>
      </c>
      <c r="C442" s="23" t="s">
        <v>1032</v>
      </c>
      <c r="D442" s="24">
        <v>648803.0</v>
      </c>
      <c r="E442" s="23" t="s">
        <v>189</v>
      </c>
      <c r="F442" s="23" t="s">
        <v>1113</v>
      </c>
      <c r="G442" s="23" t="s">
        <v>1114</v>
      </c>
      <c r="H442" s="24">
        <v>48388.0</v>
      </c>
      <c r="I442" s="24">
        <v>5.0</v>
      </c>
      <c r="J442" s="24">
        <v>0.0</v>
      </c>
      <c r="K442" s="24">
        <v>0.0</v>
      </c>
      <c r="L442" s="24">
        <v>0.0</v>
      </c>
      <c r="M442" s="24">
        <v>0.0</v>
      </c>
      <c r="N442" s="24">
        <v>0.0</v>
      </c>
      <c r="O442" s="24">
        <v>0.0</v>
      </c>
      <c r="P442" s="24">
        <v>0.0</v>
      </c>
      <c r="Q442" s="24">
        <v>1.0</v>
      </c>
      <c r="R442" s="24">
        <v>0.0</v>
      </c>
      <c r="S442" s="24">
        <v>0.0</v>
      </c>
      <c r="T442" s="24">
        <v>0.0</v>
      </c>
      <c r="U442" s="24">
        <v>0.0</v>
      </c>
      <c r="V442" s="24">
        <v>1.0</v>
      </c>
      <c r="W442" s="24">
        <v>0.0</v>
      </c>
      <c r="X442" s="24">
        <v>0.0</v>
      </c>
      <c r="Y442" s="24">
        <v>0.0</v>
      </c>
      <c r="Z442" s="24">
        <v>1.0</v>
      </c>
      <c r="AA442" s="24">
        <v>0.0</v>
      </c>
      <c r="AB442" s="24">
        <v>0.0</v>
      </c>
      <c r="AC442" s="24">
        <v>0.0</v>
      </c>
      <c r="AD442" s="24">
        <v>1.0</v>
      </c>
      <c r="AE442" s="24">
        <v>0.0</v>
      </c>
      <c r="AF442" s="24">
        <v>0.0</v>
      </c>
      <c r="AG442" s="24">
        <v>0.0</v>
      </c>
      <c r="AH442" s="24">
        <v>0.0</v>
      </c>
      <c r="AI442" s="24">
        <v>0.0</v>
      </c>
      <c r="AJ442" s="24">
        <v>0.0</v>
      </c>
      <c r="AK442" s="24">
        <v>0.0</v>
      </c>
      <c r="AL442" s="24">
        <v>1.0</v>
      </c>
      <c r="AM442" s="24">
        <v>0.0</v>
      </c>
      <c r="AN442" s="24">
        <v>0.0</v>
      </c>
      <c r="AO442" s="25">
        <v>19.2</v>
      </c>
      <c r="AP442" s="26"/>
      <c r="AQ442" s="26"/>
      <c r="AR442" s="26"/>
      <c r="AS442" s="26"/>
      <c r="AT442" s="26"/>
      <c r="AU442" s="26"/>
      <c r="AV442" s="26"/>
      <c r="AW442" s="24">
        <v>16.05</v>
      </c>
      <c r="AX442" s="26"/>
      <c r="AY442" s="26"/>
      <c r="AZ442" s="26"/>
      <c r="BA442" s="26"/>
      <c r="BB442" s="24">
        <v>16.15</v>
      </c>
      <c r="BC442" s="26"/>
      <c r="BD442" s="26"/>
      <c r="BE442" s="26"/>
      <c r="BF442" s="24">
        <v>17.25</v>
      </c>
      <c r="BG442" s="26"/>
      <c r="BH442" s="26"/>
      <c r="BI442" s="26"/>
      <c r="BJ442" s="24">
        <v>22.27</v>
      </c>
      <c r="BK442" s="26"/>
      <c r="BL442" s="26"/>
      <c r="BM442" s="26"/>
      <c r="BN442" s="26"/>
      <c r="BO442" s="24">
        <v>0.41</v>
      </c>
      <c r="BP442" s="24">
        <v>2.76</v>
      </c>
      <c r="BQ442" s="24">
        <v>8.24</v>
      </c>
      <c r="BR442" s="24">
        <v>10.8</v>
      </c>
      <c r="BS442" s="57">
        <v>0.88</v>
      </c>
      <c r="BT442" s="56">
        <v>22.3</v>
      </c>
      <c r="BU442" s="57">
        <v>1.0</v>
      </c>
      <c r="BV442" s="55">
        <v>6.92</v>
      </c>
      <c r="BW442" s="26"/>
      <c r="BX442" s="24">
        <v>3000.0</v>
      </c>
      <c r="BY442" s="24" t="s">
        <v>123</v>
      </c>
      <c r="BZ442" s="28">
        <v>3000.0</v>
      </c>
      <c r="CA442" s="72"/>
      <c r="CB442" s="30">
        <v>3000.0</v>
      </c>
      <c r="CC442" s="31"/>
      <c r="CD442" s="28">
        <v>3000.0</v>
      </c>
      <c r="CE442" s="32" t="e">
        <v>#REF!</v>
      </c>
      <c r="CF442" s="33"/>
      <c r="CG442" s="34">
        <v>0.0</v>
      </c>
      <c r="CH442" s="35">
        <v>0.0</v>
      </c>
      <c r="CI442" s="36">
        <v>5.0</v>
      </c>
      <c r="CJ442" s="36">
        <v>1999.0</v>
      </c>
      <c r="CK442" s="37">
        <v>0.0</v>
      </c>
      <c r="CL442" s="36">
        <v>1999.0</v>
      </c>
      <c r="CM442" s="38">
        <v>96.0</v>
      </c>
      <c r="CN442" s="36">
        <v>0.0</v>
      </c>
      <c r="CO442" s="39">
        <v>19.2</v>
      </c>
      <c r="CP442" s="40">
        <v>0.0</v>
      </c>
      <c r="CQ442" s="36">
        <v>14.0</v>
      </c>
      <c r="CR442" s="36">
        <v>14.0</v>
      </c>
      <c r="CS442" s="36">
        <v>4.0</v>
      </c>
      <c r="CT442" s="41"/>
      <c r="CU442" s="42"/>
      <c r="CV442" s="43"/>
      <c r="CW442" s="44">
        <v>10.0</v>
      </c>
      <c r="CX442" s="44" t="s">
        <v>138</v>
      </c>
      <c r="CY442" s="44" t="s">
        <v>139</v>
      </c>
      <c r="CZ442" s="45"/>
      <c r="DA442" s="44">
        <v>3000.0</v>
      </c>
      <c r="DB442" s="44">
        <v>0.0</v>
      </c>
      <c r="DC442" s="43"/>
      <c r="DD442" s="78"/>
      <c r="DE442" s="43"/>
      <c r="DF442" s="43"/>
      <c r="DG442" s="48" t="s">
        <v>128</v>
      </c>
      <c r="DH442" s="48" t="s">
        <v>128</v>
      </c>
      <c r="DI442" s="48" t="s">
        <v>128</v>
      </c>
      <c r="DJ442" s="49">
        <v>0.0</v>
      </c>
      <c r="DK442" s="48" t="b">
        <v>0</v>
      </c>
      <c r="DL442" s="50" t="s">
        <v>1087</v>
      </c>
      <c r="DM442" s="50" t="s">
        <v>131</v>
      </c>
      <c r="DN442" s="50" t="s">
        <v>1088</v>
      </c>
      <c r="DO442" s="49">
        <v>0.68</v>
      </c>
      <c r="DP442" s="48" t="s">
        <v>128</v>
      </c>
      <c r="DQ442" s="48" t="s">
        <v>128</v>
      </c>
      <c r="DR442" s="51"/>
      <c r="DS442" s="48" t="s">
        <v>134</v>
      </c>
    </row>
    <row r="443">
      <c r="A443" s="52" t="s">
        <v>118</v>
      </c>
      <c r="B443" s="53">
        <v>13.0</v>
      </c>
      <c r="C443" s="52" t="s">
        <v>1032</v>
      </c>
      <c r="D443" s="53">
        <v>558730.0</v>
      </c>
      <c r="E443" s="52" t="s">
        <v>148</v>
      </c>
      <c r="F443" s="52" t="s">
        <v>1115</v>
      </c>
      <c r="G443" s="52" t="s">
        <v>1116</v>
      </c>
      <c r="H443" s="53">
        <v>48388.0</v>
      </c>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c r="BS443" s="54"/>
      <c r="BT443" s="81"/>
      <c r="BU443" s="54"/>
      <c r="BV443" s="54"/>
      <c r="BW443" s="54"/>
      <c r="BX443" s="53">
        <v>3000.0</v>
      </c>
      <c r="BY443" s="53" t="s">
        <v>123</v>
      </c>
      <c r="BZ443" s="58">
        <v>3000.0</v>
      </c>
      <c r="CA443" s="72"/>
      <c r="CB443" s="82"/>
      <c r="CC443" s="31"/>
      <c r="CD443" s="58">
        <v>3000.0</v>
      </c>
      <c r="CE443" s="83" t="s">
        <v>185</v>
      </c>
      <c r="CF443" s="60"/>
      <c r="CG443" s="61">
        <v>0.0</v>
      </c>
      <c r="CH443" s="84"/>
      <c r="CI443" s="63">
        <v>0.0</v>
      </c>
      <c r="CJ443" s="63">
        <v>1999.0</v>
      </c>
      <c r="CK443" s="64">
        <v>0.0</v>
      </c>
      <c r="CL443" s="63">
        <v>1999.0</v>
      </c>
      <c r="CM443" s="65">
        <v>0.0</v>
      </c>
      <c r="CN443" s="63">
        <v>0.0</v>
      </c>
      <c r="CO443" s="66">
        <v>0.0</v>
      </c>
      <c r="CP443" s="67">
        <v>0.0</v>
      </c>
      <c r="CQ443" s="63">
        <v>0.0</v>
      </c>
      <c r="CR443" s="63">
        <v>0.0</v>
      </c>
      <c r="CS443" s="63">
        <v>0.0</v>
      </c>
      <c r="CT443" s="68"/>
      <c r="CU443" s="69"/>
      <c r="CV443" s="70"/>
      <c r="CW443" s="71">
        <v>10.0</v>
      </c>
      <c r="CX443" s="71" t="s">
        <v>138</v>
      </c>
      <c r="CY443" s="71" t="s">
        <v>139</v>
      </c>
      <c r="CZ443" s="45"/>
      <c r="DA443" s="43"/>
      <c r="DB443" s="44">
        <v>0.0</v>
      </c>
      <c r="DC443" s="43"/>
      <c r="DD443" s="78"/>
      <c r="DE443" s="43"/>
      <c r="DF443" s="43"/>
      <c r="DG443" s="48" t="s">
        <v>128</v>
      </c>
      <c r="DH443" s="48" t="s">
        <v>128</v>
      </c>
      <c r="DI443" s="85" t="str">
        <f>+ OFF 30 DIAS SIN VENTA</f>
        <v>#ERROR!</v>
      </c>
      <c r="DJ443" s="49">
        <v>1.0</v>
      </c>
      <c r="DK443" s="48" t="b">
        <v>0</v>
      </c>
      <c r="DL443" s="50" t="s">
        <v>1087</v>
      </c>
      <c r="DM443" s="50" t="s">
        <v>131</v>
      </c>
      <c r="DN443" s="50" t="s">
        <v>1088</v>
      </c>
      <c r="DO443" s="49">
        <v>0.68</v>
      </c>
      <c r="DP443" s="48" t="s">
        <v>128</v>
      </c>
      <c r="DQ443" s="86" t="str">
        <f>+ OFF 30 DIAS SIN VENTA</f>
        <v>#ERROR!</v>
      </c>
      <c r="DR443" s="51"/>
      <c r="DS443" s="48" t="s">
        <v>134</v>
      </c>
    </row>
    <row r="444">
      <c r="A444" s="23" t="s">
        <v>118</v>
      </c>
      <c r="B444" s="24">
        <v>13.0</v>
      </c>
      <c r="C444" s="23" t="s">
        <v>1032</v>
      </c>
      <c r="D444" s="24">
        <v>536832.0</v>
      </c>
      <c r="E444" s="23" t="s">
        <v>158</v>
      </c>
      <c r="F444" s="23" t="s">
        <v>1117</v>
      </c>
      <c r="G444" s="23" t="s">
        <v>1118</v>
      </c>
      <c r="H444" s="24">
        <v>48388.0</v>
      </c>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7"/>
      <c r="BU444" s="26"/>
      <c r="BV444" s="26"/>
      <c r="BW444" s="26"/>
      <c r="BX444" s="24">
        <v>1.0</v>
      </c>
      <c r="BY444" s="24" t="s">
        <v>123</v>
      </c>
      <c r="BZ444" s="87">
        <v>1.0</v>
      </c>
      <c r="CA444" s="72"/>
      <c r="CB444" s="82"/>
      <c r="CC444" s="31"/>
      <c r="CD444" s="28">
        <v>1.0</v>
      </c>
      <c r="CE444" s="88" t="s">
        <v>185</v>
      </c>
      <c r="CF444" s="33"/>
      <c r="CG444" s="34">
        <v>0.0</v>
      </c>
      <c r="CH444" s="89"/>
      <c r="CI444" s="36">
        <v>0.0</v>
      </c>
      <c r="CJ444" s="36">
        <v>1999.0</v>
      </c>
      <c r="CK444" s="37">
        <v>0.0</v>
      </c>
      <c r="CL444" s="36">
        <v>1999.0</v>
      </c>
      <c r="CM444" s="38">
        <v>0.0</v>
      </c>
      <c r="CN444" s="36">
        <v>0.0</v>
      </c>
      <c r="CO444" s="39">
        <v>0.0</v>
      </c>
      <c r="CP444" s="40">
        <v>0.0</v>
      </c>
      <c r="CQ444" s="36">
        <v>0.0</v>
      </c>
      <c r="CR444" s="36">
        <v>0.0</v>
      </c>
      <c r="CS444" s="36">
        <v>0.0</v>
      </c>
      <c r="CT444" s="41"/>
      <c r="CU444" s="42"/>
      <c r="CV444" s="43"/>
      <c r="CW444" s="44">
        <v>1.0</v>
      </c>
      <c r="CX444" s="44">
        <v>1.0</v>
      </c>
      <c r="CY444" s="44">
        <v>0.1</v>
      </c>
      <c r="CZ444" s="45"/>
      <c r="DA444" s="43"/>
      <c r="DB444" s="44">
        <v>0.0</v>
      </c>
      <c r="DC444" s="43"/>
      <c r="DD444" s="78"/>
      <c r="DE444" s="43"/>
      <c r="DF444" s="43"/>
      <c r="DG444" s="48" t="s">
        <v>128</v>
      </c>
      <c r="DH444" s="48" t="s">
        <v>131</v>
      </c>
      <c r="DI444" s="48" t="s">
        <v>188</v>
      </c>
      <c r="DJ444" s="49">
        <v>1.0</v>
      </c>
      <c r="DK444" s="48" t="b">
        <v>0</v>
      </c>
      <c r="DL444" s="50" t="s">
        <v>1087</v>
      </c>
      <c r="DM444" s="50" t="s">
        <v>131</v>
      </c>
      <c r="DN444" s="50" t="s">
        <v>1088</v>
      </c>
      <c r="DO444" s="49">
        <v>0.68</v>
      </c>
      <c r="DP444" s="51"/>
      <c r="DQ444" s="48" t="s">
        <v>188</v>
      </c>
      <c r="DR444" s="51"/>
      <c r="DS444" s="48" t="s">
        <v>134</v>
      </c>
    </row>
    <row r="445">
      <c r="A445" s="52" t="s">
        <v>118</v>
      </c>
      <c r="B445" s="53">
        <v>13.0</v>
      </c>
      <c r="C445" s="52" t="s">
        <v>1032</v>
      </c>
      <c r="D445" s="53">
        <v>626041.0</v>
      </c>
      <c r="E445" s="52" t="s">
        <v>135</v>
      </c>
      <c r="F445" s="52" t="s">
        <v>1119</v>
      </c>
      <c r="G445" s="52" t="s">
        <v>1120</v>
      </c>
      <c r="H445" s="53">
        <v>48388.0</v>
      </c>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c r="BS445" s="54"/>
      <c r="BT445" s="81"/>
      <c r="BU445" s="54"/>
      <c r="BV445" s="54"/>
      <c r="BW445" s="54"/>
      <c r="BX445" s="53">
        <v>1.0</v>
      </c>
      <c r="BY445" s="53" t="s">
        <v>123</v>
      </c>
      <c r="BZ445" s="87">
        <v>1.0</v>
      </c>
      <c r="CA445" s="72"/>
      <c r="CB445" s="82"/>
      <c r="CC445" s="31"/>
      <c r="CD445" s="58">
        <v>1.0</v>
      </c>
      <c r="CE445" s="83" t="s">
        <v>185</v>
      </c>
      <c r="CF445" s="60"/>
      <c r="CG445" s="61">
        <v>0.0</v>
      </c>
      <c r="CH445" s="84"/>
      <c r="CI445" s="63">
        <v>0.0</v>
      </c>
      <c r="CJ445" s="63">
        <v>1999.0</v>
      </c>
      <c r="CK445" s="64">
        <v>0.0</v>
      </c>
      <c r="CL445" s="63">
        <v>1999.0</v>
      </c>
      <c r="CM445" s="65">
        <v>0.0</v>
      </c>
      <c r="CN445" s="63">
        <v>0.0</v>
      </c>
      <c r="CO445" s="66">
        <v>0.0</v>
      </c>
      <c r="CP445" s="67">
        <v>0.0</v>
      </c>
      <c r="CQ445" s="63">
        <v>0.0</v>
      </c>
      <c r="CR445" s="63">
        <v>0.0</v>
      </c>
      <c r="CS445" s="63">
        <v>0.0</v>
      </c>
      <c r="CT445" s="68"/>
      <c r="CU445" s="69"/>
      <c r="CV445" s="70"/>
      <c r="CW445" s="71">
        <v>1.0</v>
      </c>
      <c r="CX445" s="71">
        <v>1.0</v>
      </c>
      <c r="CY445" s="71">
        <v>0.1</v>
      </c>
      <c r="CZ445" s="45"/>
      <c r="DA445" s="43"/>
      <c r="DB445" s="44">
        <v>0.0</v>
      </c>
      <c r="DC445" s="43"/>
      <c r="DD445" s="78"/>
      <c r="DE445" s="43"/>
      <c r="DF445" s="43"/>
      <c r="DG445" s="48" t="s">
        <v>128</v>
      </c>
      <c r="DH445" s="48" t="s">
        <v>131</v>
      </c>
      <c r="DI445" s="48" t="s">
        <v>188</v>
      </c>
      <c r="DJ445" s="49">
        <v>1.0</v>
      </c>
      <c r="DK445" s="48" t="b">
        <v>0</v>
      </c>
      <c r="DL445" s="50" t="s">
        <v>1087</v>
      </c>
      <c r="DM445" s="50" t="s">
        <v>131</v>
      </c>
      <c r="DN445" s="50" t="s">
        <v>1088</v>
      </c>
      <c r="DO445" s="49">
        <v>0.68</v>
      </c>
      <c r="DP445" s="51"/>
      <c r="DQ445" s="48" t="s">
        <v>188</v>
      </c>
      <c r="DR445" s="51"/>
      <c r="DS445" s="48" t="s">
        <v>134</v>
      </c>
    </row>
    <row r="446">
      <c r="A446" s="23" t="s">
        <v>118</v>
      </c>
      <c r="B446" s="24">
        <v>13.0</v>
      </c>
      <c r="C446" s="23" t="s">
        <v>1032</v>
      </c>
      <c r="D446" s="24">
        <v>626041.0</v>
      </c>
      <c r="E446" s="23" t="s">
        <v>135</v>
      </c>
      <c r="F446" s="23" t="s">
        <v>1121</v>
      </c>
      <c r="G446" s="23" t="s">
        <v>1122</v>
      </c>
      <c r="H446" s="24">
        <v>48388.0</v>
      </c>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7"/>
      <c r="BU446" s="26"/>
      <c r="BV446" s="26"/>
      <c r="BW446" s="26"/>
      <c r="BX446" s="24">
        <v>1.0</v>
      </c>
      <c r="BY446" s="24" t="s">
        <v>123</v>
      </c>
      <c r="BZ446" s="87">
        <v>1.0</v>
      </c>
      <c r="CA446" s="72"/>
      <c r="CB446" s="82"/>
      <c r="CC446" s="31"/>
      <c r="CD446" s="28">
        <v>1.0</v>
      </c>
      <c r="CE446" s="88" t="s">
        <v>185</v>
      </c>
      <c r="CF446" s="33"/>
      <c r="CG446" s="34">
        <v>0.0</v>
      </c>
      <c r="CH446" s="89"/>
      <c r="CI446" s="36">
        <v>0.0</v>
      </c>
      <c r="CJ446" s="36">
        <v>1999.0</v>
      </c>
      <c r="CK446" s="37">
        <v>0.0</v>
      </c>
      <c r="CL446" s="36">
        <v>1999.0</v>
      </c>
      <c r="CM446" s="38">
        <v>0.0</v>
      </c>
      <c r="CN446" s="36">
        <v>0.0</v>
      </c>
      <c r="CO446" s="39">
        <v>0.0</v>
      </c>
      <c r="CP446" s="40">
        <v>0.0</v>
      </c>
      <c r="CQ446" s="36">
        <v>0.0</v>
      </c>
      <c r="CR446" s="36">
        <v>0.0</v>
      </c>
      <c r="CS446" s="36">
        <v>0.0</v>
      </c>
      <c r="CT446" s="41"/>
      <c r="CU446" s="42"/>
      <c r="CV446" s="43"/>
      <c r="CW446" s="44">
        <v>1.0</v>
      </c>
      <c r="CX446" s="44">
        <v>1.0</v>
      </c>
      <c r="CY446" s="44">
        <v>0.1</v>
      </c>
      <c r="CZ446" s="45"/>
      <c r="DA446" s="43"/>
      <c r="DB446" s="44">
        <v>0.0</v>
      </c>
      <c r="DC446" s="43"/>
      <c r="DD446" s="78"/>
      <c r="DE446" s="43"/>
      <c r="DF446" s="43"/>
      <c r="DG446" s="48" t="s">
        <v>128</v>
      </c>
      <c r="DH446" s="48" t="s">
        <v>131</v>
      </c>
      <c r="DI446" s="48" t="s">
        <v>188</v>
      </c>
      <c r="DJ446" s="49">
        <v>1.0</v>
      </c>
      <c r="DK446" s="48" t="b">
        <v>0</v>
      </c>
      <c r="DL446" s="50" t="s">
        <v>1087</v>
      </c>
      <c r="DM446" s="50" t="s">
        <v>131</v>
      </c>
      <c r="DN446" s="50" t="s">
        <v>1088</v>
      </c>
      <c r="DO446" s="49">
        <v>0.68</v>
      </c>
      <c r="DP446" s="51"/>
      <c r="DQ446" s="48" t="s">
        <v>188</v>
      </c>
      <c r="DR446" s="51"/>
      <c r="DS446" s="48" t="s">
        <v>134</v>
      </c>
    </row>
    <row r="447">
      <c r="A447" s="52" t="s">
        <v>118</v>
      </c>
      <c r="B447" s="53">
        <v>4.0</v>
      </c>
      <c r="C447" s="52" t="s">
        <v>1123</v>
      </c>
      <c r="D447" s="53">
        <v>626041.0</v>
      </c>
      <c r="E447" s="52" t="s">
        <v>135</v>
      </c>
      <c r="F447" s="52" t="s">
        <v>1124</v>
      </c>
      <c r="G447" s="52" t="s">
        <v>1125</v>
      </c>
      <c r="H447" s="53">
        <v>1149.0</v>
      </c>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c r="BS447" s="54"/>
      <c r="BT447" s="81"/>
      <c r="BU447" s="54"/>
      <c r="BV447" s="54"/>
      <c r="BW447" s="54"/>
      <c r="BX447" s="53">
        <v>1.0</v>
      </c>
      <c r="BY447" s="52" t="s">
        <v>123</v>
      </c>
      <c r="BZ447" s="87">
        <v>1.0</v>
      </c>
      <c r="CA447" s="72"/>
      <c r="CB447" s="82"/>
      <c r="CC447" s="31"/>
      <c r="CD447" s="58">
        <v>1.0</v>
      </c>
      <c r="CE447" s="83" t="s">
        <v>185</v>
      </c>
      <c r="CF447" s="60"/>
      <c r="CG447" s="61">
        <v>0.0</v>
      </c>
      <c r="CH447" s="84"/>
      <c r="CI447" s="63">
        <v>0.0</v>
      </c>
      <c r="CJ447" s="63">
        <v>3116.0</v>
      </c>
      <c r="CK447" s="64">
        <v>0.0</v>
      </c>
      <c r="CL447" s="63">
        <v>3116.0</v>
      </c>
      <c r="CM447" s="65">
        <v>0.0</v>
      </c>
      <c r="CN447" s="63">
        <v>0.0</v>
      </c>
      <c r="CO447" s="66">
        <v>0.0</v>
      </c>
      <c r="CP447" s="67">
        <v>0.0</v>
      </c>
      <c r="CQ447" s="63">
        <v>0.0</v>
      </c>
      <c r="CR447" s="63">
        <v>0.0</v>
      </c>
      <c r="CS447" s="63">
        <v>0.0</v>
      </c>
      <c r="CT447" s="68"/>
      <c r="CU447" s="69"/>
      <c r="CV447" s="70"/>
      <c r="CW447" s="71">
        <v>1.0</v>
      </c>
      <c r="CX447" s="71">
        <v>1.0</v>
      </c>
      <c r="CY447" s="71">
        <v>0.1</v>
      </c>
      <c r="CZ447" s="45"/>
      <c r="DA447" s="43"/>
      <c r="DB447" s="44">
        <v>0.0</v>
      </c>
      <c r="DC447" s="43"/>
      <c r="DD447" s="78"/>
      <c r="DE447" s="43"/>
      <c r="DF447" s="43"/>
      <c r="DG447" s="48" t="s">
        <v>128</v>
      </c>
      <c r="DH447" s="48" t="s">
        <v>131</v>
      </c>
      <c r="DI447" s="48" t="s">
        <v>188</v>
      </c>
      <c r="DJ447" s="49">
        <v>1.0</v>
      </c>
      <c r="DK447" s="48" t="b">
        <v>0</v>
      </c>
      <c r="DL447" s="50" t="s">
        <v>1126</v>
      </c>
      <c r="DM447" s="50" t="s">
        <v>131</v>
      </c>
      <c r="DN447" s="50" t="s">
        <v>1127</v>
      </c>
      <c r="DO447" s="49">
        <v>0.92</v>
      </c>
      <c r="DP447" s="51"/>
      <c r="DQ447" s="48" t="s">
        <v>188</v>
      </c>
      <c r="DR447" s="51"/>
      <c r="DS447" s="48" t="s">
        <v>134</v>
      </c>
    </row>
    <row r="448">
      <c r="A448" s="23" t="s">
        <v>118</v>
      </c>
      <c r="B448" s="24">
        <v>4.0</v>
      </c>
      <c r="C448" s="23" t="s">
        <v>1123</v>
      </c>
      <c r="D448" s="24">
        <v>626041.0</v>
      </c>
      <c r="E448" s="23" t="s">
        <v>135</v>
      </c>
      <c r="F448" s="23" t="s">
        <v>1128</v>
      </c>
      <c r="G448" s="23" t="s">
        <v>1129</v>
      </c>
      <c r="H448" s="24">
        <v>1149.0</v>
      </c>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7"/>
      <c r="BU448" s="26"/>
      <c r="BV448" s="26"/>
      <c r="BW448" s="26"/>
      <c r="BX448" s="24">
        <v>1.0</v>
      </c>
      <c r="BY448" s="23" t="s">
        <v>123</v>
      </c>
      <c r="BZ448" s="87">
        <v>1.0</v>
      </c>
      <c r="CA448" s="72"/>
      <c r="CB448" s="82"/>
      <c r="CC448" s="31"/>
      <c r="CD448" s="28">
        <v>1.0</v>
      </c>
      <c r="CE448" s="88" t="s">
        <v>185</v>
      </c>
      <c r="CF448" s="33"/>
      <c r="CG448" s="34">
        <v>0.0</v>
      </c>
      <c r="CH448" s="89"/>
      <c r="CI448" s="36">
        <v>0.0</v>
      </c>
      <c r="CJ448" s="36">
        <v>3116.0</v>
      </c>
      <c r="CK448" s="37">
        <v>0.0</v>
      </c>
      <c r="CL448" s="36">
        <v>3116.0</v>
      </c>
      <c r="CM448" s="38">
        <v>0.0</v>
      </c>
      <c r="CN448" s="36">
        <v>0.0</v>
      </c>
      <c r="CO448" s="39">
        <v>0.0</v>
      </c>
      <c r="CP448" s="40">
        <v>0.0</v>
      </c>
      <c r="CQ448" s="36">
        <v>0.0</v>
      </c>
      <c r="CR448" s="36">
        <v>0.0</v>
      </c>
      <c r="CS448" s="36">
        <v>0.0</v>
      </c>
      <c r="CT448" s="41"/>
      <c r="CU448" s="42"/>
      <c r="CV448" s="43"/>
      <c r="CW448" s="44">
        <v>1.0</v>
      </c>
      <c r="CX448" s="44">
        <v>1.0</v>
      </c>
      <c r="CY448" s="44">
        <v>0.1</v>
      </c>
      <c r="CZ448" s="45"/>
      <c r="DA448" s="43"/>
      <c r="DB448" s="44">
        <v>0.0</v>
      </c>
      <c r="DC448" s="43"/>
      <c r="DD448" s="78"/>
      <c r="DE448" s="43"/>
      <c r="DF448" s="43"/>
      <c r="DG448" s="48" t="s">
        <v>128</v>
      </c>
      <c r="DH448" s="48" t="s">
        <v>131</v>
      </c>
      <c r="DI448" s="48" t="s">
        <v>188</v>
      </c>
      <c r="DJ448" s="49">
        <v>1.0</v>
      </c>
      <c r="DK448" s="48" t="b">
        <v>0</v>
      </c>
      <c r="DL448" s="50" t="s">
        <v>1126</v>
      </c>
      <c r="DM448" s="50" t="s">
        <v>131</v>
      </c>
      <c r="DN448" s="50" t="s">
        <v>1127</v>
      </c>
      <c r="DO448" s="49">
        <v>0.92</v>
      </c>
      <c r="DP448" s="51"/>
      <c r="DQ448" s="48" t="s">
        <v>188</v>
      </c>
      <c r="DR448" s="51"/>
      <c r="DS448" s="48" t="s">
        <v>134</v>
      </c>
    </row>
    <row r="449">
      <c r="A449" s="52" t="s">
        <v>118</v>
      </c>
      <c r="B449" s="53">
        <v>4.0</v>
      </c>
      <c r="C449" s="52" t="s">
        <v>1123</v>
      </c>
      <c r="D449" s="53">
        <v>536832.0</v>
      </c>
      <c r="E449" s="52" t="s">
        <v>158</v>
      </c>
      <c r="F449" s="52" t="s">
        <v>1130</v>
      </c>
      <c r="G449" s="52" t="s">
        <v>1131</v>
      </c>
      <c r="H449" s="53">
        <v>1149.0</v>
      </c>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c r="BS449" s="54"/>
      <c r="BT449" s="81"/>
      <c r="BU449" s="54"/>
      <c r="BV449" s="54"/>
      <c r="BW449" s="54"/>
      <c r="BX449" s="53">
        <v>1.0</v>
      </c>
      <c r="BY449" s="53" t="s">
        <v>123</v>
      </c>
      <c r="BZ449" s="87">
        <v>1.0</v>
      </c>
      <c r="CA449" s="72"/>
      <c r="CB449" s="82"/>
      <c r="CC449" s="31"/>
      <c r="CD449" s="58">
        <v>1.0</v>
      </c>
      <c r="CE449" s="83" t="s">
        <v>185</v>
      </c>
      <c r="CF449" s="60"/>
      <c r="CG449" s="61">
        <v>0.0</v>
      </c>
      <c r="CH449" s="84"/>
      <c r="CI449" s="63">
        <v>0.0</v>
      </c>
      <c r="CJ449" s="63">
        <v>3116.0</v>
      </c>
      <c r="CK449" s="64">
        <v>0.0</v>
      </c>
      <c r="CL449" s="63">
        <v>3116.0</v>
      </c>
      <c r="CM449" s="65">
        <v>0.0</v>
      </c>
      <c r="CN449" s="63">
        <v>0.0</v>
      </c>
      <c r="CO449" s="66">
        <v>0.0</v>
      </c>
      <c r="CP449" s="67">
        <v>0.0</v>
      </c>
      <c r="CQ449" s="63">
        <v>0.0</v>
      </c>
      <c r="CR449" s="63">
        <v>0.0</v>
      </c>
      <c r="CS449" s="63">
        <v>0.0</v>
      </c>
      <c r="CT449" s="68"/>
      <c r="CU449" s="69"/>
      <c r="CV449" s="70"/>
      <c r="CW449" s="71">
        <v>1.0</v>
      </c>
      <c r="CX449" s="71">
        <v>1.0</v>
      </c>
      <c r="CY449" s="71">
        <v>0.1</v>
      </c>
      <c r="CZ449" s="45"/>
      <c r="DA449" s="43"/>
      <c r="DB449" s="44">
        <v>0.0</v>
      </c>
      <c r="DC449" s="43"/>
      <c r="DD449" s="78"/>
      <c r="DE449" s="43"/>
      <c r="DF449" s="43"/>
      <c r="DG449" s="48" t="s">
        <v>128</v>
      </c>
      <c r="DH449" s="48" t="s">
        <v>131</v>
      </c>
      <c r="DI449" s="48" t="s">
        <v>188</v>
      </c>
      <c r="DJ449" s="49">
        <v>1.0</v>
      </c>
      <c r="DK449" s="48" t="b">
        <v>0</v>
      </c>
      <c r="DL449" s="50" t="s">
        <v>1126</v>
      </c>
      <c r="DM449" s="50" t="s">
        <v>131</v>
      </c>
      <c r="DN449" s="50" t="s">
        <v>1127</v>
      </c>
      <c r="DO449" s="49">
        <v>0.92</v>
      </c>
      <c r="DP449" s="51"/>
      <c r="DQ449" s="48" t="s">
        <v>188</v>
      </c>
      <c r="DR449" s="51"/>
      <c r="DS449" s="48" t="s">
        <v>134</v>
      </c>
    </row>
    <row r="450">
      <c r="A450" s="23" t="s">
        <v>118</v>
      </c>
      <c r="B450" s="24">
        <v>4.0</v>
      </c>
      <c r="C450" s="23" t="s">
        <v>1123</v>
      </c>
      <c r="D450" s="24">
        <v>627274.0</v>
      </c>
      <c r="E450" s="23" t="s">
        <v>173</v>
      </c>
      <c r="F450" s="23" t="s">
        <v>1132</v>
      </c>
      <c r="G450" s="23" t="s">
        <v>1133</v>
      </c>
      <c r="H450" s="24">
        <v>1149.0</v>
      </c>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7"/>
      <c r="BU450" s="26"/>
      <c r="BV450" s="26"/>
      <c r="BW450" s="26"/>
      <c r="BX450" s="24">
        <v>1.0</v>
      </c>
      <c r="BY450" s="24" t="s">
        <v>123</v>
      </c>
      <c r="BZ450" s="87">
        <v>1.0</v>
      </c>
      <c r="CA450" s="72"/>
      <c r="CB450" s="82"/>
      <c r="CC450" s="31"/>
      <c r="CD450" s="28">
        <v>1.0</v>
      </c>
      <c r="CE450" s="88" t="s">
        <v>185</v>
      </c>
      <c r="CF450" s="33"/>
      <c r="CG450" s="34">
        <v>0.0</v>
      </c>
      <c r="CH450" s="89"/>
      <c r="CI450" s="36">
        <v>0.0</v>
      </c>
      <c r="CJ450" s="36">
        <v>3116.0</v>
      </c>
      <c r="CK450" s="37">
        <v>0.0</v>
      </c>
      <c r="CL450" s="36">
        <v>3116.0</v>
      </c>
      <c r="CM450" s="38">
        <v>0.0</v>
      </c>
      <c r="CN450" s="36">
        <v>0.0</v>
      </c>
      <c r="CO450" s="39">
        <v>0.0</v>
      </c>
      <c r="CP450" s="40">
        <v>0.0</v>
      </c>
      <c r="CQ450" s="36">
        <v>0.0</v>
      </c>
      <c r="CR450" s="36">
        <v>0.0</v>
      </c>
      <c r="CS450" s="36">
        <v>0.0</v>
      </c>
      <c r="CT450" s="41"/>
      <c r="CU450" s="42"/>
      <c r="CV450" s="43"/>
      <c r="CW450" s="44">
        <v>1.0</v>
      </c>
      <c r="CX450" s="44">
        <v>1.0</v>
      </c>
      <c r="CY450" s="44">
        <v>0.1</v>
      </c>
      <c r="CZ450" s="45"/>
      <c r="DA450" s="43"/>
      <c r="DB450" s="44">
        <v>0.0</v>
      </c>
      <c r="DC450" s="43"/>
      <c r="DD450" s="78"/>
      <c r="DE450" s="43"/>
      <c r="DF450" s="43"/>
      <c r="DG450" s="48" t="s">
        <v>128</v>
      </c>
      <c r="DH450" s="48" t="s">
        <v>131</v>
      </c>
      <c r="DI450" s="48" t="s">
        <v>188</v>
      </c>
      <c r="DJ450" s="49">
        <v>1.0</v>
      </c>
      <c r="DK450" s="48" t="b">
        <v>0</v>
      </c>
      <c r="DL450" s="50" t="s">
        <v>1126</v>
      </c>
      <c r="DM450" s="50" t="s">
        <v>131</v>
      </c>
      <c r="DN450" s="50" t="s">
        <v>1127</v>
      </c>
      <c r="DO450" s="49">
        <v>0.92</v>
      </c>
      <c r="DP450" s="51"/>
      <c r="DQ450" s="48" t="s">
        <v>188</v>
      </c>
      <c r="DR450" s="51"/>
      <c r="DS450" s="48" t="s">
        <v>134</v>
      </c>
    </row>
    <row r="451">
      <c r="A451" s="52" t="s">
        <v>118</v>
      </c>
      <c r="B451" s="53">
        <v>4.0</v>
      </c>
      <c r="C451" s="52" t="s">
        <v>1123</v>
      </c>
      <c r="D451" s="53">
        <v>610881.0</v>
      </c>
      <c r="E451" s="52" t="s">
        <v>167</v>
      </c>
      <c r="F451" s="52" t="s">
        <v>1134</v>
      </c>
      <c r="G451" s="52" t="s">
        <v>1135</v>
      </c>
      <c r="H451" s="53">
        <v>1149.0</v>
      </c>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c r="BS451" s="54"/>
      <c r="BT451" s="81"/>
      <c r="BU451" s="54"/>
      <c r="BV451" s="54"/>
      <c r="BW451" s="54"/>
      <c r="BX451" s="53">
        <v>1.0</v>
      </c>
      <c r="BY451" s="52" t="s">
        <v>123</v>
      </c>
      <c r="BZ451" s="87">
        <v>1.0</v>
      </c>
      <c r="CA451" s="72"/>
      <c r="CB451" s="82"/>
      <c r="CC451" s="31"/>
      <c r="CD451" s="58">
        <v>1.0</v>
      </c>
      <c r="CE451" s="83" t="s">
        <v>185</v>
      </c>
      <c r="CF451" s="60"/>
      <c r="CG451" s="61">
        <v>0.0</v>
      </c>
      <c r="CH451" s="84"/>
      <c r="CI451" s="63">
        <v>0.0</v>
      </c>
      <c r="CJ451" s="63">
        <v>3116.0</v>
      </c>
      <c r="CK451" s="64">
        <v>0.0</v>
      </c>
      <c r="CL451" s="63">
        <v>3116.0</v>
      </c>
      <c r="CM451" s="65">
        <v>0.0</v>
      </c>
      <c r="CN451" s="63">
        <v>0.0</v>
      </c>
      <c r="CO451" s="66">
        <v>0.0</v>
      </c>
      <c r="CP451" s="67">
        <v>0.0</v>
      </c>
      <c r="CQ451" s="63">
        <v>0.0</v>
      </c>
      <c r="CR451" s="63">
        <v>0.0</v>
      </c>
      <c r="CS451" s="63">
        <v>0.0</v>
      </c>
      <c r="CT451" s="68"/>
      <c r="CU451" s="69"/>
      <c r="CV451" s="70"/>
      <c r="CW451" s="71">
        <v>1.0</v>
      </c>
      <c r="CX451" s="71">
        <v>1.0</v>
      </c>
      <c r="CY451" s="71">
        <v>0.1</v>
      </c>
      <c r="CZ451" s="45"/>
      <c r="DA451" s="43"/>
      <c r="DB451" s="44">
        <v>0.0</v>
      </c>
      <c r="DC451" s="43"/>
      <c r="DD451" s="78"/>
      <c r="DE451" s="43"/>
      <c r="DF451" s="43"/>
      <c r="DG451" s="48" t="s">
        <v>128</v>
      </c>
      <c r="DH451" s="48" t="s">
        <v>131</v>
      </c>
      <c r="DI451" s="48" t="s">
        <v>188</v>
      </c>
      <c r="DJ451" s="49">
        <v>1.0</v>
      </c>
      <c r="DK451" s="48" t="b">
        <v>0</v>
      </c>
      <c r="DL451" s="50" t="s">
        <v>1126</v>
      </c>
      <c r="DM451" s="50" t="s">
        <v>131</v>
      </c>
      <c r="DN451" s="50" t="s">
        <v>1127</v>
      </c>
      <c r="DO451" s="49">
        <v>0.92</v>
      </c>
      <c r="DP451" s="51"/>
      <c r="DQ451" s="48" t="s">
        <v>188</v>
      </c>
      <c r="DR451" s="51"/>
      <c r="DS451" s="48" t="s">
        <v>134</v>
      </c>
    </row>
    <row r="452">
      <c r="A452" s="23" t="s">
        <v>118</v>
      </c>
      <c r="B452" s="24">
        <v>4.0</v>
      </c>
      <c r="C452" s="23" t="s">
        <v>1123</v>
      </c>
      <c r="D452" s="24">
        <v>576393.0</v>
      </c>
      <c r="E452" s="23" t="s">
        <v>164</v>
      </c>
      <c r="F452" s="23" t="s">
        <v>1136</v>
      </c>
      <c r="G452" s="23" t="s">
        <v>1137</v>
      </c>
      <c r="H452" s="24">
        <v>1149.0</v>
      </c>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7"/>
      <c r="BU452" s="26"/>
      <c r="BV452" s="26"/>
      <c r="BW452" s="26"/>
      <c r="BX452" s="24">
        <v>1.0</v>
      </c>
      <c r="BY452" s="24" t="s">
        <v>123</v>
      </c>
      <c r="BZ452" s="87">
        <v>1.0</v>
      </c>
      <c r="CA452" s="72"/>
      <c r="CB452" s="82"/>
      <c r="CC452" s="31"/>
      <c r="CD452" s="28">
        <v>1.0</v>
      </c>
      <c r="CE452" s="88" t="s">
        <v>185</v>
      </c>
      <c r="CF452" s="33"/>
      <c r="CG452" s="34">
        <v>0.0</v>
      </c>
      <c r="CH452" s="89"/>
      <c r="CI452" s="36">
        <v>0.0</v>
      </c>
      <c r="CJ452" s="36">
        <v>3116.0</v>
      </c>
      <c r="CK452" s="37">
        <v>0.0</v>
      </c>
      <c r="CL452" s="36">
        <v>3116.0</v>
      </c>
      <c r="CM452" s="38">
        <v>0.0</v>
      </c>
      <c r="CN452" s="36">
        <v>0.0</v>
      </c>
      <c r="CO452" s="39">
        <v>0.0</v>
      </c>
      <c r="CP452" s="40">
        <v>0.0</v>
      </c>
      <c r="CQ452" s="36">
        <v>0.0</v>
      </c>
      <c r="CR452" s="36">
        <v>0.0</v>
      </c>
      <c r="CS452" s="36">
        <v>0.0</v>
      </c>
      <c r="CT452" s="41"/>
      <c r="CU452" s="42"/>
      <c r="CV452" s="43"/>
      <c r="CW452" s="44">
        <v>1.0</v>
      </c>
      <c r="CX452" s="44">
        <v>1.0</v>
      </c>
      <c r="CY452" s="44">
        <v>0.1</v>
      </c>
      <c r="CZ452" s="45"/>
      <c r="DA452" s="43"/>
      <c r="DB452" s="44">
        <v>0.0</v>
      </c>
      <c r="DC452" s="43"/>
      <c r="DD452" s="78"/>
      <c r="DE452" s="43"/>
      <c r="DF452" s="43"/>
      <c r="DG452" s="48" t="s">
        <v>128</v>
      </c>
      <c r="DH452" s="48" t="s">
        <v>131</v>
      </c>
      <c r="DI452" s="48" t="s">
        <v>188</v>
      </c>
      <c r="DJ452" s="49">
        <v>1.0</v>
      </c>
      <c r="DK452" s="48" t="b">
        <v>0</v>
      </c>
      <c r="DL452" s="50" t="s">
        <v>1126</v>
      </c>
      <c r="DM452" s="50" t="s">
        <v>131</v>
      </c>
      <c r="DN452" s="50" t="s">
        <v>1127</v>
      </c>
      <c r="DO452" s="49">
        <v>0.92</v>
      </c>
      <c r="DP452" s="51"/>
      <c r="DQ452" s="48" t="s">
        <v>188</v>
      </c>
      <c r="DR452" s="51"/>
      <c r="DS452" s="48" t="s">
        <v>134</v>
      </c>
    </row>
    <row r="453">
      <c r="A453" s="52" t="s">
        <v>118</v>
      </c>
      <c r="B453" s="53">
        <v>4.0</v>
      </c>
      <c r="C453" s="52" t="s">
        <v>1123</v>
      </c>
      <c r="D453" s="53">
        <v>631195.0</v>
      </c>
      <c r="E453" s="52" t="s">
        <v>140</v>
      </c>
      <c r="F453" s="52" t="s">
        <v>1138</v>
      </c>
      <c r="G453" s="52" t="s">
        <v>1139</v>
      </c>
      <c r="H453" s="53">
        <v>45058.0</v>
      </c>
      <c r="I453" s="53">
        <v>1.0</v>
      </c>
      <c r="J453" s="53">
        <v>0.0</v>
      </c>
      <c r="K453" s="53">
        <v>0.0</v>
      </c>
      <c r="L453" s="53">
        <v>0.0</v>
      </c>
      <c r="M453" s="53">
        <v>0.0</v>
      </c>
      <c r="N453" s="53">
        <v>0.0</v>
      </c>
      <c r="O453" s="53">
        <v>0.0</v>
      </c>
      <c r="P453" s="53">
        <v>0.0</v>
      </c>
      <c r="Q453" s="53">
        <v>0.0</v>
      </c>
      <c r="R453" s="53">
        <v>0.0</v>
      </c>
      <c r="S453" s="53">
        <v>0.0</v>
      </c>
      <c r="T453" s="53">
        <v>0.0</v>
      </c>
      <c r="U453" s="53">
        <v>0.0</v>
      </c>
      <c r="V453" s="53">
        <v>0.0</v>
      </c>
      <c r="W453" s="53">
        <v>1.0</v>
      </c>
      <c r="X453" s="53">
        <v>0.0</v>
      </c>
      <c r="Y453" s="53">
        <v>0.0</v>
      </c>
      <c r="Z453" s="53">
        <v>0.0</v>
      </c>
      <c r="AA453" s="53">
        <v>0.0</v>
      </c>
      <c r="AB453" s="53">
        <v>0.0</v>
      </c>
      <c r="AC453" s="53">
        <v>0.0</v>
      </c>
      <c r="AD453" s="53">
        <v>0.0</v>
      </c>
      <c r="AE453" s="53">
        <v>0.0</v>
      </c>
      <c r="AF453" s="53">
        <v>0.0</v>
      </c>
      <c r="AG453" s="53">
        <v>0.0</v>
      </c>
      <c r="AH453" s="53">
        <v>0.0</v>
      </c>
      <c r="AI453" s="53">
        <v>0.0</v>
      </c>
      <c r="AJ453" s="53">
        <v>0.0</v>
      </c>
      <c r="AK453" s="53">
        <v>0.0</v>
      </c>
      <c r="AL453" s="53">
        <v>0.0</v>
      </c>
      <c r="AM453" s="53">
        <v>0.0</v>
      </c>
      <c r="AN453" s="53">
        <v>0.0</v>
      </c>
      <c r="AO453" s="25">
        <v>25.3</v>
      </c>
      <c r="AP453" s="54"/>
      <c r="AQ453" s="54"/>
      <c r="AR453" s="54"/>
      <c r="AS453" s="54"/>
      <c r="AT453" s="54"/>
      <c r="AU453" s="54"/>
      <c r="AV453" s="54"/>
      <c r="AW453" s="54"/>
      <c r="AX453" s="54"/>
      <c r="AY453" s="54"/>
      <c r="AZ453" s="54"/>
      <c r="BA453" s="54"/>
      <c r="BB453" s="54"/>
      <c r="BC453" s="53">
        <v>25.3</v>
      </c>
      <c r="BD453" s="54"/>
      <c r="BE453" s="54"/>
      <c r="BF453" s="54"/>
      <c r="BG453" s="54"/>
      <c r="BH453" s="54"/>
      <c r="BI453" s="54"/>
      <c r="BJ453" s="54"/>
      <c r="BK453" s="54"/>
      <c r="BL453" s="54"/>
      <c r="BM453" s="54"/>
      <c r="BN453" s="54"/>
      <c r="BO453" s="54"/>
      <c r="BP453" s="53">
        <v>5.42</v>
      </c>
      <c r="BQ453" s="53">
        <v>3.72</v>
      </c>
      <c r="BR453" s="53">
        <v>8.95</v>
      </c>
      <c r="BS453" s="25">
        <v>5.97</v>
      </c>
      <c r="BT453" s="81"/>
      <c r="BU453" s="54"/>
      <c r="BV453" s="54"/>
      <c r="BW453" s="54"/>
      <c r="BX453" s="53">
        <v>3000.0</v>
      </c>
      <c r="BY453" s="52" t="s">
        <v>123</v>
      </c>
      <c r="BZ453" s="58">
        <v>2700.0</v>
      </c>
      <c r="CA453" s="29" t="s">
        <v>124</v>
      </c>
      <c r="CB453" s="30">
        <v>3000.0</v>
      </c>
      <c r="CC453" s="31"/>
      <c r="CD453" s="58">
        <v>3000.0</v>
      </c>
      <c r="CE453" s="59" t="e">
        <v>#REF!</v>
      </c>
      <c r="CF453" s="60"/>
      <c r="CG453" s="61">
        <v>0.0</v>
      </c>
      <c r="CH453" s="62">
        <v>0.0</v>
      </c>
      <c r="CI453" s="63">
        <v>1.0</v>
      </c>
      <c r="CJ453" s="63">
        <v>2651.0</v>
      </c>
      <c r="CK453" s="64">
        <v>0.0</v>
      </c>
      <c r="CL453" s="63">
        <v>2651.0</v>
      </c>
      <c r="CM453" s="65">
        <v>25.0</v>
      </c>
      <c r="CN453" s="63">
        <v>0.0</v>
      </c>
      <c r="CO453" s="66">
        <v>25.3</v>
      </c>
      <c r="CP453" s="67">
        <v>0.0</v>
      </c>
      <c r="CQ453" s="63">
        <v>5.0</v>
      </c>
      <c r="CR453" s="63">
        <v>5.0</v>
      </c>
      <c r="CS453" s="63">
        <v>6.0</v>
      </c>
      <c r="CT453" s="68"/>
      <c r="CU453" s="69"/>
      <c r="CV453" s="70"/>
      <c r="CW453" s="71">
        <v>10.0</v>
      </c>
      <c r="CX453" s="71" t="s">
        <v>138</v>
      </c>
      <c r="CY453" s="71" t="s">
        <v>139</v>
      </c>
      <c r="CZ453" s="45"/>
      <c r="DA453" s="44">
        <v>3000.0</v>
      </c>
      <c r="DB453" s="44">
        <v>0.0</v>
      </c>
      <c r="DC453" s="43"/>
      <c r="DD453" s="78"/>
      <c r="DE453" s="43"/>
      <c r="DF453" s="43"/>
      <c r="DG453" s="48" t="s">
        <v>128</v>
      </c>
      <c r="DH453" s="48" t="s">
        <v>128</v>
      </c>
      <c r="DI453" s="48" t="s">
        <v>129</v>
      </c>
      <c r="DJ453" s="51"/>
      <c r="DK453" s="48" t="b">
        <v>0</v>
      </c>
      <c r="DL453" s="50" t="s">
        <v>1140</v>
      </c>
      <c r="DM453" s="50" t="s">
        <v>128</v>
      </c>
      <c r="DN453" s="50" t="s">
        <v>1141</v>
      </c>
      <c r="DO453" s="49">
        <v>0.86</v>
      </c>
      <c r="DP453" s="48" t="s">
        <v>128</v>
      </c>
      <c r="DQ453" s="48" t="s">
        <v>133</v>
      </c>
      <c r="DR453" s="51"/>
      <c r="DS453" s="48" t="s">
        <v>134</v>
      </c>
    </row>
    <row r="454">
      <c r="A454" s="23" t="s">
        <v>118</v>
      </c>
      <c r="B454" s="24">
        <v>4.0</v>
      </c>
      <c r="C454" s="23" t="s">
        <v>1123</v>
      </c>
      <c r="D454" s="24">
        <v>641892.0</v>
      </c>
      <c r="E454" s="23" t="s">
        <v>170</v>
      </c>
      <c r="F454" s="23" t="s">
        <v>1142</v>
      </c>
      <c r="G454" s="23" t="s">
        <v>1143</v>
      </c>
      <c r="H454" s="24">
        <v>45058.0</v>
      </c>
      <c r="I454" s="24">
        <v>2.0</v>
      </c>
      <c r="J454" s="24">
        <v>0.0</v>
      </c>
      <c r="K454" s="24">
        <v>0.0</v>
      </c>
      <c r="L454" s="24">
        <v>0.0</v>
      </c>
      <c r="M454" s="24">
        <v>0.0</v>
      </c>
      <c r="N454" s="24">
        <v>0.0</v>
      </c>
      <c r="O454" s="24">
        <v>0.0</v>
      </c>
      <c r="P454" s="24">
        <v>0.0</v>
      </c>
      <c r="Q454" s="24">
        <v>0.0</v>
      </c>
      <c r="R454" s="24">
        <v>0.0</v>
      </c>
      <c r="S454" s="24">
        <v>0.0</v>
      </c>
      <c r="T454" s="24">
        <v>0.0</v>
      </c>
      <c r="U454" s="24">
        <v>0.0</v>
      </c>
      <c r="V454" s="24">
        <v>0.0</v>
      </c>
      <c r="W454" s="24">
        <v>0.0</v>
      </c>
      <c r="X454" s="24">
        <v>1.0</v>
      </c>
      <c r="Y454" s="24">
        <v>0.0</v>
      </c>
      <c r="Z454" s="24">
        <v>1.0</v>
      </c>
      <c r="AA454" s="24">
        <v>0.0</v>
      </c>
      <c r="AB454" s="24">
        <v>0.0</v>
      </c>
      <c r="AC454" s="24">
        <v>0.0</v>
      </c>
      <c r="AD454" s="24">
        <v>0.0</v>
      </c>
      <c r="AE454" s="24">
        <v>0.0</v>
      </c>
      <c r="AF454" s="24">
        <v>0.0</v>
      </c>
      <c r="AG454" s="24">
        <v>0.0</v>
      </c>
      <c r="AH454" s="24">
        <v>0.0</v>
      </c>
      <c r="AI454" s="24">
        <v>0.0</v>
      </c>
      <c r="AJ454" s="24">
        <v>0.0</v>
      </c>
      <c r="AK454" s="24">
        <v>0.0</v>
      </c>
      <c r="AL454" s="24">
        <v>0.0</v>
      </c>
      <c r="AM454" s="24">
        <v>0.0</v>
      </c>
      <c r="AN454" s="24">
        <v>0.0</v>
      </c>
      <c r="AO454" s="55">
        <v>15.3</v>
      </c>
      <c r="AP454" s="26"/>
      <c r="AQ454" s="26"/>
      <c r="AR454" s="26"/>
      <c r="AS454" s="26"/>
      <c r="AT454" s="26"/>
      <c r="AU454" s="26"/>
      <c r="AV454" s="26"/>
      <c r="AW454" s="26"/>
      <c r="AX454" s="26"/>
      <c r="AY454" s="26"/>
      <c r="AZ454" s="26"/>
      <c r="BA454" s="26"/>
      <c r="BB454" s="26"/>
      <c r="BC454" s="26"/>
      <c r="BD454" s="24">
        <v>14.1</v>
      </c>
      <c r="BE454" s="26"/>
      <c r="BF454" s="24">
        <v>16.57</v>
      </c>
      <c r="BG454" s="26"/>
      <c r="BH454" s="26"/>
      <c r="BI454" s="26"/>
      <c r="BJ454" s="26"/>
      <c r="BK454" s="26"/>
      <c r="BL454" s="26"/>
      <c r="BM454" s="26"/>
      <c r="BN454" s="26"/>
      <c r="BO454" s="26"/>
      <c r="BP454" s="24">
        <v>0.77</v>
      </c>
      <c r="BQ454" s="24">
        <v>2.51</v>
      </c>
      <c r="BR454" s="24">
        <v>3.08</v>
      </c>
      <c r="BS454" s="25">
        <v>4.82</v>
      </c>
      <c r="BT454" s="27"/>
      <c r="BU454" s="26"/>
      <c r="BV454" s="26"/>
      <c r="BW454" s="26"/>
      <c r="BX454" s="24">
        <v>3000.0</v>
      </c>
      <c r="BY454" s="24" t="s">
        <v>123</v>
      </c>
      <c r="BZ454" s="28">
        <v>3000.0</v>
      </c>
      <c r="CA454" s="72"/>
      <c r="CB454" s="30">
        <v>3000.0</v>
      </c>
      <c r="CC454" s="31"/>
      <c r="CD454" s="28">
        <v>3000.0</v>
      </c>
      <c r="CE454" s="32" t="e">
        <v>#REF!</v>
      </c>
      <c r="CF454" s="33"/>
      <c r="CG454" s="34">
        <v>0.0</v>
      </c>
      <c r="CH454" s="35">
        <v>0.0</v>
      </c>
      <c r="CI454" s="36">
        <v>2.0</v>
      </c>
      <c r="CJ454" s="36">
        <v>2651.0</v>
      </c>
      <c r="CK454" s="37">
        <v>0.0</v>
      </c>
      <c r="CL454" s="36">
        <v>2651.0</v>
      </c>
      <c r="CM454" s="38">
        <v>31.0</v>
      </c>
      <c r="CN454" s="36">
        <v>0.0</v>
      </c>
      <c r="CO454" s="39">
        <v>15.3</v>
      </c>
      <c r="CP454" s="40">
        <v>0.0</v>
      </c>
      <c r="CQ454" s="36">
        <v>2.0</v>
      </c>
      <c r="CR454" s="36">
        <v>2.0</v>
      </c>
      <c r="CS454" s="36">
        <v>10.0</v>
      </c>
      <c r="CT454" s="41"/>
      <c r="CU454" s="42"/>
      <c r="CV454" s="43"/>
      <c r="CW454" s="44">
        <v>10.0</v>
      </c>
      <c r="CX454" s="44" t="s">
        <v>138</v>
      </c>
      <c r="CY454" s="44" t="s">
        <v>139</v>
      </c>
      <c r="CZ454" s="45"/>
      <c r="DA454" s="44">
        <v>3000.0</v>
      </c>
      <c r="DB454" s="44">
        <v>0.0</v>
      </c>
      <c r="DC454" s="46" t="s">
        <v>127</v>
      </c>
      <c r="DD454" s="47">
        <v>46240.0</v>
      </c>
      <c r="DE454" s="43"/>
      <c r="DF454" s="43"/>
      <c r="DG454" s="48" t="s">
        <v>128</v>
      </c>
      <c r="DH454" s="48" t="s">
        <v>128</v>
      </c>
      <c r="DI454" s="48" t="s">
        <v>129</v>
      </c>
      <c r="DJ454" s="49">
        <v>1.0</v>
      </c>
      <c r="DK454" s="48" t="b">
        <v>0</v>
      </c>
      <c r="DL454" s="50" t="s">
        <v>1140</v>
      </c>
      <c r="DM454" s="50" t="s">
        <v>128</v>
      </c>
      <c r="DN454" s="50" t="s">
        <v>1141</v>
      </c>
      <c r="DO454" s="49">
        <v>0.86</v>
      </c>
      <c r="DP454" s="48" t="s">
        <v>128</v>
      </c>
      <c r="DQ454" s="48" t="s">
        <v>133</v>
      </c>
      <c r="DR454" s="51"/>
      <c r="DS454" s="48" t="s">
        <v>134</v>
      </c>
    </row>
    <row r="455">
      <c r="A455" s="52" t="s">
        <v>118</v>
      </c>
      <c r="B455" s="53">
        <v>4.0</v>
      </c>
      <c r="C455" s="52" t="s">
        <v>1123</v>
      </c>
      <c r="D455" s="53">
        <v>576393.0</v>
      </c>
      <c r="E455" s="52" t="s">
        <v>164</v>
      </c>
      <c r="F455" s="52" t="s">
        <v>1144</v>
      </c>
      <c r="G455" s="52" t="s">
        <v>1145</v>
      </c>
      <c r="H455" s="53">
        <v>45058.0</v>
      </c>
      <c r="I455" s="53">
        <v>8.0</v>
      </c>
      <c r="J455" s="53">
        <v>0.0</v>
      </c>
      <c r="K455" s="53">
        <v>0.0</v>
      </c>
      <c r="L455" s="53">
        <v>0.0</v>
      </c>
      <c r="M455" s="53">
        <v>0.0</v>
      </c>
      <c r="N455" s="53">
        <v>0.0</v>
      </c>
      <c r="O455" s="53">
        <v>0.0</v>
      </c>
      <c r="P455" s="53">
        <v>0.0</v>
      </c>
      <c r="Q455" s="53">
        <v>0.0</v>
      </c>
      <c r="R455" s="53">
        <v>0.0</v>
      </c>
      <c r="S455" s="53">
        <v>0.0</v>
      </c>
      <c r="T455" s="53">
        <v>0.0</v>
      </c>
      <c r="U455" s="53">
        <v>1.0</v>
      </c>
      <c r="V455" s="53">
        <v>0.0</v>
      </c>
      <c r="W455" s="53">
        <v>0.0</v>
      </c>
      <c r="X455" s="53">
        <v>0.0</v>
      </c>
      <c r="Y455" s="53">
        <v>0.0</v>
      </c>
      <c r="Z455" s="53">
        <v>2.0</v>
      </c>
      <c r="AA455" s="53">
        <v>1.0</v>
      </c>
      <c r="AB455" s="53">
        <v>0.0</v>
      </c>
      <c r="AC455" s="53">
        <v>0.0</v>
      </c>
      <c r="AD455" s="53">
        <v>1.0</v>
      </c>
      <c r="AE455" s="53">
        <v>0.0</v>
      </c>
      <c r="AF455" s="53">
        <v>0.0</v>
      </c>
      <c r="AG455" s="53">
        <v>1.0</v>
      </c>
      <c r="AH455" s="53">
        <v>0.0</v>
      </c>
      <c r="AI455" s="53">
        <v>1.0</v>
      </c>
      <c r="AJ455" s="53">
        <v>1.0</v>
      </c>
      <c r="AK455" s="53">
        <v>0.0</v>
      </c>
      <c r="AL455" s="53">
        <v>0.0</v>
      </c>
      <c r="AM455" s="53">
        <v>0.0</v>
      </c>
      <c r="AN455" s="53">
        <v>0.0</v>
      </c>
      <c r="AO455" s="25">
        <v>18.5</v>
      </c>
      <c r="AP455" s="54"/>
      <c r="AQ455" s="54"/>
      <c r="AR455" s="54"/>
      <c r="AS455" s="54"/>
      <c r="AT455" s="54"/>
      <c r="AU455" s="54"/>
      <c r="AV455" s="54"/>
      <c r="AW455" s="54"/>
      <c r="AX455" s="54"/>
      <c r="AY455" s="54"/>
      <c r="AZ455" s="54"/>
      <c r="BA455" s="53">
        <v>24.83</v>
      </c>
      <c r="BB455" s="54"/>
      <c r="BC455" s="54"/>
      <c r="BD455" s="54"/>
      <c r="BE455" s="54"/>
      <c r="BF455" s="53">
        <v>16.17</v>
      </c>
      <c r="BG455" s="53">
        <v>14.87</v>
      </c>
      <c r="BH455" s="54"/>
      <c r="BI455" s="54"/>
      <c r="BJ455" s="53">
        <v>22.48</v>
      </c>
      <c r="BK455" s="54"/>
      <c r="BL455" s="54"/>
      <c r="BM455" s="53">
        <v>18.17</v>
      </c>
      <c r="BN455" s="54"/>
      <c r="BO455" s="53">
        <v>0.3</v>
      </c>
      <c r="BP455" s="53">
        <v>0.9</v>
      </c>
      <c r="BQ455" s="53">
        <v>5.13</v>
      </c>
      <c r="BR455" s="53">
        <v>5.82</v>
      </c>
      <c r="BS455" s="25">
        <v>4.59</v>
      </c>
      <c r="BT455" s="56">
        <v>18.8</v>
      </c>
      <c r="BU455" s="25">
        <v>5.5</v>
      </c>
      <c r="BV455" s="55">
        <v>6.97</v>
      </c>
      <c r="BW455" s="54"/>
      <c r="BX455" s="53">
        <v>3000.0</v>
      </c>
      <c r="BY455" s="52" t="s">
        <v>123</v>
      </c>
      <c r="BZ455" s="58">
        <v>2700.0</v>
      </c>
      <c r="CA455" s="29" t="s">
        <v>124</v>
      </c>
      <c r="CB455" s="30">
        <v>3000.0</v>
      </c>
      <c r="CC455" s="31"/>
      <c r="CD455" s="58">
        <v>3000.0</v>
      </c>
      <c r="CE455" s="59" t="e">
        <v>#REF!</v>
      </c>
      <c r="CF455" s="60"/>
      <c r="CG455" s="61">
        <v>0.0</v>
      </c>
      <c r="CH455" s="62">
        <v>0.0</v>
      </c>
      <c r="CI455" s="63">
        <v>8.0</v>
      </c>
      <c r="CJ455" s="63">
        <v>2651.0</v>
      </c>
      <c r="CK455" s="64">
        <v>0.0</v>
      </c>
      <c r="CL455" s="63">
        <v>2651.0</v>
      </c>
      <c r="CM455" s="65">
        <v>148.0</v>
      </c>
      <c r="CN455" s="63">
        <v>0.0</v>
      </c>
      <c r="CO455" s="66">
        <v>18.5</v>
      </c>
      <c r="CP455" s="67">
        <v>0.0</v>
      </c>
      <c r="CQ455" s="63">
        <v>7.0</v>
      </c>
      <c r="CR455" s="63">
        <v>7.0</v>
      </c>
      <c r="CS455" s="63">
        <v>37.0</v>
      </c>
      <c r="CT455" s="68"/>
      <c r="CU455" s="69"/>
      <c r="CV455" s="70"/>
      <c r="CW455" s="71">
        <v>10.0</v>
      </c>
      <c r="CX455" s="71" t="s">
        <v>138</v>
      </c>
      <c r="CY455" s="71" t="s">
        <v>139</v>
      </c>
      <c r="CZ455" s="45"/>
      <c r="DA455" s="44">
        <v>3000.0</v>
      </c>
      <c r="DB455" s="44">
        <v>0.0</v>
      </c>
      <c r="DC455" s="46" t="s">
        <v>127</v>
      </c>
      <c r="DD455" s="47">
        <v>46228.0</v>
      </c>
      <c r="DE455" s="43"/>
      <c r="DF455" s="43"/>
      <c r="DG455" s="48" t="s">
        <v>128</v>
      </c>
      <c r="DH455" s="48" t="s">
        <v>128</v>
      </c>
      <c r="DI455" s="48" t="s">
        <v>128</v>
      </c>
      <c r="DJ455" s="49">
        <v>0.0</v>
      </c>
      <c r="DK455" s="48" t="b">
        <v>0</v>
      </c>
      <c r="DL455" s="50" t="s">
        <v>1140</v>
      </c>
      <c r="DM455" s="50" t="s">
        <v>128</v>
      </c>
      <c r="DN455" s="50" t="s">
        <v>1141</v>
      </c>
      <c r="DO455" s="49">
        <v>0.86</v>
      </c>
      <c r="DP455" s="48" t="s">
        <v>128</v>
      </c>
      <c r="DQ455" s="48" t="s">
        <v>128</v>
      </c>
      <c r="DR455" s="51"/>
      <c r="DS455" s="48" t="s">
        <v>134</v>
      </c>
    </row>
    <row r="456">
      <c r="A456" s="23" t="s">
        <v>118</v>
      </c>
      <c r="B456" s="24">
        <v>4.0</v>
      </c>
      <c r="C456" s="23" t="s">
        <v>1123</v>
      </c>
      <c r="D456" s="24">
        <v>641645.0</v>
      </c>
      <c r="E456" s="23" t="s">
        <v>145</v>
      </c>
      <c r="F456" s="23" t="s">
        <v>1146</v>
      </c>
      <c r="G456" s="23" t="s">
        <v>1147</v>
      </c>
      <c r="H456" s="24">
        <v>45058.0</v>
      </c>
      <c r="I456" s="24">
        <v>3.0</v>
      </c>
      <c r="J456" s="24">
        <v>0.0</v>
      </c>
      <c r="K456" s="24">
        <v>0.0</v>
      </c>
      <c r="L456" s="24">
        <v>0.0</v>
      </c>
      <c r="M456" s="24">
        <v>0.0</v>
      </c>
      <c r="N456" s="24">
        <v>0.0</v>
      </c>
      <c r="O456" s="24">
        <v>0.0</v>
      </c>
      <c r="P456" s="24">
        <v>0.0</v>
      </c>
      <c r="Q456" s="24">
        <v>0.0</v>
      </c>
      <c r="R456" s="24">
        <v>0.0</v>
      </c>
      <c r="S456" s="24">
        <v>0.0</v>
      </c>
      <c r="T456" s="24">
        <v>1.0</v>
      </c>
      <c r="U456" s="24">
        <v>0.0</v>
      </c>
      <c r="V456" s="24">
        <v>0.0</v>
      </c>
      <c r="W456" s="24">
        <v>0.0</v>
      </c>
      <c r="X456" s="24">
        <v>0.0</v>
      </c>
      <c r="Y456" s="24">
        <v>0.0</v>
      </c>
      <c r="Z456" s="24">
        <v>0.0</v>
      </c>
      <c r="AA456" s="24">
        <v>0.0</v>
      </c>
      <c r="AB456" s="24">
        <v>0.0</v>
      </c>
      <c r="AC456" s="24">
        <v>1.0</v>
      </c>
      <c r="AD456" s="24">
        <v>0.0</v>
      </c>
      <c r="AE456" s="24">
        <v>0.0</v>
      </c>
      <c r="AF456" s="24">
        <v>1.0</v>
      </c>
      <c r="AG456" s="24">
        <v>0.0</v>
      </c>
      <c r="AH456" s="24">
        <v>0.0</v>
      </c>
      <c r="AI456" s="24">
        <v>0.0</v>
      </c>
      <c r="AJ456" s="24">
        <v>0.0</v>
      </c>
      <c r="AK456" s="24">
        <v>0.0</v>
      </c>
      <c r="AL456" s="24">
        <v>0.0</v>
      </c>
      <c r="AM456" s="24">
        <v>0.0</v>
      </c>
      <c r="AN456" s="24">
        <v>0.0</v>
      </c>
      <c r="AO456" s="57">
        <v>14.3</v>
      </c>
      <c r="AP456" s="26"/>
      <c r="AQ456" s="26"/>
      <c r="AR456" s="26"/>
      <c r="AS456" s="26"/>
      <c r="AT456" s="26"/>
      <c r="AU456" s="26"/>
      <c r="AV456" s="26"/>
      <c r="AW456" s="26"/>
      <c r="AX456" s="26"/>
      <c r="AY456" s="26"/>
      <c r="AZ456" s="24">
        <v>12.7</v>
      </c>
      <c r="BA456" s="26"/>
      <c r="BB456" s="26"/>
      <c r="BC456" s="26"/>
      <c r="BD456" s="26"/>
      <c r="BE456" s="26"/>
      <c r="BF456" s="26"/>
      <c r="BG456" s="26"/>
      <c r="BH456" s="26"/>
      <c r="BI456" s="24">
        <v>16.13</v>
      </c>
      <c r="BJ456" s="26"/>
      <c r="BK456" s="26"/>
      <c r="BL456" s="24">
        <v>13.97</v>
      </c>
      <c r="BM456" s="26"/>
      <c r="BN456" s="26"/>
      <c r="BO456" s="26"/>
      <c r="BP456" s="24">
        <v>0.84</v>
      </c>
      <c r="BQ456" s="24">
        <v>4.44</v>
      </c>
      <c r="BR456" s="24">
        <v>5.09</v>
      </c>
      <c r="BS456" s="55">
        <v>3.78</v>
      </c>
      <c r="BT456" s="77">
        <v>12.7</v>
      </c>
      <c r="BU456" s="55">
        <v>3.1</v>
      </c>
      <c r="BV456" s="57">
        <v>4.22</v>
      </c>
      <c r="BW456" s="26"/>
      <c r="BX456" s="24">
        <v>3000.0</v>
      </c>
      <c r="BY456" s="24" t="s">
        <v>123</v>
      </c>
      <c r="BZ456" s="28">
        <v>3000.0</v>
      </c>
      <c r="CA456" s="72"/>
      <c r="CB456" s="30">
        <v>3000.0</v>
      </c>
      <c r="CC456" s="31"/>
      <c r="CD456" s="28">
        <v>3000.0</v>
      </c>
      <c r="CE456" s="32" t="e">
        <v>#REF!</v>
      </c>
      <c r="CF456" s="33"/>
      <c r="CG456" s="34">
        <v>0.0</v>
      </c>
      <c r="CH456" s="35">
        <v>0.0</v>
      </c>
      <c r="CI456" s="36">
        <v>3.0</v>
      </c>
      <c r="CJ456" s="36">
        <v>2651.0</v>
      </c>
      <c r="CK456" s="37">
        <v>0.0</v>
      </c>
      <c r="CL456" s="36">
        <v>2651.0</v>
      </c>
      <c r="CM456" s="38">
        <v>43.0</v>
      </c>
      <c r="CN456" s="36">
        <v>0.0</v>
      </c>
      <c r="CO456" s="39">
        <v>14.3</v>
      </c>
      <c r="CP456" s="40">
        <v>0.0</v>
      </c>
      <c r="CQ456" s="36">
        <v>3.0</v>
      </c>
      <c r="CR456" s="36">
        <v>3.0</v>
      </c>
      <c r="CS456" s="36">
        <v>11.0</v>
      </c>
      <c r="CT456" s="41"/>
      <c r="CU456" s="42"/>
      <c r="CV456" s="43"/>
      <c r="CW456" s="44">
        <v>10.0</v>
      </c>
      <c r="CX456" s="44" t="s">
        <v>138</v>
      </c>
      <c r="CY456" s="44" t="s">
        <v>139</v>
      </c>
      <c r="CZ456" s="45"/>
      <c r="DA456" s="44">
        <v>3000.0</v>
      </c>
      <c r="DB456" s="44">
        <v>0.0</v>
      </c>
      <c r="DC456" s="43"/>
      <c r="DD456" s="78"/>
      <c r="DE456" s="43"/>
      <c r="DF456" s="43"/>
      <c r="DG456" s="48" t="s">
        <v>128</v>
      </c>
      <c r="DH456" s="48" t="s">
        <v>128</v>
      </c>
      <c r="DI456" s="48" t="s">
        <v>128</v>
      </c>
      <c r="DJ456" s="49">
        <v>0.0</v>
      </c>
      <c r="DK456" s="48" t="b">
        <v>0</v>
      </c>
      <c r="DL456" s="50" t="s">
        <v>1140</v>
      </c>
      <c r="DM456" s="50" t="s">
        <v>128</v>
      </c>
      <c r="DN456" s="50" t="s">
        <v>1141</v>
      </c>
      <c r="DO456" s="49">
        <v>0.86</v>
      </c>
      <c r="DP456" s="48" t="s">
        <v>128</v>
      </c>
      <c r="DQ456" s="48" t="s">
        <v>128</v>
      </c>
      <c r="DR456" s="51"/>
      <c r="DS456" s="48" t="s">
        <v>134</v>
      </c>
    </row>
    <row r="457">
      <c r="A457" s="52" t="s">
        <v>118</v>
      </c>
      <c r="B457" s="53">
        <v>4.0</v>
      </c>
      <c r="C457" s="52" t="s">
        <v>1123</v>
      </c>
      <c r="D457" s="53">
        <v>536832.0</v>
      </c>
      <c r="E457" s="52" t="s">
        <v>158</v>
      </c>
      <c r="F457" s="52" t="s">
        <v>1148</v>
      </c>
      <c r="G457" s="52" t="s">
        <v>1149</v>
      </c>
      <c r="H457" s="53">
        <v>45058.0</v>
      </c>
      <c r="I457" s="53">
        <v>25.0</v>
      </c>
      <c r="J457" s="53">
        <v>0.0</v>
      </c>
      <c r="K457" s="53">
        <v>0.0</v>
      </c>
      <c r="L457" s="53">
        <v>0.0</v>
      </c>
      <c r="M457" s="53">
        <v>0.0</v>
      </c>
      <c r="N457" s="53">
        <v>1.0</v>
      </c>
      <c r="O457" s="53">
        <v>0.0</v>
      </c>
      <c r="P457" s="53">
        <v>0.0</v>
      </c>
      <c r="Q457" s="53">
        <v>3.0</v>
      </c>
      <c r="R457" s="53">
        <v>0.0</v>
      </c>
      <c r="S457" s="53">
        <v>0.0</v>
      </c>
      <c r="T457" s="53">
        <v>2.0</v>
      </c>
      <c r="U457" s="53">
        <v>0.0</v>
      </c>
      <c r="V457" s="53">
        <v>1.0</v>
      </c>
      <c r="W457" s="53">
        <v>0.0</v>
      </c>
      <c r="X457" s="53">
        <v>1.0</v>
      </c>
      <c r="Y457" s="53">
        <v>1.0</v>
      </c>
      <c r="Z457" s="53">
        <v>0.0</v>
      </c>
      <c r="AA457" s="53">
        <v>0.0</v>
      </c>
      <c r="AB457" s="53">
        <v>2.0</v>
      </c>
      <c r="AC457" s="53">
        <v>2.0</v>
      </c>
      <c r="AD457" s="53">
        <v>2.0</v>
      </c>
      <c r="AE457" s="53">
        <v>2.0</v>
      </c>
      <c r="AF457" s="53">
        <v>0.0</v>
      </c>
      <c r="AG457" s="53">
        <v>0.0</v>
      </c>
      <c r="AH457" s="53">
        <v>1.0</v>
      </c>
      <c r="AI457" s="53">
        <v>0.0</v>
      </c>
      <c r="AJ457" s="53">
        <v>4.0</v>
      </c>
      <c r="AK457" s="53">
        <v>1.0</v>
      </c>
      <c r="AL457" s="53">
        <v>0.0</v>
      </c>
      <c r="AM457" s="53">
        <v>0.0</v>
      </c>
      <c r="AN457" s="53">
        <v>2.0</v>
      </c>
      <c r="AO457" s="25">
        <v>17.1</v>
      </c>
      <c r="AP457" s="54"/>
      <c r="AQ457" s="54"/>
      <c r="AR457" s="54"/>
      <c r="AS457" s="54"/>
      <c r="AT457" s="53">
        <v>0.0</v>
      </c>
      <c r="AU457" s="54"/>
      <c r="AV457" s="54"/>
      <c r="AW457" s="53">
        <v>14.51</v>
      </c>
      <c r="AX457" s="54"/>
      <c r="AY457" s="54"/>
      <c r="AZ457" s="53">
        <v>13.66</v>
      </c>
      <c r="BA457" s="54"/>
      <c r="BB457" s="53">
        <v>12.23</v>
      </c>
      <c r="BC457" s="54"/>
      <c r="BD457" s="53">
        <v>10.87</v>
      </c>
      <c r="BE457" s="53">
        <v>21.2</v>
      </c>
      <c r="BF457" s="54"/>
      <c r="BG457" s="54"/>
      <c r="BH457" s="53">
        <v>17.1</v>
      </c>
      <c r="BI457" s="53">
        <v>20.91</v>
      </c>
      <c r="BJ457" s="53">
        <v>20.43</v>
      </c>
      <c r="BK457" s="53">
        <v>20.97</v>
      </c>
      <c r="BL457" s="54"/>
      <c r="BM457" s="54"/>
      <c r="BN457" s="53">
        <v>20.68</v>
      </c>
      <c r="BO457" s="53">
        <v>0.3</v>
      </c>
      <c r="BP457" s="53">
        <v>0.9</v>
      </c>
      <c r="BQ457" s="53">
        <v>5.15</v>
      </c>
      <c r="BR457" s="53">
        <v>5.85</v>
      </c>
      <c r="BS457" s="55">
        <v>3.76</v>
      </c>
      <c r="BT457" s="91">
        <v>15.1</v>
      </c>
      <c r="BU457" s="57">
        <v>2.3</v>
      </c>
      <c r="BV457" s="55">
        <v>6.24</v>
      </c>
      <c r="BW457" s="53">
        <v>1800.0</v>
      </c>
      <c r="BX457" s="53">
        <v>3000.0</v>
      </c>
      <c r="BY457" s="53" t="s">
        <v>123</v>
      </c>
      <c r="BZ457" s="58">
        <v>3000.0</v>
      </c>
      <c r="CA457" s="72"/>
      <c r="CB457" s="30">
        <v>3000.0</v>
      </c>
      <c r="CC457" s="31"/>
      <c r="CD457" s="58">
        <v>3000.0</v>
      </c>
      <c r="CE457" s="59" t="e">
        <v>#REF!</v>
      </c>
      <c r="CF457" s="60"/>
      <c r="CG457" s="61">
        <v>0.0</v>
      </c>
      <c r="CH457" s="62">
        <v>0.0</v>
      </c>
      <c r="CI457" s="63">
        <v>25.0</v>
      </c>
      <c r="CJ457" s="63">
        <v>2651.0</v>
      </c>
      <c r="CK457" s="64">
        <v>0.0</v>
      </c>
      <c r="CL457" s="63">
        <v>2651.0</v>
      </c>
      <c r="CM457" s="65">
        <v>428.0</v>
      </c>
      <c r="CN457" s="63">
        <v>0.0</v>
      </c>
      <c r="CO457" s="66">
        <v>17.1</v>
      </c>
      <c r="CP457" s="67">
        <v>0.0</v>
      </c>
      <c r="CQ457" s="63">
        <v>23.0</v>
      </c>
      <c r="CR457" s="63">
        <v>23.0</v>
      </c>
      <c r="CS457" s="63">
        <v>94.0</v>
      </c>
      <c r="CT457" s="68"/>
      <c r="CU457" s="69"/>
      <c r="CV457" s="70"/>
      <c r="CW457" s="71">
        <v>10.0</v>
      </c>
      <c r="CX457" s="71" t="s">
        <v>138</v>
      </c>
      <c r="CY457" s="71" t="s">
        <v>139</v>
      </c>
      <c r="CZ457" s="45"/>
      <c r="DA457" s="44">
        <v>3000.0</v>
      </c>
      <c r="DB457" s="44">
        <v>0.0</v>
      </c>
      <c r="DC457" s="46" t="s">
        <v>127</v>
      </c>
      <c r="DD457" s="47">
        <v>46191.0</v>
      </c>
      <c r="DE457" s="43"/>
      <c r="DF457" s="43"/>
      <c r="DG457" s="48" t="s">
        <v>128</v>
      </c>
      <c r="DH457" s="48" t="s">
        <v>128</v>
      </c>
      <c r="DI457" s="48" t="s">
        <v>128</v>
      </c>
      <c r="DJ457" s="49">
        <v>1.0</v>
      </c>
      <c r="DK457" s="48" t="b">
        <v>1</v>
      </c>
      <c r="DL457" s="50" t="s">
        <v>1140</v>
      </c>
      <c r="DM457" s="50" t="s">
        <v>128</v>
      </c>
      <c r="DN457" s="50" t="s">
        <v>1141</v>
      </c>
      <c r="DO457" s="49">
        <v>0.86</v>
      </c>
      <c r="DP457" s="48" t="s">
        <v>128</v>
      </c>
      <c r="DQ457" s="48" t="s">
        <v>128</v>
      </c>
      <c r="DR457" s="51"/>
      <c r="DS457" s="48" t="s">
        <v>134</v>
      </c>
    </row>
    <row r="458">
      <c r="A458" s="23" t="s">
        <v>118</v>
      </c>
      <c r="B458" s="24">
        <v>4.0</v>
      </c>
      <c r="C458" s="23" t="s">
        <v>1123</v>
      </c>
      <c r="D458" s="24">
        <v>680607.0</v>
      </c>
      <c r="E458" s="23" t="s">
        <v>246</v>
      </c>
      <c r="F458" s="23" t="s">
        <v>1150</v>
      </c>
      <c r="G458" s="23" t="s">
        <v>1151</v>
      </c>
      <c r="H458" s="24">
        <v>45058.0</v>
      </c>
      <c r="I458" s="24">
        <v>4.0</v>
      </c>
      <c r="J458" s="24">
        <v>0.0</v>
      </c>
      <c r="K458" s="24">
        <v>0.0</v>
      </c>
      <c r="L458" s="24">
        <v>0.0</v>
      </c>
      <c r="M458" s="24">
        <v>0.0</v>
      </c>
      <c r="N458" s="24">
        <v>0.0</v>
      </c>
      <c r="O458" s="24">
        <v>0.0</v>
      </c>
      <c r="P458" s="24">
        <v>0.0</v>
      </c>
      <c r="Q458" s="24">
        <v>0.0</v>
      </c>
      <c r="R458" s="24">
        <v>0.0</v>
      </c>
      <c r="S458" s="24">
        <v>0.0</v>
      </c>
      <c r="T458" s="24">
        <v>0.0</v>
      </c>
      <c r="U458" s="24">
        <v>0.0</v>
      </c>
      <c r="V458" s="24">
        <v>0.0</v>
      </c>
      <c r="W458" s="24">
        <v>0.0</v>
      </c>
      <c r="X458" s="24">
        <v>0.0</v>
      </c>
      <c r="Y458" s="24">
        <v>0.0</v>
      </c>
      <c r="Z458" s="24">
        <v>0.0</v>
      </c>
      <c r="AA458" s="24">
        <v>0.0</v>
      </c>
      <c r="AB458" s="24">
        <v>0.0</v>
      </c>
      <c r="AC458" s="24">
        <v>0.0</v>
      </c>
      <c r="AD458" s="24">
        <v>0.0</v>
      </c>
      <c r="AE458" s="24">
        <v>0.0</v>
      </c>
      <c r="AF458" s="24">
        <v>0.0</v>
      </c>
      <c r="AG458" s="24">
        <v>0.0</v>
      </c>
      <c r="AH458" s="24">
        <v>0.0</v>
      </c>
      <c r="AI458" s="24">
        <v>0.0</v>
      </c>
      <c r="AJ458" s="24">
        <v>0.0</v>
      </c>
      <c r="AK458" s="24">
        <v>2.0</v>
      </c>
      <c r="AL458" s="24">
        <v>1.0</v>
      </c>
      <c r="AM458" s="24">
        <v>0.0</v>
      </c>
      <c r="AN458" s="24">
        <v>1.0</v>
      </c>
      <c r="AO458" s="25">
        <v>17.8</v>
      </c>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4">
        <v>0.3</v>
      </c>
      <c r="BP458" s="24">
        <v>0.58</v>
      </c>
      <c r="BQ458" s="24">
        <v>4.64</v>
      </c>
      <c r="BR458" s="24">
        <v>5.03</v>
      </c>
      <c r="BS458" s="55">
        <v>3.38</v>
      </c>
      <c r="BT458" s="91">
        <v>16.0</v>
      </c>
      <c r="BU458" s="55">
        <v>3.5</v>
      </c>
      <c r="BV458" s="25">
        <v>7.23</v>
      </c>
      <c r="BW458" s="26"/>
      <c r="BX458" s="24">
        <v>3000.0</v>
      </c>
      <c r="BY458" s="24" t="s">
        <v>123</v>
      </c>
      <c r="BZ458" s="28">
        <v>3000.0</v>
      </c>
      <c r="CA458" s="72"/>
      <c r="CB458" s="30">
        <v>3000.0</v>
      </c>
      <c r="CC458" s="31"/>
      <c r="CD458" s="28">
        <v>3000.0</v>
      </c>
      <c r="CE458" s="32" t="e">
        <v>#REF!</v>
      </c>
      <c r="CF458" s="33"/>
      <c r="CG458" s="34">
        <v>0.0</v>
      </c>
      <c r="CH458" s="35">
        <v>0.0</v>
      </c>
      <c r="CI458" s="36">
        <v>4.0</v>
      </c>
      <c r="CJ458" s="36">
        <v>2651.0</v>
      </c>
      <c r="CK458" s="37">
        <v>0.0</v>
      </c>
      <c r="CL458" s="36">
        <v>2651.0</v>
      </c>
      <c r="CM458" s="38">
        <v>71.0</v>
      </c>
      <c r="CN458" s="36">
        <v>0.0</v>
      </c>
      <c r="CO458" s="39">
        <v>17.8</v>
      </c>
      <c r="CP458" s="40">
        <v>0.0</v>
      </c>
      <c r="CQ458" s="36">
        <v>2.0</v>
      </c>
      <c r="CR458" s="36">
        <v>2.0</v>
      </c>
      <c r="CS458" s="36">
        <v>14.0</v>
      </c>
      <c r="CT458" s="41"/>
      <c r="CU458" s="42"/>
      <c r="CV458" s="43"/>
      <c r="CW458" s="44">
        <v>10.0</v>
      </c>
      <c r="CX458" s="44" t="s">
        <v>138</v>
      </c>
      <c r="CY458" s="44" t="s">
        <v>139</v>
      </c>
      <c r="CZ458" s="45"/>
      <c r="DA458" s="44">
        <v>3000.0</v>
      </c>
      <c r="DB458" s="44">
        <v>0.0</v>
      </c>
      <c r="DC458" s="46" t="s">
        <v>127</v>
      </c>
      <c r="DD458" s="47">
        <v>46233.0</v>
      </c>
      <c r="DE458" s="43"/>
      <c r="DF458" s="43"/>
      <c r="DG458" s="48" t="s">
        <v>128</v>
      </c>
      <c r="DH458" s="48" t="s">
        <v>128</v>
      </c>
      <c r="DI458" s="48" t="s">
        <v>128</v>
      </c>
      <c r="DJ458" s="49">
        <v>0.0</v>
      </c>
      <c r="DK458" s="48" t="b">
        <v>0</v>
      </c>
      <c r="DL458" s="50" t="s">
        <v>1140</v>
      </c>
      <c r="DM458" s="50" t="s">
        <v>128</v>
      </c>
      <c r="DN458" s="50" t="s">
        <v>1141</v>
      </c>
      <c r="DO458" s="49">
        <v>0.86</v>
      </c>
      <c r="DP458" s="48" t="s">
        <v>128</v>
      </c>
      <c r="DQ458" s="48" t="s">
        <v>128</v>
      </c>
      <c r="DR458" s="51"/>
      <c r="DS458" s="48" t="s">
        <v>134</v>
      </c>
    </row>
    <row r="459">
      <c r="A459" s="52" t="s">
        <v>118</v>
      </c>
      <c r="B459" s="53">
        <v>4.0</v>
      </c>
      <c r="C459" s="52" t="s">
        <v>1123</v>
      </c>
      <c r="D459" s="53">
        <v>558730.0</v>
      </c>
      <c r="E459" s="52" t="s">
        <v>148</v>
      </c>
      <c r="F459" s="52" t="s">
        <v>1152</v>
      </c>
      <c r="G459" s="52" t="s">
        <v>1153</v>
      </c>
      <c r="H459" s="53">
        <v>45058.0</v>
      </c>
      <c r="I459" s="53">
        <v>12.0</v>
      </c>
      <c r="J459" s="53">
        <v>0.0</v>
      </c>
      <c r="K459" s="53">
        <v>0.0</v>
      </c>
      <c r="L459" s="53">
        <v>0.0</v>
      </c>
      <c r="M459" s="53">
        <v>0.0</v>
      </c>
      <c r="N459" s="53">
        <v>0.0</v>
      </c>
      <c r="O459" s="53">
        <v>0.0</v>
      </c>
      <c r="P459" s="53">
        <v>1.0</v>
      </c>
      <c r="Q459" s="53">
        <v>0.0</v>
      </c>
      <c r="R459" s="53">
        <v>2.0</v>
      </c>
      <c r="S459" s="53">
        <v>0.0</v>
      </c>
      <c r="T459" s="53">
        <v>0.0</v>
      </c>
      <c r="U459" s="53">
        <v>1.0</v>
      </c>
      <c r="V459" s="53">
        <v>0.0</v>
      </c>
      <c r="W459" s="53">
        <v>0.0</v>
      </c>
      <c r="X459" s="53">
        <v>0.0</v>
      </c>
      <c r="Y459" s="53">
        <v>1.0</v>
      </c>
      <c r="Z459" s="53">
        <v>1.0</v>
      </c>
      <c r="AA459" s="53">
        <v>0.0</v>
      </c>
      <c r="AB459" s="53">
        <v>1.0</v>
      </c>
      <c r="AC459" s="53">
        <v>1.0</v>
      </c>
      <c r="AD459" s="53">
        <v>3.0</v>
      </c>
      <c r="AE459" s="53">
        <v>0.0</v>
      </c>
      <c r="AF459" s="53">
        <v>1.0</v>
      </c>
      <c r="AG459" s="53">
        <v>0.0</v>
      </c>
      <c r="AH459" s="53">
        <v>0.0</v>
      </c>
      <c r="AI459" s="53">
        <v>0.0</v>
      </c>
      <c r="AJ459" s="53">
        <v>0.0</v>
      </c>
      <c r="AK459" s="53">
        <v>0.0</v>
      </c>
      <c r="AL459" s="53">
        <v>0.0</v>
      </c>
      <c r="AM459" s="53">
        <v>0.0</v>
      </c>
      <c r="AN459" s="53">
        <v>0.0</v>
      </c>
      <c r="AO459" s="55">
        <v>16.7</v>
      </c>
      <c r="AP459" s="54"/>
      <c r="AQ459" s="54"/>
      <c r="AR459" s="54"/>
      <c r="AS459" s="54"/>
      <c r="AT459" s="54"/>
      <c r="AU459" s="54"/>
      <c r="AV459" s="53">
        <v>19.05</v>
      </c>
      <c r="AW459" s="54"/>
      <c r="AX459" s="53">
        <v>13.37</v>
      </c>
      <c r="AY459" s="54"/>
      <c r="AZ459" s="54"/>
      <c r="BA459" s="53">
        <v>20.68</v>
      </c>
      <c r="BB459" s="54"/>
      <c r="BC459" s="54"/>
      <c r="BD459" s="54"/>
      <c r="BE459" s="53">
        <v>22.95</v>
      </c>
      <c r="BF459" s="53">
        <v>14.7</v>
      </c>
      <c r="BG459" s="54"/>
      <c r="BH459" s="53">
        <v>14.9</v>
      </c>
      <c r="BI459" s="53">
        <v>18.0</v>
      </c>
      <c r="BJ459" s="53">
        <v>15.47</v>
      </c>
      <c r="BK459" s="54"/>
      <c r="BL459" s="53">
        <v>16.95</v>
      </c>
      <c r="BM459" s="54"/>
      <c r="BN459" s="54"/>
      <c r="BO459" s="54"/>
      <c r="BP459" s="53">
        <v>0.87</v>
      </c>
      <c r="BQ459" s="53">
        <v>5.59</v>
      </c>
      <c r="BR459" s="53">
        <v>6.25</v>
      </c>
      <c r="BS459" s="55">
        <v>3.38</v>
      </c>
      <c r="BT459" s="91">
        <v>16.4</v>
      </c>
      <c r="BU459" s="55">
        <v>3.3</v>
      </c>
      <c r="BV459" s="57">
        <v>5.26</v>
      </c>
      <c r="BW459" s="54"/>
      <c r="BX459" s="53">
        <v>3000.0</v>
      </c>
      <c r="BY459" s="53" t="s">
        <v>123</v>
      </c>
      <c r="BZ459" s="58">
        <v>3000.0</v>
      </c>
      <c r="CA459" s="72"/>
      <c r="CB459" s="30">
        <v>3000.0</v>
      </c>
      <c r="CC459" s="31"/>
      <c r="CD459" s="58">
        <v>3000.0</v>
      </c>
      <c r="CE459" s="59" t="e">
        <v>#REF!</v>
      </c>
      <c r="CF459" s="60"/>
      <c r="CG459" s="61">
        <v>0.0</v>
      </c>
      <c r="CH459" s="62">
        <v>0.0</v>
      </c>
      <c r="CI459" s="63">
        <v>12.0</v>
      </c>
      <c r="CJ459" s="63">
        <v>2651.0</v>
      </c>
      <c r="CK459" s="64">
        <v>0.0</v>
      </c>
      <c r="CL459" s="63">
        <v>2651.0</v>
      </c>
      <c r="CM459" s="65">
        <v>200.0</v>
      </c>
      <c r="CN459" s="63">
        <v>0.0</v>
      </c>
      <c r="CO459" s="66">
        <v>16.7</v>
      </c>
      <c r="CP459" s="67">
        <v>0.0</v>
      </c>
      <c r="CQ459" s="63">
        <v>10.0</v>
      </c>
      <c r="CR459" s="63">
        <v>10.0</v>
      </c>
      <c r="CS459" s="63">
        <v>41.0</v>
      </c>
      <c r="CT459" s="68"/>
      <c r="CU459" s="69"/>
      <c r="CV459" s="70"/>
      <c r="CW459" s="71">
        <v>10.0</v>
      </c>
      <c r="CX459" s="71" t="s">
        <v>138</v>
      </c>
      <c r="CY459" s="71" t="s">
        <v>139</v>
      </c>
      <c r="CZ459" s="45"/>
      <c r="DA459" s="44">
        <v>3000.0</v>
      </c>
      <c r="DB459" s="44">
        <v>0.0</v>
      </c>
      <c r="DC459" s="46" t="s">
        <v>127</v>
      </c>
      <c r="DD459" s="47">
        <v>46197.0</v>
      </c>
      <c r="DE459" s="43"/>
      <c r="DF459" s="43"/>
      <c r="DG459" s="48" t="s">
        <v>128</v>
      </c>
      <c r="DH459" s="48" t="s">
        <v>128</v>
      </c>
      <c r="DI459" s="48" t="s">
        <v>128</v>
      </c>
      <c r="DJ459" s="49">
        <v>1.0</v>
      </c>
      <c r="DK459" s="48" t="b">
        <v>0</v>
      </c>
      <c r="DL459" s="50" t="s">
        <v>1140</v>
      </c>
      <c r="DM459" s="50" t="s">
        <v>128</v>
      </c>
      <c r="DN459" s="50" t="s">
        <v>1141</v>
      </c>
      <c r="DO459" s="49">
        <v>0.86</v>
      </c>
      <c r="DP459" s="48" t="s">
        <v>128</v>
      </c>
      <c r="DQ459" s="48" t="s">
        <v>128</v>
      </c>
      <c r="DR459" s="51"/>
      <c r="DS459" s="48" t="s">
        <v>134</v>
      </c>
    </row>
    <row r="460">
      <c r="A460" s="23" t="s">
        <v>118</v>
      </c>
      <c r="B460" s="24">
        <v>4.0</v>
      </c>
      <c r="C460" s="23" t="s">
        <v>1123</v>
      </c>
      <c r="D460" s="24">
        <v>640888.0</v>
      </c>
      <c r="E460" s="23" t="s">
        <v>161</v>
      </c>
      <c r="F460" s="23" t="s">
        <v>1154</v>
      </c>
      <c r="G460" s="23" t="s">
        <v>1155</v>
      </c>
      <c r="H460" s="24">
        <v>45058.0</v>
      </c>
      <c r="I460" s="24">
        <v>2.0</v>
      </c>
      <c r="J460" s="24">
        <v>0.0</v>
      </c>
      <c r="K460" s="24">
        <v>0.0</v>
      </c>
      <c r="L460" s="24">
        <v>0.0</v>
      </c>
      <c r="M460" s="24">
        <v>0.0</v>
      </c>
      <c r="N460" s="24">
        <v>0.0</v>
      </c>
      <c r="O460" s="24">
        <v>0.0</v>
      </c>
      <c r="P460" s="24">
        <v>0.0</v>
      </c>
      <c r="Q460" s="24">
        <v>0.0</v>
      </c>
      <c r="R460" s="24">
        <v>0.0</v>
      </c>
      <c r="S460" s="24">
        <v>0.0</v>
      </c>
      <c r="T460" s="24">
        <v>0.0</v>
      </c>
      <c r="U460" s="24">
        <v>1.0</v>
      </c>
      <c r="V460" s="24">
        <v>0.0</v>
      </c>
      <c r="W460" s="24">
        <v>0.0</v>
      </c>
      <c r="X460" s="24">
        <v>0.0</v>
      </c>
      <c r="Y460" s="24">
        <v>0.0</v>
      </c>
      <c r="Z460" s="24">
        <v>0.0</v>
      </c>
      <c r="AA460" s="24">
        <v>0.0</v>
      </c>
      <c r="AB460" s="24">
        <v>0.0</v>
      </c>
      <c r="AC460" s="24">
        <v>1.0</v>
      </c>
      <c r="AD460" s="24">
        <v>0.0</v>
      </c>
      <c r="AE460" s="24">
        <v>0.0</v>
      </c>
      <c r="AF460" s="24">
        <v>0.0</v>
      </c>
      <c r="AG460" s="24">
        <v>0.0</v>
      </c>
      <c r="AH460" s="24">
        <v>0.0</v>
      </c>
      <c r="AI460" s="24">
        <v>0.0</v>
      </c>
      <c r="AJ460" s="24">
        <v>0.0</v>
      </c>
      <c r="AK460" s="24">
        <v>0.0</v>
      </c>
      <c r="AL460" s="24">
        <v>0.0</v>
      </c>
      <c r="AM460" s="24">
        <v>0.0</v>
      </c>
      <c r="AN460" s="24">
        <v>0.0</v>
      </c>
      <c r="AO460" s="55">
        <v>15.2</v>
      </c>
      <c r="AP460" s="26"/>
      <c r="AQ460" s="26"/>
      <c r="AR460" s="26"/>
      <c r="AS460" s="26"/>
      <c r="AT460" s="26"/>
      <c r="AU460" s="26"/>
      <c r="AV460" s="26"/>
      <c r="AW460" s="26"/>
      <c r="AX460" s="26"/>
      <c r="AY460" s="26"/>
      <c r="AZ460" s="26"/>
      <c r="BA460" s="24">
        <v>16.15</v>
      </c>
      <c r="BB460" s="26"/>
      <c r="BC460" s="26"/>
      <c r="BD460" s="26"/>
      <c r="BE460" s="26"/>
      <c r="BF460" s="26"/>
      <c r="BG460" s="26"/>
      <c r="BH460" s="26"/>
      <c r="BI460" s="24">
        <v>14.17</v>
      </c>
      <c r="BJ460" s="26"/>
      <c r="BK460" s="26"/>
      <c r="BL460" s="26"/>
      <c r="BM460" s="26"/>
      <c r="BN460" s="26"/>
      <c r="BO460" s="26"/>
      <c r="BP460" s="24">
        <v>0.74</v>
      </c>
      <c r="BQ460" s="24">
        <v>5.08</v>
      </c>
      <c r="BR460" s="24">
        <v>5.63</v>
      </c>
      <c r="BS460" s="55">
        <v>3.3</v>
      </c>
      <c r="BT460" s="77">
        <v>14.2</v>
      </c>
      <c r="BU460" s="57">
        <v>1.4</v>
      </c>
      <c r="BV460" s="57">
        <v>4.95</v>
      </c>
      <c r="BW460" s="26"/>
      <c r="BX460" s="24">
        <v>3000.0</v>
      </c>
      <c r="BY460" s="24" t="s">
        <v>123</v>
      </c>
      <c r="BZ460" s="28">
        <v>3000.0</v>
      </c>
      <c r="CA460" s="72"/>
      <c r="CB460" s="30">
        <v>3000.0</v>
      </c>
      <c r="CC460" s="31"/>
      <c r="CD460" s="28">
        <v>3000.0</v>
      </c>
      <c r="CE460" s="32" t="e">
        <v>#REF!</v>
      </c>
      <c r="CF460" s="33"/>
      <c r="CG460" s="34">
        <v>0.0</v>
      </c>
      <c r="CH460" s="35">
        <v>0.0</v>
      </c>
      <c r="CI460" s="36">
        <v>2.0</v>
      </c>
      <c r="CJ460" s="36">
        <v>2651.0</v>
      </c>
      <c r="CK460" s="37">
        <v>0.0</v>
      </c>
      <c r="CL460" s="36">
        <v>2651.0</v>
      </c>
      <c r="CM460" s="38">
        <v>30.0</v>
      </c>
      <c r="CN460" s="36">
        <v>0.0</v>
      </c>
      <c r="CO460" s="39">
        <v>15.2</v>
      </c>
      <c r="CP460" s="40">
        <v>0.0</v>
      </c>
      <c r="CQ460" s="36">
        <v>1.0</v>
      </c>
      <c r="CR460" s="36">
        <v>1.0</v>
      </c>
      <c r="CS460" s="36">
        <v>7.0</v>
      </c>
      <c r="CT460" s="41"/>
      <c r="CU460" s="42"/>
      <c r="CV460" s="43"/>
      <c r="CW460" s="44">
        <v>10.0</v>
      </c>
      <c r="CX460" s="44" t="s">
        <v>138</v>
      </c>
      <c r="CY460" s="44" t="s">
        <v>139</v>
      </c>
      <c r="CZ460" s="45"/>
      <c r="DA460" s="44">
        <v>3000.0</v>
      </c>
      <c r="DB460" s="44">
        <v>0.0</v>
      </c>
      <c r="DC460" s="43"/>
      <c r="DD460" s="78"/>
      <c r="DE460" s="43"/>
      <c r="DF460" s="43"/>
      <c r="DG460" s="48" t="s">
        <v>128</v>
      </c>
      <c r="DH460" s="48" t="s">
        <v>128</v>
      </c>
      <c r="DI460" s="48" t="s">
        <v>128</v>
      </c>
      <c r="DJ460" s="49">
        <v>0.0</v>
      </c>
      <c r="DK460" s="48" t="b">
        <v>0</v>
      </c>
      <c r="DL460" s="50" t="s">
        <v>1140</v>
      </c>
      <c r="DM460" s="50" t="s">
        <v>128</v>
      </c>
      <c r="DN460" s="50" t="s">
        <v>1141</v>
      </c>
      <c r="DO460" s="49">
        <v>0.86</v>
      </c>
      <c r="DP460" s="48" t="s">
        <v>128</v>
      </c>
      <c r="DQ460" s="48" t="s">
        <v>128</v>
      </c>
      <c r="DR460" s="51"/>
      <c r="DS460" s="48" t="s">
        <v>134</v>
      </c>
    </row>
    <row r="461">
      <c r="A461" s="52" t="s">
        <v>118</v>
      </c>
      <c r="B461" s="53">
        <v>4.0</v>
      </c>
      <c r="C461" s="52" t="s">
        <v>1123</v>
      </c>
      <c r="D461" s="53">
        <v>626041.0</v>
      </c>
      <c r="E461" s="52" t="s">
        <v>135</v>
      </c>
      <c r="F461" s="52" t="s">
        <v>1156</v>
      </c>
      <c r="G461" s="52" t="s">
        <v>1157</v>
      </c>
      <c r="H461" s="53">
        <v>45058.0</v>
      </c>
      <c r="I461" s="53">
        <v>15.0</v>
      </c>
      <c r="J461" s="53">
        <v>0.0</v>
      </c>
      <c r="K461" s="53">
        <v>0.0</v>
      </c>
      <c r="L461" s="53">
        <v>0.0</v>
      </c>
      <c r="M461" s="53">
        <v>0.0</v>
      </c>
      <c r="N461" s="53">
        <v>0.0</v>
      </c>
      <c r="O461" s="53">
        <v>1.0</v>
      </c>
      <c r="P461" s="53">
        <v>0.0</v>
      </c>
      <c r="Q461" s="53">
        <v>1.0</v>
      </c>
      <c r="R461" s="53">
        <v>0.0</v>
      </c>
      <c r="S461" s="53">
        <v>0.0</v>
      </c>
      <c r="T461" s="53">
        <v>0.0</v>
      </c>
      <c r="U461" s="53">
        <v>0.0</v>
      </c>
      <c r="V461" s="53">
        <v>0.0</v>
      </c>
      <c r="W461" s="53">
        <v>0.0</v>
      </c>
      <c r="X461" s="53">
        <v>0.0</v>
      </c>
      <c r="Y461" s="53">
        <v>1.0</v>
      </c>
      <c r="Z461" s="53">
        <v>0.0</v>
      </c>
      <c r="AA461" s="53">
        <v>0.0</v>
      </c>
      <c r="AB461" s="53">
        <v>2.0</v>
      </c>
      <c r="AC461" s="53">
        <v>3.0</v>
      </c>
      <c r="AD461" s="53">
        <v>1.0</v>
      </c>
      <c r="AE461" s="53">
        <v>0.0</v>
      </c>
      <c r="AF461" s="53">
        <v>1.0</v>
      </c>
      <c r="AG461" s="53">
        <v>1.0</v>
      </c>
      <c r="AH461" s="53">
        <v>1.0</v>
      </c>
      <c r="AI461" s="53">
        <v>3.0</v>
      </c>
      <c r="AJ461" s="53">
        <v>0.0</v>
      </c>
      <c r="AK461" s="53">
        <v>0.0</v>
      </c>
      <c r="AL461" s="53">
        <v>0.0</v>
      </c>
      <c r="AM461" s="53">
        <v>0.0</v>
      </c>
      <c r="AN461" s="53">
        <v>0.0</v>
      </c>
      <c r="AO461" s="25">
        <v>17.8</v>
      </c>
      <c r="AP461" s="54"/>
      <c r="AQ461" s="54"/>
      <c r="AR461" s="54"/>
      <c r="AS461" s="54"/>
      <c r="AT461" s="54"/>
      <c r="AU461" s="53">
        <v>14.03</v>
      </c>
      <c r="AV461" s="54"/>
      <c r="AW461" s="53">
        <v>18.92</v>
      </c>
      <c r="AX461" s="54"/>
      <c r="AY461" s="54"/>
      <c r="AZ461" s="54"/>
      <c r="BA461" s="54"/>
      <c r="BB461" s="54"/>
      <c r="BC461" s="54"/>
      <c r="BD461" s="54"/>
      <c r="BE461" s="53">
        <v>14.05</v>
      </c>
      <c r="BF461" s="54"/>
      <c r="BG461" s="54"/>
      <c r="BH461" s="53">
        <v>21.59</v>
      </c>
      <c r="BI461" s="53">
        <v>16.07</v>
      </c>
      <c r="BJ461" s="53">
        <v>15.9</v>
      </c>
      <c r="BK461" s="54"/>
      <c r="BL461" s="53">
        <v>20.3</v>
      </c>
      <c r="BM461" s="53">
        <v>20.18</v>
      </c>
      <c r="BN461" s="53">
        <v>15.75</v>
      </c>
      <c r="BO461" s="53">
        <v>0.31</v>
      </c>
      <c r="BP461" s="53">
        <v>2.03</v>
      </c>
      <c r="BQ461" s="53">
        <v>4.86</v>
      </c>
      <c r="BR461" s="53">
        <v>6.67</v>
      </c>
      <c r="BS461" s="55">
        <v>3.18</v>
      </c>
      <c r="BT461" s="56">
        <v>17.2</v>
      </c>
      <c r="BU461" s="55">
        <v>3.9</v>
      </c>
      <c r="BV461" s="55">
        <v>6.5</v>
      </c>
      <c r="BW461" s="54"/>
      <c r="BX461" s="53">
        <v>3000.0</v>
      </c>
      <c r="BY461" s="53" t="s">
        <v>123</v>
      </c>
      <c r="BZ461" s="58">
        <v>3000.0</v>
      </c>
      <c r="CA461" s="72"/>
      <c r="CB461" s="30">
        <v>3000.0</v>
      </c>
      <c r="CC461" s="31"/>
      <c r="CD461" s="58">
        <v>3000.0</v>
      </c>
      <c r="CE461" s="59" t="e">
        <v>#REF!</v>
      </c>
      <c r="CF461" s="60"/>
      <c r="CG461" s="61">
        <v>0.0</v>
      </c>
      <c r="CH461" s="62">
        <v>0.0</v>
      </c>
      <c r="CI461" s="63">
        <v>15.0</v>
      </c>
      <c r="CJ461" s="63">
        <v>2651.0</v>
      </c>
      <c r="CK461" s="64">
        <v>0.0</v>
      </c>
      <c r="CL461" s="63">
        <v>2651.0</v>
      </c>
      <c r="CM461" s="65">
        <v>267.0</v>
      </c>
      <c r="CN461" s="63">
        <v>0.0</v>
      </c>
      <c r="CO461" s="66">
        <v>17.8</v>
      </c>
      <c r="CP461" s="67">
        <v>0.0</v>
      </c>
      <c r="CQ461" s="63">
        <v>30.0</v>
      </c>
      <c r="CR461" s="63">
        <v>30.0</v>
      </c>
      <c r="CS461" s="63">
        <v>48.0</v>
      </c>
      <c r="CT461" s="68"/>
      <c r="CU461" s="69"/>
      <c r="CV461" s="70"/>
      <c r="CW461" s="71">
        <v>10.0</v>
      </c>
      <c r="CX461" s="71" t="s">
        <v>138</v>
      </c>
      <c r="CY461" s="71" t="s">
        <v>139</v>
      </c>
      <c r="CZ461" s="45"/>
      <c r="DA461" s="44">
        <v>3000.0</v>
      </c>
      <c r="DB461" s="44">
        <v>0.0</v>
      </c>
      <c r="DC461" s="46" t="s">
        <v>127</v>
      </c>
      <c r="DD461" s="47">
        <v>46218.0</v>
      </c>
      <c r="DE461" s="43"/>
      <c r="DF461" s="43"/>
      <c r="DG461" s="48" t="s">
        <v>128</v>
      </c>
      <c r="DH461" s="48" t="s">
        <v>128</v>
      </c>
      <c r="DI461" s="48" t="s">
        <v>128</v>
      </c>
      <c r="DJ461" s="49">
        <v>1.0</v>
      </c>
      <c r="DK461" s="48" t="b">
        <v>0</v>
      </c>
      <c r="DL461" s="50" t="s">
        <v>1140</v>
      </c>
      <c r="DM461" s="50" t="s">
        <v>128</v>
      </c>
      <c r="DN461" s="50" t="s">
        <v>1141</v>
      </c>
      <c r="DO461" s="49">
        <v>0.86</v>
      </c>
      <c r="DP461" s="48" t="s">
        <v>128</v>
      </c>
      <c r="DQ461" s="48" t="s">
        <v>128</v>
      </c>
      <c r="DR461" s="51"/>
      <c r="DS461" s="48" t="s">
        <v>134</v>
      </c>
    </row>
    <row r="462">
      <c r="A462" s="23" t="s">
        <v>118</v>
      </c>
      <c r="B462" s="24">
        <v>4.0</v>
      </c>
      <c r="C462" s="23" t="s">
        <v>1123</v>
      </c>
      <c r="D462" s="24">
        <v>642178.0</v>
      </c>
      <c r="E462" s="23" t="s">
        <v>205</v>
      </c>
      <c r="F462" s="23" t="s">
        <v>1158</v>
      </c>
      <c r="G462" s="23" t="s">
        <v>1159</v>
      </c>
      <c r="H462" s="24">
        <v>45058.0</v>
      </c>
      <c r="I462" s="24">
        <v>17.0</v>
      </c>
      <c r="J462" s="24">
        <v>0.0</v>
      </c>
      <c r="K462" s="24">
        <v>0.0</v>
      </c>
      <c r="L462" s="24">
        <v>0.0</v>
      </c>
      <c r="M462" s="24">
        <v>0.0</v>
      </c>
      <c r="N462" s="24">
        <v>0.0</v>
      </c>
      <c r="O462" s="24">
        <v>0.0</v>
      </c>
      <c r="P462" s="24">
        <v>0.0</v>
      </c>
      <c r="Q462" s="24">
        <v>0.0</v>
      </c>
      <c r="R462" s="24">
        <v>1.0</v>
      </c>
      <c r="S462" s="24">
        <v>0.0</v>
      </c>
      <c r="T462" s="24">
        <v>0.0</v>
      </c>
      <c r="U462" s="24">
        <v>0.0</v>
      </c>
      <c r="V462" s="24">
        <v>1.0</v>
      </c>
      <c r="W462" s="24">
        <v>1.0</v>
      </c>
      <c r="X462" s="24">
        <v>1.0</v>
      </c>
      <c r="Y462" s="24">
        <v>0.0</v>
      </c>
      <c r="Z462" s="24">
        <v>0.0</v>
      </c>
      <c r="AA462" s="24">
        <v>1.0</v>
      </c>
      <c r="AB462" s="24">
        <v>0.0</v>
      </c>
      <c r="AC462" s="24">
        <v>0.0</v>
      </c>
      <c r="AD462" s="24">
        <v>0.0</v>
      </c>
      <c r="AE462" s="24">
        <v>1.0</v>
      </c>
      <c r="AF462" s="24">
        <v>3.0</v>
      </c>
      <c r="AG462" s="24">
        <v>1.0</v>
      </c>
      <c r="AH462" s="24">
        <v>1.0</v>
      </c>
      <c r="AI462" s="24">
        <v>1.0</v>
      </c>
      <c r="AJ462" s="24">
        <v>2.0</v>
      </c>
      <c r="AK462" s="24">
        <v>1.0</v>
      </c>
      <c r="AL462" s="24">
        <v>1.0</v>
      </c>
      <c r="AM462" s="24">
        <v>1.0</v>
      </c>
      <c r="AN462" s="24">
        <v>0.0</v>
      </c>
      <c r="AO462" s="25">
        <v>19.2</v>
      </c>
      <c r="AP462" s="26"/>
      <c r="AQ462" s="26"/>
      <c r="AR462" s="26"/>
      <c r="AS462" s="26"/>
      <c r="AT462" s="26"/>
      <c r="AU462" s="26"/>
      <c r="AV462" s="26"/>
      <c r="AW462" s="26"/>
      <c r="AX462" s="24">
        <v>11.2</v>
      </c>
      <c r="AY462" s="26"/>
      <c r="AZ462" s="26"/>
      <c r="BA462" s="26"/>
      <c r="BB462" s="24">
        <v>20.2</v>
      </c>
      <c r="BC462" s="24">
        <v>11.0</v>
      </c>
      <c r="BD462" s="24">
        <v>26.45</v>
      </c>
      <c r="BE462" s="26"/>
      <c r="BF462" s="26"/>
      <c r="BG462" s="24">
        <v>17.88</v>
      </c>
      <c r="BH462" s="26"/>
      <c r="BI462" s="26"/>
      <c r="BJ462" s="26"/>
      <c r="BK462" s="24">
        <v>41.95</v>
      </c>
      <c r="BL462" s="24">
        <v>18.51</v>
      </c>
      <c r="BM462" s="24">
        <v>24.77</v>
      </c>
      <c r="BN462" s="24">
        <v>18.8</v>
      </c>
      <c r="BO462" s="24">
        <v>0.27</v>
      </c>
      <c r="BP462" s="24">
        <v>2.61</v>
      </c>
      <c r="BQ462" s="24">
        <v>6.6</v>
      </c>
      <c r="BR462" s="24">
        <v>9.0</v>
      </c>
      <c r="BS462" s="57">
        <v>2.98</v>
      </c>
      <c r="BT462" s="91">
        <v>15.3</v>
      </c>
      <c r="BU462" s="57">
        <v>2.1</v>
      </c>
      <c r="BV462" s="57">
        <v>5.29</v>
      </c>
      <c r="BW462" s="24">
        <v>2100.0</v>
      </c>
      <c r="BX462" s="24">
        <v>3000.0</v>
      </c>
      <c r="BY462" s="24" t="s">
        <v>123</v>
      </c>
      <c r="BZ462" s="28">
        <v>3000.0</v>
      </c>
      <c r="CA462" s="72"/>
      <c r="CB462" s="30">
        <v>3000.0</v>
      </c>
      <c r="CC462" s="31"/>
      <c r="CD462" s="28">
        <v>3000.0</v>
      </c>
      <c r="CE462" s="32" t="e">
        <v>#REF!</v>
      </c>
      <c r="CF462" s="33"/>
      <c r="CG462" s="34">
        <v>0.0</v>
      </c>
      <c r="CH462" s="35">
        <v>0.0</v>
      </c>
      <c r="CI462" s="36">
        <v>17.0</v>
      </c>
      <c r="CJ462" s="36">
        <v>2651.0</v>
      </c>
      <c r="CK462" s="37">
        <v>0.0</v>
      </c>
      <c r="CL462" s="36">
        <v>2651.0</v>
      </c>
      <c r="CM462" s="38">
        <v>326.0</v>
      </c>
      <c r="CN462" s="36">
        <v>0.0</v>
      </c>
      <c r="CO462" s="39">
        <v>19.2</v>
      </c>
      <c r="CP462" s="40">
        <v>0.0</v>
      </c>
      <c r="CQ462" s="36">
        <v>44.0</v>
      </c>
      <c r="CR462" s="36">
        <v>44.0</v>
      </c>
      <c r="CS462" s="36">
        <v>51.0</v>
      </c>
      <c r="CT462" s="41"/>
      <c r="CU462" s="42"/>
      <c r="CV462" s="43"/>
      <c r="CW462" s="44">
        <v>10.0</v>
      </c>
      <c r="CX462" s="44" t="s">
        <v>138</v>
      </c>
      <c r="CY462" s="44" t="s">
        <v>139</v>
      </c>
      <c r="CZ462" s="45"/>
      <c r="DA462" s="44">
        <v>3000.0</v>
      </c>
      <c r="DB462" s="44">
        <v>0.0</v>
      </c>
      <c r="DC462" s="46" t="s">
        <v>127</v>
      </c>
      <c r="DD462" s="47">
        <v>46218.0</v>
      </c>
      <c r="DE462" s="43"/>
      <c r="DF462" s="43"/>
      <c r="DG462" s="48" t="s">
        <v>128</v>
      </c>
      <c r="DH462" s="48" t="s">
        <v>128</v>
      </c>
      <c r="DI462" s="48" t="s">
        <v>128</v>
      </c>
      <c r="DJ462" s="49">
        <v>1.0</v>
      </c>
      <c r="DK462" s="48" t="b">
        <v>1</v>
      </c>
      <c r="DL462" s="50" t="s">
        <v>1140</v>
      </c>
      <c r="DM462" s="50" t="s">
        <v>128</v>
      </c>
      <c r="DN462" s="50" t="s">
        <v>1141</v>
      </c>
      <c r="DO462" s="49">
        <v>0.86</v>
      </c>
      <c r="DP462" s="48" t="s">
        <v>128</v>
      </c>
      <c r="DQ462" s="48" t="s">
        <v>128</v>
      </c>
      <c r="DR462" s="51"/>
      <c r="DS462" s="48" t="s">
        <v>134</v>
      </c>
    </row>
    <row r="463">
      <c r="A463" s="52" t="s">
        <v>118</v>
      </c>
      <c r="B463" s="53">
        <v>4.0</v>
      </c>
      <c r="C463" s="52" t="s">
        <v>1123</v>
      </c>
      <c r="D463" s="53">
        <v>639495.0</v>
      </c>
      <c r="E463" s="52" t="s">
        <v>155</v>
      </c>
      <c r="F463" s="52" t="s">
        <v>1160</v>
      </c>
      <c r="G463" s="52" t="s">
        <v>1161</v>
      </c>
      <c r="H463" s="53">
        <v>45058.0</v>
      </c>
      <c r="I463" s="53">
        <v>28.0</v>
      </c>
      <c r="J463" s="53">
        <v>0.0</v>
      </c>
      <c r="K463" s="53">
        <v>0.0</v>
      </c>
      <c r="L463" s="53">
        <v>0.0</v>
      </c>
      <c r="M463" s="53">
        <v>0.0</v>
      </c>
      <c r="N463" s="53">
        <v>0.0</v>
      </c>
      <c r="O463" s="53">
        <v>0.0</v>
      </c>
      <c r="P463" s="53">
        <v>0.0</v>
      </c>
      <c r="Q463" s="53">
        <v>2.0</v>
      </c>
      <c r="R463" s="53">
        <v>0.0</v>
      </c>
      <c r="S463" s="53">
        <v>0.0</v>
      </c>
      <c r="T463" s="53">
        <v>0.0</v>
      </c>
      <c r="U463" s="53">
        <v>3.0</v>
      </c>
      <c r="V463" s="53">
        <v>1.0</v>
      </c>
      <c r="W463" s="53">
        <v>0.0</v>
      </c>
      <c r="X463" s="53">
        <v>0.0</v>
      </c>
      <c r="Y463" s="53">
        <v>2.0</v>
      </c>
      <c r="Z463" s="53">
        <v>1.0</v>
      </c>
      <c r="AA463" s="53">
        <v>1.0</v>
      </c>
      <c r="AB463" s="53">
        <v>0.0</v>
      </c>
      <c r="AC463" s="53">
        <v>1.0</v>
      </c>
      <c r="AD463" s="53">
        <v>2.0</v>
      </c>
      <c r="AE463" s="53">
        <v>1.0</v>
      </c>
      <c r="AF463" s="53">
        <v>1.0</v>
      </c>
      <c r="AG463" s="53">
        <v>0.0</v>
      </c>
      <c r="AH463" s="53">
        <v>3.0</v>
      </c>
      <c r="AI463" s="53">
        <v>0.0</v>
      </c>
      <c r="AJ463" s="53">
        <v>2.0</v>
      </c>
      <c r="AK463" s="53">
        <v>0.0</v>
      </c>
      <c r="AL463" s="53">
        <v>0.0</v>
      </c>
      <c r="AM463" s="53">
        <v>3.0</v>
      </c>
      <c r="AN463" s="53">
        <v>5.0</v>
      </c>
      <c r="AO463" s="25">
        <v>17.1</v>
      </c>
      <c r="AP463" s="54"/>
      <c r="AQ463" s="54"/>
      <c r="AR463" s="54"/>
      <c r="AS463" s="54"/>
      <c r="AT463" s="54"/>
      <c r="AU463" s="54"/>
      <c r="AV463" s="54"/>
      <c r="AW463" s="53">
        <v>12.4</v>
      </c>
      <c r="AX463" s="54"/>
      <c r="AY463" s="54"/>
      <c r="AZ463" s="54"/>
      <c r="BA463" s="53">
        <v>15.63</v>
      </c>
      <c r="BB463" s="53">
        <v>11.7</v>
      </c>
      <c r="BC463" s="54"/>
      <c r="BD463" s="54"/>
      <c r="BE463" s="53">
        <v>13.71</v>
      </c>
      <c r="BF463" s="53">
        <v>15.97</v>
      </c>
      <c r="BG463" s="53">
        <v>18.78</v>
      </c>
      <c r="BH463" s="54"/>
      <c r="BI463" s="53">
        <v>16.15</v>
      </c>
      <c r="BJ463" s="53">
        <v>15.03</v>
      </c>
      <c r="BK463" s="53">
        <v>20.37</v>
      </c>
      <c r="BL463" s="53">
        <v>16.38</v>
      </c>
      <c r="BM463" s="54"/>
      <c r="BN463" s="53">
        <v>22.37</v>
      </c>
      <c r="BO463" s="53">
        <v>0.31</v>
      </c>
      <c r="BP463" s="53">
        <v>0.98</v>
      </c>
      <c r="BQ463" s="53">
        <v>5.97</v>
      </c>
      <c r="BR463" s="53">
        <v>6.75</v>
      </c>
      <c r="BS463" s="57">
        <v>2.79</v>
      </c>
      <c r="BT463" s="91">
        <v>16.4</v>
      </c>
      <c r="BU463" s="55">
        <v>3.2</v>
      </c>
      <c r="BV463" s="55">
        <v>6.42</v>
      </c>
      <c r="BW463" s="54"/>
      <c r="BX463" s="53">
        <v>3000.0</v>
      </c>
      <c r="BY463" s="52" t="s">
        <v>123</v>
      </c>
      <c r="BZ463" s="58">
        <v>3000.0</v>
      </c>
      <c r="CA463" s="72"/>
      <c r="CB463" s="30">
        <v>3000.0</v>
      </c>
      <c r="CC463" s="31"/>
      <c r="CD463" s="58">
        <v>3000.0</v>
      </c>
      <c r="CE463" s="59" t="e">
        <v>#REF!</v>
      </c>
      <c r="CF463" s="60"/>
      <c r="CG463" s="61">
        <v>0.0</v>
      </c>
      <c r="CH463" s="62">
        <v>0.0</v>
      </c>
      <c r="CI463" s="63">
        <v>28.0</v>
      </c>
      <c r="CJ463" s="63">
        <v>2651.0</v>
      </c>
      <c r="CK463" s="64">
        <v>0.0</v>
      </c>
      <c r="CL463" s="63">
        <v>2651.0</v>
      </c>
      <c r="CM463" s="65">
        <v>479.0</v>
      </c>
      <c r="CN463" s="63">
        <v>0.0</v>
      </c>
      <c r="CO463" s="66">
        <v>17.1</v>
      </c>
      <c r="CP463" s="67">
        <v>0.0</v>
      </c>
      <c r="CQ463" s="63">
        <v>27.0</v>
      </c>
      <c r="CR463" s="63">
        <v>27.0</v>
      </c>
      <c r="CS463" s="63">
        <v>78.0</v>
      </c>
      <c r="CT463" s="68"/>
      <c r="CU463" s="69"/>
      <c r="CV463" s="70"/>
      <c r="CW463" s="71">
        <v>10.0</v>
      </c>
      <c r="CX463" s="71" t="s">
        <v>138</v>
      </c>
      <c r="CY463" s="71" t="s">
        <v>139</v>
      </c>
      <c r="CZ463" s="45"/>
      <c r="DA463" s="44">
        <v>3000.0</v>
      </c>
      <c r="DB463" s="44">
        <v>0.0</v>
      </c>
      <c r="DC463" s="46" t="s">
        <v>127</v>
      </c>
      <c r="DD463" s="47">
        <v>46245.0</v>
      </c>
      <c r="DE463" s="43"/>
      <c r="DF463" s="43"/>
      <c r="DG463" s="48" t="s">
        <v>128</v>
      </c>
      <c r="DH463" s="48" t="s">
        <v>128</v>
      </c>
      <c r="DI463" s="48" t="s">
        <v>128</v>
      </c>
      <c r="DJ463" s="49">
        <v>1.0</v>
      </c>
      <c r="DK463" s="48" t="b">
        <v>0</v>
      </c>
      <c r="DL463" s="50" t="s">
        <v>1140</v>
      </c>
      <c r="DM463" s="50" t="s">
        <v>128</v>
      </c>
      <c r="DN463" s="50" t="s">
        <v>1141</v>
      </c>
      <c r="DO463" s="49">
        <v>0.86</v>
      </c>
      <c r="DP463" s="48" t="s">
        <v>128</v>
      </c>
      <c r="DQ463" s="48" t="s">
        <v>128</v>
      </c>
      <c r="DR463" s="51"/>
      <c r="DS463" s="48" t="s">
        <v>134</v>
      </c>
    </row>
    <row r="464">
      <c r="A464" s="23" t="s">
        <v>118</v>
      </c>
      <c r="B464" s="24">
        <v>4.0</v>
      </c>
      <c r="C464" s="23" t="s">
        <v>1123</v>
      </c>
      <c r="D464" s="24">
        <v>588071.0</v>
      </c>
      <c r="E464" s="23" t="s">
        <v>152</v>
      </c>
      <c r="F464" s="23" t="s">
        <v>1162</v>
      </c>
      <c r="G464" s="23" t="s">
        <v>1163</v>
      </c>
      <c r="H464" s="24">
        <v>45058.0</v>
      </c>
      <c r="I464" s="24">
        <v>8.0</v>
      </c>
      <c r="J464" s="24">
        <v>0.0</v>
      </c>
      <c r="K464" s="24">
        <v>0.0</v>
      </c>
      <c r="L464" s="24">
        <v>0.0</v>
      </c>
      <c r="M464" s="24">
        <v>0.0</v>
      </c>
      <c r="N464" s="24">
        <v>4.0</v>
      </c>
      <c r="O464" s="24">
        <v>0.0</v>
      </c>
      <c r="P464" s="24">
        <v>0.0</v>
      </c>
      <c r="Q464" s="24">
        <v>0.0</v>
      </c>
      <c r="R464" s="24">
        <v>0.0</v>
      </c>
      <c r="S464" s="24">
        <v>0.0</v>
      </c>
      <c r="T464" s="24">
        <v>1.0</v>
      </c>
      <c r="U464" s="24">
        <v>0.0</v>
      </c>
      <c r="V464" s="24">
        <v>0.0</v>
      </c>
      <c r="W464" s="24">
        <v>0.0</v>
      </c>
      <c r="X464" s="24">
        <v>0.0</v>
      </c>
      <c r="Y464" s="24">
        <v>0.0</v>
      </c>
      <c r="Z464" s="24">
        <v>0.0</v>
      </c>
      <c r="AA464" s="24">
        <v>0.0</v>
      </c>
      <c r="AB464" s="24">
        <v>0.0</v>
      </c>
      <c r="AC464" s="24">
        <v>1.0</v>
      </c>
      <c r="AD464" s="24">
        <v>0.0</v>
      </c>
      <c r="AE464" s="24">
        <v>0.0</v>
      </c>
      <c r="AF464" s="24">
        <v>1.0</v>
      </c>
      <c r="AG464" s="24">
        <v>0.0</v>
      </c>
      <c r="AH464" s="24">
        <v>0.0</v>
      </c>
      <c r="AI464" s="24">
        <v>0.0</v>
      </c>
      <c r="AJ464" s="24">
        <v>0.0</v>
      </c>
      <c r="AK464" s="24">
        <v>0.0</v>
      </c>
      <c r="AL464" s="24">
        <v>0.0</v>
      </c>
      <c r="AM464" s="24">
        <v>1.0</v>
      </c>
      <c r="AN464" s="24">
        <v>0.0</v>
      </c>
      <c r="AO464" s="57">
        <v>14.1</v>
      </c>
      <c r="AP464" s="26"/>
      <c r="AQ464" s="26"/>
      <c r="AR464" s="26"/>
      <c r="AS464" s="26"/>
      <c r="AT464" s="24">
        <v>0.0</v>
      </c>
      <c r="AU464" s="26"/>
      <c r="AV464" s="26"/>
      <c r="AW464" s="26"/>
      <c r="AX464" s="26"/>
      <c r="AY464" s="26"/>
      <c r="AZ464" s="24">
        <v>16.23</v>
      </c>
      <c r="BA464" s="26"/>
      <c r="BB464" s="26"/>
      <c r="BC464" s="26"/>
      <c r="BD464" s="26"/>
      <c r="BE464" s="26"/>
      <c r="BF464" s="26"/>
      <c r="BG464" s="26"/>
      <c r="BH464" s="26"/>
      <c r="BI464" s="24">
        <v>17.93</v>
      </c>
      <c r="BJ464" s="26"/>
      <c r="BK464" s="26"/>
      <c r="BL464" s="24">
        <v>14.82</v>
      </c>
      <c r="BM464" s="26"/>
      <c r="BN464" s="26"/>
      <c r="BO464" s="24">
        <v>0.28</v>
      </c>
      <c r="BP464" s="24">
        <v>0.74</v>
      </c>
      <c r="BQ464" s="24">
        <v>4.13</v>
      </c>
      <c r="BR464" s="24">
        <v>4.67</v>
      </c>
      <c r="BS464" s="57">
        <v>2.76</v>
      </c>
      <c r="BT464" s="77">
        <v>14.2</v>
      </c>
      <c r="BU464" s="57">
        <v>2.6</v>
      </c>
      <c r="BV464" s="55">
        <v>6.28</v>
      </c>
      <c r="BW464" s="26"/>
      <c r="BX464" s="24">
        <v>3000.0</v>
      </c>
      <c r="BY464" s="24" t="s">
        <v>123</v>
      </c>
      <c r="BZ464" s="28">
        <v>3000.0</v>
      </c>
      <c r="CA464" s="72"/>
      <c r="CB464" s="30">
        <v>3000.0</v>
      </c>
      <c r="CC464" s="31"/>
      <c r="CD464" s="28">
        <v>3000.0</v>
      </c>
      <c r="CE464" s="32" t="e">
        <v>#REF!</v>
      </c>
      <c r="CF464" s="33"/>
      <c r="CG464" s="34">
        <v>0.0</v>
      </c>
      <c r="CH464" s="35">
        <v>0.0</v>
      </c>
      <c r="CI464" s="36">
        <v>8.0</v>
      </c>
      <c r="CJ464" s="36">
        <v>2651.0</v>
      </c>
      <c r="CK464" s="37">
        <v>0.0</v>
      </c>
      <c r="CL464" s="36">
        <v>2651.0</v>
      </c>
      <c r="CM464" s="38">
        <v>113.0</v>
      </c>
      <c r="CN464" s="36">
        <v>0.0</v>
      </c>
      <c r="CO464" s="39">
        <v>14.1</v>
      </c>
      <c r="CP464" s="40">
        <v>0.0</v>
      </c>
      <c r="CQ464" s="36">
        <v>6.0</v>
      </c>
      <c r="CR464" s="36">
        <v>6.0</v>
      </c>
      <c r="CS464" s="36">
        <v>22.0</v>
      </c>
      <c r="CT464" s="41"/>
      <c r="CU464" s="42"/>
      <c r="CV464" s="43"/>
      <c r="CW464" s="44">
        <v>10.0</v>
      </c>
      <c r="CX464" s="44" t="s">
        <v>138</v>
      </c>
      <c r="CY464" s="44" t="s">
        <v>139</v>
      </c>
      <c r="CZ464" s="45"/>
      <c r="DA464" s="44">
        <v>3000.0</v>
      </c>
      <c r="DB464" s="44">
        <v>0.0</v>
      </c>
      <c r="DC464" s="46" t="s">
        <v>127</v>
      </c>
      <c r="DD464" s="47">
        <v>46245.0</v>
      </c>
      <c r="DE464" s="43"/>
      <c r="DF464" s="43"/>
      <c r="DG464" s="48" t="s">
        <v>128</v>
      </c>
      <c r="DH464" s="48" t="s">
        <v>128</v>
      </c>
      <c r="DI464" s="48" t="s">
        <v>128</v>
      </c>
      <c r="DJ464" s="49">
        <v>1.0</v>
      </c>
      <c r="DK464" s="48" t="b">
        <v>1</v>
      </c>
      <c r="DL464" s="50" t="s">
        <v>1140</v>
      </c>
      <c r="DM464" s="50" t="s">
        <v>128</v>
      </c>
      <c r="DN464" s="50" t="s">
        <v>1141</v>
      </c>
      <c r="DO464" s="49">
        <v>0.86</v>
      </c>
      <c r="DP464" s="48" t="s">
        <v>128</v>
      </c>
      <c r="DQ464" s="48" t="s">
        <v>128</v>
      </c>
      <c r="DR464" s="51"/>
      <c r="DS464" s="48" t="s">
        <v>134</v>
      </c>
    </row>
    <row r="465">
      <c r="A465" s="52" t="s">
        <v>118</v>
      </c>
      <c r="B465" s="53">
        <v>4.0</v>
      </c>
      <c r="C465" s="52" t="s">
        <v>1123</v>
      </c>
      <c r="D465" s="53">
        <v>643373.0</v>
      </c>
      <c r="E465" s="52" t="s">
        <v>120</v>
      </c>
      <c r="F465" s="52" t="s">
        <v>1164</v>
      </c>
      <c r="G465" s="52" t="s">
        <v>1165</v>
      </c>
      <c r="H465" s="53">
        <v>45058.0</v>
      </c>
      <c r="I465" s="53">
        <v>6.0</v>
      </c>
      <c r="J465" s="53">
        <v>0.0</v>
      </c>
      <c r="K465" s="53">
        <v>0.0</v>
      </c>
      <c r="L465" s="53">
        <v>0.0</v>
      </c>
      <c r="M465" s="53">
        <v>0.0</v>
      </c>
      <c r="N465" s="53">
        <v>0.0</v>
      </c>
      <c r="O465" s="53">
        <v>0.0</v>
      </c>
      <c r="P465" s="53">
        <v>0.0</v>
      </c>
      <c r="Q465" s="53">
        <v>0.0</v>
      </c>
      <c r="R465" s="53">
        <v>0.0</v>
      </c>
      <c r="S465" s="53">
        <v>0.0</v>
      </c>
      <c r="T465" s="53">
        <v>0.0</v>
      </c>
      <c r="U465" s="53">
        <v>0.0</v>
      </c>
      <c r="V465" s="53">
        <v>0.0</v>
      </c>
      <c r="W465" s="53">
        <v>0.0</v>
      </c>
      <c r="X465" s="53">
        <v>0.0</v>
      </c>
      <c r="Y465" s="53">
        <v>0.0</v>
      </c>
      <c r="Z465" s="53">
        <v>0.0</v>
      </c>
      <c r="AA465" s="53">
        <v>0.0</v>
      </c>
      <c r="AB465" s="53">
        <v>1.0</v>
      </c>
      <c r="AC465" s="53">
        <v>0.0</v>
      </c>
      <c r="AD465" s="53">
        <v>0.0</v>
      </c>
      <c r="AE465" s="53">
        <v>0.0</v>
      </c>
      <c r="AF465" s="53">
        <v>1.0</v>
      </c>
      <c r="AG465" s="53">
        <v>0.0</v>
      </c>
      <c r="AH465" s="53">
        <v>1.0</v>
      </c>
      <c r="AI465" s="53">
        <v>1.0</v>
      </c>
      <c r="AJ465" s="53">
        <v>1.0</v>
      </c>
      <c r="AK465" s="53">
        <v>0.0</v>
      </c>
      <c r="AL465" s="53">
        <v>1.0</v>
      </c>
      <c r="AM465" s="53">
        <v>0.0</v>
      </c>
      <c r="AN465" s="53">
        <v>0.0</v>
      </c>
      <c r="AO465" s="25">
        <v>17.8</v>
      </c>
      <c r="AP465" s="54"/>
      <c r="AQ465" s="54"/>
      <c r="AR465" s="54"/>
      <c r="AS465" s="54"/>
      <c r="AT465" s="54"/>
      <c r="AU465" s="54"/>
      <c r="AV465" s="54"/>
      <c r="AW465" s="54"/>
      <c r="AX465" s="54"/>
      <c r="AY465" s="54"/>
      <c r="AZ465" s="54"/>
      <c r="BA465" s="54"/>
      <c r="BB465" s="54"/>
      <c r="BC465" s="54"/>
      <c r="BD465" s="54"/>
      <c r="BE465" s="54"/>
      <c r="BF465" s="54"/>
      <c r="BG465" s="54"/>
      <c r="BH465" s="53">
        <v>16.65</v>
      </c>
      <c r="BI465" s="54"/>
      <c r="BJ465" s="54"/>
      <c r="BK465" s="54"/>
      <c r="BL465" s="53">
        <v>17.02</v>
      </c>
      <c r="BM465" s="54"/>
      <c r="BN465" s="53">
        <v>14.85</v>
      </c>
      <c r="BO465" s="53">
        <v>0.32</v>
      </c>
      <c r="BP465" s="53">
        <v>0.83</v>
      </c>
      <c r="BQ465" s="53">
        <v>5.9</v>
      </c>
      <c r="BR465" s="53">
        <v>6.53</v>
      </c>
      <c r="BS465" s="57">
        <v>2.57</v>
      </c>
      <c r="BT465" s="56">
        <v>18.5</v>
      </c>
      <c r="BU465" s="55">
        <v>3.3</v>
      </c>
      <c r="BV465" s="25">
        <v>7.81</v>
      </c>
      <c r="BW465" s="54"/>
      <c r="BX465" s="53">
        <v>3000.0</v>
      </c>
      <c r="BY465" s="53" t="s">
        <v>123</v>
      </c>
      <c r="BZ465" s="58">
        <v>3000.0</v>
      </c>
      <c r="CA465" s="72"/>
      <c r="CB465" s="30">
        <v>3000.0</v>
      </c>
      <c r="CC465" s="31"/>
      <c r="CD465" s="58">
        <v>3000.0</v>
      </c>
      <c r="CE465" s="59" t="e">
        <v>#REF!</v>
      </c>
      <c r="CF465" s="60"/>
      <c r="CG465" s="61">
        <v>0.0</v>
      </c>
      <c r="CH465" s="62">
        <v>0.0</v>
      </c>
      <c r="CI465" s="63">
        <v>6.0</v>
      </c>
      <c r="CJ465" s="63">
        <v>2651.0</v>
      </c>
      <c r="CK465" s="64">
        <v>0.0</v>
      </c>
      <c r="CL465" s="63">
        <v>2651.0</v>
      </c>
      <c r="CM465" s="65">
        <v>107.0</v>
      </c>
      <c r="CN465" s="63">
        <v>0.0</v>
      </c>
      <c r="CO465" s="66">
        <v>17.8</v>
      </c>
      <c r="CP465" s="67">
        <v>0.0</v>
      </c>
      <c r="CQ465" s="63">
        <v>5.0</v>
      </c>
      <c r="CR465" s="63">
        <v>5.0</v>
      </c>
      <c r="CS465" s="63">
        <v>15.0</v>
      </c>
      <c r="CT465" s="68"/>
      <c r="CU465" s="69"/>
      <c r="CV465" s="70"/>
      <c r="CW465" s="71">
        <v>10.0</v>
      </c>
      <c r="CX465" s="71" t="s">
        <v>138</v>
      </c>
      <c r="CY465" s="71" t="s">
        <v>139</v>
      </c>
      <c r="CZ465" s="45"/>
      <c r="DA465" s="44">
        <v>3000.0</v>
      </c>
      <c r="DB465" s="44">
        <v>0.0</v>
      </c>
      <c r="DC465" s="46" t="s">
        <v>127</v>
      </c>
      <c r="DD465" s="47">
        <v>46186.0</v>
      </c>
      <c r="DE465" s="43"/>
      <c r="DF465" s="43"/>
      <c r="DG465" s="48" t="s">
        <v>128</v>
      </c>
      <c r="DH465" s="48" t="s">
        <v>128</v>
      </c>
      <c r="DI465" s="48" t="s">
        <v>128</v>
      </c>
      <c r="DJ465" s="49">
        <v>0.0</v>
      </c>
      <c r="DK465" s="48" t="b">
        <v>0</v>
      </c>
      <c r="DL465" s="50" t="s">
        <v>1140</v>
      </c>
      <c r="DM465" s="50" t="s">
        <v>128</v>
      </c>
      <c r="DN465" s="50" t="s">
        <v>1141</v>
      </c>
      <c r="DO465" s="49">
        <v>0.86</v>
      </c>
      <c r="DP465" s="48" t="s">
        <v>128</v>
      </c>
      <c r="DQ465" s="48" t="s">
        <v>128</v>
      </c>
      <c r="DR465" s="51"/>
      <c r="DS465" s="48" t="s">
        <v>134</v>
      </c>
    </row>
    <row r="466">
      <c r="A466" s="23" t="s">
        <v>118</v>
      </c>
      <c r="B466" s="24">
        <v>4.0</v>
      </c>
      <c r="C466" s="23" t="s">
        <v>1123</v>
      </c>
      <c r="D466" s="24">
        <v>648801.0</v>
      </c>
      <c r="E466" s="23" t="s">
        <v>198</v>
      </c>
      <c r="F466" s="23" t="s">
        <v>1166</v>
      </c>
      <c r="G466" s="23" t="s">
        <v>1167</v>
      </c>
      <c r="H466" s="24">
        <v>45058.0</v>
      </c>
      <c r="I466" s="24">
        <v>7.0</v>
      </c>
      <c r="J466" s="24">
        <v>0.0</v>
      </c>
      <c r="K466" s="24">
        <v>0.0</v>
      </c>
      <c r="L466" s="24">
        <v>0.0</v>
      </c>
      <c r="M466" s="24">
        <v>0.0</v>
      </c>
      <c r="N466" s="24">
        <v>0.0</v>
      </c>
      <c r="O466" s="24">
        <v>0.0</v>
      </c>
      <c r="P466" s="24">
        <v>0.0</v>
      </c>
      <c r="Q466" s="24">
        <v>0.0</v>
      </c>
      <c r="R466" s="24">
        <v>0.0</v>
      </c>
      <c r="S466" s="24">
        <v>0.0</v>
      </c>
      <c r="T466" s="24">
        <v>0.0</v>
      </c>
      <c r="U466" s="24">
        <v>0.0</v>
      </c>
      <c r="V466" s="24">
        <v>0.0</v>
      </c>
      <c r="W466" s="24">
        <v>0.0</v>
      </c>
      <c r="X466" s="24">
        <v>0.0</v>
      </c>
      <c r="Y466" s="24">
        <v>0.0</v>
      </c>
      <c r="Z466" s="24">
        <v>0.0</v>
      </c>
      <c r="AA466" s="24">
        <v>0.0</v>
      </c>
      <c r="AB466" s="24">
        <v>0.0</v>
      </c>
      <c r="AC466" s="24">
        <v>3.0</v>
      </c>
      <c r="AD466" s="24">
        <v>0.0</v>
      </c>
      <c r="AE466" s="24">
        <v>1.0</v>
      </c>
      <c r="AF466" s="24">
        <v>1.0</v>
      </c>
      <c r="AG466" s="24">
        <v>1.0</v>
      </c>
      <c r="AH466" s="24">
        <v>0.0</v>
      </c>
      <c r="AI466" s="24">
        <v>1.0</v>
      </c>
      <c r="AJ466" s="24">
        <v>0.0</v>
      </c>
      <c r="AK466" s="24">
        <v>0.0</v>
      </c>
      <c r="AL466" s="24">
        <v>0.0</v>
      </c>
      <c r="AM466" s="24">
        <v>0.0</v>
      </c>
      <c r="AN466" s="24">
        <v>0.0</v>
      </c>
      <c r="AO466" s="55">
        <v>16.9</v>
      </c>
      <c r="AP466" s="26"/>
      <c r="AQ466" s="26"/>
      <c r="AR466" s="26"/>
      <c r="AS466" s="26"/>
      <c r="AT466" s="26"/>
      <c r="AU466" s="26"/>
      <c r="AV466" s="26"/>
      <c r="AW466" s="26"/>
      <c r="AX466" s="26"/>
      <c r="AY466" s="26"/>
      <c r="AZ466" s="26"/>
      <c r="BA466" s="26"/>
      <c r="BB466" s="26"/>
      <c r="BC466" s="26"/>
      <c r="BD466" s="26"/>
      <c r="BE466" s="26"/>
      <c r="BF466" s="26"/>
      <c r="BG466" s="26"/>
      <c r="BH466" s="26"/>
      <c r="BI466" s="24">
        <v>17.96</v>
      </c>
      <c r="BJ466" s="26"/>
      <c r="BK466" s="24">
        <v>16.88</v>
      </c>
      <c r="BL466" s="24">
        <v>18.2</v>
      </c>
      <c r="BM466" s="24">
        <v>13.2</v>
      </c>
      <c r="BN466" s="26"/>
      <c r="BO466" s="24">
        <v>0.27</v>
      </c>
      <c r="BP466" s="24">
        <v>0.99</v>
      </c>
      <c r="BQ466" s="24">
        <v>5.79</v>
      </c>
      <c r="BR466" s="24">
        <v>6.56</v>
      </c>
      <c r="BS466" s="57">
        <v>2.56</v>
      </c>
      <c r="BT466" s="56">
        <v>17.8</v>
      </c>
      <c r="BU466" s="57">
        <v>1.6</v>
      </c>
      <c r="BV466" s="55">
        <v>6.85</v>
      </c>
      <c r="BW466" s="26"/>
      <c r="BX466" s="24">
        <v>3000.0</v>
      </c>
      <c r="BY466" s="24" t="s">
        <v>123</v>
      </c>
      <c r="BZ466" s="28">
        <v>3000.0</v>
      </c>
      <c r="CA466" s="72"/>
      <c r="CB466" s="30">
        <v>3000.0</v>
      </c>
      <c r="CC466" s="31"/>
      <c r="CD466" s="28">
        <v>3000.0</v>
      </c>
      <c r="CE466" s="32" t="e">
        <v>#REF!</v>
      </c>
      <c r="CF466" s="33"/>
      <c r="CG466" s="34">
        <v>0.0</v>
      </c>
      <c r="CH466" s="35">
        <v>0.0</v>
      </c>
      <c r="CI466" s="36">
        <v>7.0</v>
      </c>
      <c r="CJ466" s="36">
        <v>2651.0</v>
      </c>
      <c r="CK466" s="37">
        <v>0.0</v>
      </c>
      <c r="CL466" s="36">
        <v>2651.0</v>
      </c>
      <c r="CM466" s="38">
        <v>118.0</v>
      </c>
      <c r="CN466" s="36">
        <v>0.0</v>
      </c>
      <c r="CO466" s="39">
        <v>16.9</v>
      </c>
      <c r="CP466" s="40">
        <v>0.0</v>
      </c>
      <c r="CQ466" s="36">
        <v>7.0</v>
      </c>
      <c r="CR466" s="36">
        <v>7.0</v>
      </c>
      <c r="CS466" s="36">
        <v>18.0</v>
      </c>
      <c r="CT466" s="41"/>
      <c r="CU466" s="42"/>
      <c r="CV466" s="43"/>
      <c r="CW466" s="44">
        <v>10.0</v>
      </c>
      <c r="CX466" s="44" t="s">
        <v>138</v>
      </c>
      <c r="CY466" s="44" t="s">
        <v>139</v>
      </c>
      <c r="CZ466" s="45"/>
      <c r="DA466" s="44">
        <v>3000.0</v>
      </c>
      <c r="DB466" s="44">
        <v>0.0</v>
      </c>
      <c r="DC466" s="46" t="s">
        <v>127</v>
      </c>
      <c r="DD466" s="47">
        <v>46197.0</v>
      </c>
      <c r="DE466" s="43"/>
      <c r="DF466" s="43"/>
      <c r="DG466" s="48" t="s">
        <v>128</v>
      </c>
      <c r="DH466" s="48" t="s">
        <v>128</v>
      </c>
      <c r="DI466" s="48" t="s">
        <v>128</v>
      </c>
      <c r="DJ466" s="49">
        <v>1.0</v>
      </c>
      <c r="DK466" s="48" t="b">
        <v>0</v>
      </c>
      <c r="DL466" s="50" t="s">
        <v>1140</v>
      </c>
      <c r="DM466" s="50" t="s">
        <v>128</v>
      </c>
      <c r="DN466" s="50" t="s">
        <v>1141</v>
      </c>
      <c r="DO466" s="49">
        <v>0.86</v>
      </c>
      <c r="DP466" s="48" t="s">
        <v>128</v>
      </c>
      <c r="DQ466" s="48" t="s">
        <v>128</v>
      </c>
      <c r="DR466" s="51"/>
      <c r="DS466" s="48" t="s">
        <v>134</v>
      </c>
    </row>
    <row r="467">
      <c r="A467" s="52" t="s">
        <v>118</v>
      </c>
      <c r="B467" s="53">
        <v>4.0</v>
      </c>
      <c r="C467" s="52" t="s">
        <v>1123</v>
      </c>
      <c r="D467" s="53">
        <v>669823.0</v>
      </c>
      <c r="E467" s="52" t="s">
        <v>214</v>
      </c>
      <c r="F467" s="52" t="s">
        <v>1168</v>
      </c>
      <c r="G467" s="52" t="s">
        <v>1169</v>
      </c>
      <c r="H467" s="53">
        <v>45058.0</v>
      </c>
      <c r="I467" s="53">
        <v>14.0</v>
      </c>
      <c r="J467" s="53">
        <v>0.0</v>
      </c>
      <c r="K467" s="53">
        <v>0.0</v>
      </c>
      <c r="L467" s="53">
        <v>0.0</v>
      </c>
      <c r="M467" s="53">
        <v>0.0</v>
      </c>
      <c r="N467" s="53">
        <v>0.0</v>
      </c>
      <c r="O467" s="53">
        <v>0.0</v>
      </c>
      <c r="P467" s="53">
        <v>0.0</v>
      </c>
      <c r="Q467" s="53">
        <v>0.0</v>
      </c>
      <c r="R467" s="53">
        <v>0.0</v>
      </c>
      <c r="S467" s="53">
        <v>0.0</v>
      </c>
      <c r="T467" s="53">
        <v>0.0</v>
      </c>
      <c r="U467" s="53">
        <v>0.0</v>
      </c>
      <c r="V467" s="53">
        <v>0.0</v>
      </c>
      <c r="W467" s="53">
        <v>0.0</v>
      </c>
      <c r="X467" s="53">
        <v>1.0</v>
      </c>
      <c r="Y467" s="53">
        <v>0.0</v>
      </c>
      <c r="Z467" s="53">
        <v>0.0</v>
      </c>
      <c r="AA467" s="53">
        <v>1.0</v>
      </c>
      <c r="AB467" s="53">
        <v>1.0</v>
      </c>
      <c r="AC467" s="53">
        <v>1.0</v>
      </c>
      <c r="AD467" s="53">
        <v>4.0</v>
      </c>
      <c r="AE467" s="53">
        <v>2.0</v>
      </c>
      <c r="AF467" s="53">
        <v>1.0</v>
      </c>
      <c r="AG467" s="53">
        <v>0.0</v>
      </c>
      <c r="AH467" s="53">
        <v>1.0</v>
      </c>
      <c r="AI467" s="53">
        <v>1.0</v>
      </c>
      <c r="AJ467" s="53">
        <v>1.0</v>
      </c>
      <c r="AK467" s="53">
        <v>0.0</v>
      </c>
      <c r="AL467" s="53">
        <v>0.0</v>
      </c>
      <c r="AM467" s="53">
        <v>0.0</v>
      </c>
      <c r="AN467" s="53">
        <v>0.0</v>
      </c>
      <c r="AO467" s="25">
        <v>17.1</v>
      </c>
      <c r="AP467" s="54"/>
      <c r="AQ467" s="54"/>
      <c r="AR467" s="54"/>
      <c r="AS467" s="54"/>
      <c r="AT467" s="54"/>
      <c r="AU467" s="54"/>
      <c r="AV467" s="54"/>
      <c r="AW467" s="54"/>
      <c r="AX467" s="54"/>
      <c r="AY467" s="54"/>
      <c r="AZ467" s="54"/>
      <c r="BA467" s="54"/>
      <c r="BB467" s="54"/>
      <c r="BC467" s="54"/>
      <c r="BD467" s="53">
        <v>15.33</v>
      </c>
      <c r="BE467" s="54"/>
      <c r="BF467" s="54"/>
      <c r="BG467" s="53">
        <v>13.95</v>
      </c>
      <c r="BH467" s="53">
        <v>13.8</v>
      </c>
      <c r="BI467" s="53">
        <v>17.97</v>
      </c>
      <c r="BJ467" s="53">
        <v>17.94</v>
      </c>
      <c r="BK467" s="53">
        <v>20.0</v>
      </c>
      <c r="BL467" s="53">
        <v>15.42</v>
      </c>
      <c r="BM467" s="54"/>
      <c r="BN467" s="53">
        <v>23.33</v>
      </c>
      <c r="BO467" s="53">
        <v>0.23</v>
      </c>
      <c r="BP467" s="53">
        <v>1.07</v>
      </c>
      <c r="BQ467" s="53">
        <v>5.58</v>
      </c>
      <c r="BR467" s="53">
        <v>6.45</v>
      </c>
      <c r="BS467" s="57">
        <v>2.52</v>
      </c>
      <c r="BT467" s="91">
        <v>16.6</v>
      </c>
      <c r="BU467" s="25">
        <v>4.2</v>
      </c>
      <c r="BV467" s="25">
        <v>7.15</v>
      </c>
      <c r="BW467" s="53">
        <v>1900.0</v>
      </c>
      <c r="BX467" s="53">
        <v>3000.0</v>
      </c>
      <c r="BY467" s="53" t="s">
        <v>123</v>
      </c>
      <c r="BZ467" s="58">
        <v>3000.0</v>
      </c>
      <c r="CA467" s="72"/>
      <c r="CB467" s="30">
        <v>3000.0</v>
      </c>
      <c r="CC467" s="31"/>
      <c r="CD467" s="58">
        <v>3000.0</v>
      </c>
      <c r="CE467" s="59" t="e">
        <v>#REF!</v>
      </c>
      <c r="CF467" s="60"/>
      <c r="CG467" s="61">
        <v>0.0</v>
      </c>
      <c r="CH467" s="62">
        <v>0.0</v>
      </c>
      <c r="CI467" s="63">
        <v>14.0</v>
      </c>
      <c r="CJ467" s="63">
        <v>2651.0</v>
      </c>
      <c r="CK467" s="64">
        <v>0.0</v>
      </c>
      <c r="CL467" s="63">
        <v>2651.0</v>
      </c>
      <c r="CM467" s="65">
        <v>239.0</v>
      </c>
      <c r="CN467" s="63">
        <v>0.0</v>
      </c>
      <c r="CO467" s="66">
        <v>17.1</v>
      </c>
      <c r="CP467" s="67">
        <v>0.0</v>
      </c>
      <c r="CQ467" s="63">
        <v>15.0</v>
      </c>
      <c r="CR467" s="63">
        <v>15.0</v>
      </c>
      <c r="CS467" s="63">
        <v>35.0</v>
      </c>
      <c r="CT467" s="68"/>
      <c r="CU467" s="69"/>
      <c r="CV467" s="70"/>
      <c r="CW467" s="71">
        <v>10.0</v>
      </c>
      <c r="CX467" s="71" t="s">
        <v>138</v>
      </c>
      <c r="CY467" s="71" t="s">
        <v>139</v>
      </c>
      <c r="CZ467" s="45"/>
      <c r="DA467" s="44">
        <v>3000.0</v>
      </c>
      <c r="DB467" s="44">
        <v>0.0</v>
      </c>
      <c r="DC467" s="43"/>
      <c r="DD467" s="78"/>
      <c r="DE467" s="43"/>
      <c r="DF467" s="43"/>
      <c r="DG467" s="48" t="s">
        <v>128</v>
      </c>
      <c r="DH467" s="48" t="s">
        <v>128</v>
      </c>
      <c r="DI467" s="48" t="s">
        <v>128</v>
      </c>
      <c r="DJ467" s="49">
        <v>0.0</v>
      </c>
      <c r="DK467" s="48" t="b">
        <v>0</v>
      </c>
      <c r="DL467" s="50" t="s">
        <v>1140</v>
      </c>
      <c r="DM467" s="50" t="s">
        <v>128</v>
      </c>
      <c r="DN467" s="50" t="s">
        <v>1141</v>
      </c>
      <c r="DO467" s="49">
        <v>0.86</v>
      </c>
      <c r="DP467" s="48" t="s">
        <v>128</v>
      </c>
      <c r="DQ467" s="48" t="s">
        <v>128</v>
      </c>
      <c r="DR467" s="51"/>
      <c r="DS467" s="48" t="s">
        <v>134</v>
      </c>
    </row>
    <row r="468">
      <c r="A468" s="23" t="s">
        <v>118</v>
      </c>
      <c r="B468" s="24">
        <v>4.0</v>
      </c>
      <c r="C468" s="23" t="s">
        <v>1123</v>
      </c>
      <c r="D468" s="24">
        <v>610881.0</v>
      </c>
      <c r="E468" s="23" t="s">
        <v>167</v>
      </c>
      <c r="F468" s="23" t="s">
        <v>1170</v>
      </c>
      <c r="G468" s="23" t="s">
        <v>1171</v>
      </c>
      <c r="H468" s="24">
        <v>45058.0</v>
      </c>
      <c r="I468" s="24">
        <v>10.0</v>
      </c>
      <c r="J468" s="24">
        <v>0.0</v>
      </c>
      <c r="K468" s="24">
        <v>0.0</v>
      </c>
      <c r="L468" s="24">
        <v>0.0</v>
      </c>
      <c r="M468" s="24">
        <v>0.0</v>
      </c>
      <c r="N468" s="24">
        <v>0.0</v>
      </c>
      <c r="O468" s="24">
        <v>0.0</v>
      </c>
      <c r="P468" s="24">
        <v>0.0</v>
      </c>
      <c r="Q468" s="24">
        <v>0.0</v>
      </c>
      <c r="R468" s="24">
        <v>0.0</v>
      </c>
      <c r="S468" s="24">
        <v>0.0</v>
      </c>
      <c r="T468" s="24">
        <v>0.0</v>
      </c>
      <c r="U468" s="24">
        <v>0.0</v>
      </c>
      <c r="V468" s="24">
        <v>1.0</v>
      </c>
      <c r="W468" s="24">
        <v>0.0</v>
      </c>
      <c r="X468" s="24">
        <v>0.0</v>
      </c>
      <c r="Y468" s="24">
        <v>2.0</v>
      </c>
      <c r="Z468" s="24">
        <v>0.0</v>
      </c>
      <c r="AA468" s="24">
        <v>0.0</v>
      </c>
      <c r="AB468" s="24">
        <v>0.0</v>
      </c>
      <c r="AC468" s="24">
        <v>0.0</v>
      </c>
      <c r="AD468" s="24">
        <v>1.0</v>
      </c>
      <c r="AE468" s="24">
        <v>2.0</v>
      </c>
      <c r="AF468" s="24">
        <v>0.0</v>
      </c>
      <c r="AG468" s="24">
        <v>1.0</v>
      </c>
      <c r="AH468" s="24">
        <v>1.0</v>
      </c>
      <c r="AI468" s="24">
        <v>0.0</v>
      </c>
      <c r="AJ468" s="24">
        <v>0.0</v>
      </c>
      <c r="AK468" s="24">
        <v>1.0</v>
      </c>
      <c r="AL468" s="24">
        <v>0.0</v>
      </c>
      <c r="AM468" s="24">
        <v>0.0</v>
      </c>
      <c r="AN468" s="24">
        <v>1.0</v>
      </c>
      <c r="AO468" s="55">
        <v>16.9</v>
      </c>
      <c r="AP468" s="26"/>
      <c r="AQ468" s="26"/>
      <c r="AR468" s="26"/>
      <c r="AS468" s="26"/>
      <c r="AT468" s="26"/>
      <c r="AU468" s="26"/>
      <c r="AV468" s="26"/>
      <c r="AW468" s="26"/>
      <c r="AX468" s="26"/>
      <c r="AY468" s="26"/>
      <c r="AZ468" s="26"/>
      <c r="BA468" s="26"/>
      <c r="BB468" s="24">
        <v>11.52</v>
      </c>
      <c r="BC468" s="26"/>
      <c r="BD468" s="26"/>
      <c r="BE468" s="24">
        <v>12.67</v>
      </c>
      <c r="BF468" s="26"/>
      <c r="BG468" s="26"/>
      <c r="BH468" s="26"/>
      <c r="BI468" s="26"/>
      <c r="BJ468" s="24">
        <v>10.73</v>
      </c>
      <c r="BK468" s="24">
        <v>21.41</v>
      </c>
      <c r="BL468" s="26"/>
      <c r="BM468" s="24">
        <v>10.7</v>
      </c>
      <c r="BN468" s="24">
        <v>24.23</v>
      </c>
      <c r="BO468" s="24">
        <v>0.36</v>
      </c>
      <c r="BP468" s="24">
        <v>0.72</v>
      </c>
      <c r="BQ468" s="24">
        <v>5.08</v>
      </c>
      <c r="BR468" s="24">
        <v>5.6</v>
      </c>
      <c r="BS468" s="57">
        <v>2.42</v>
      </c>
      <c r="BT468" s="77">
        <v>13.8</v>
      </c>
      <c r="BU468" s="57">
        <v>0.9</v>
      </c>
      <c r="BV468" s="25">
        <v>7.06</v>
      </c>
      <c r="BW468" s="26"/>
      <c r="BX468" s="24">
        <v>3000.0</v>
      </c>
      <c r="BY468" s="24" t="s">
        <v>123</v>
      </c>
      <c r="BZ468" s="28">
        <v>3000.0</v>
      </c>
      <c r="CA468" s="72"/>
      <c r="CB468" s="30">
        <v>3000.0</v>
      </c>
      <c r="CC468" s="31"/>
      <c r="CD468" s="28">
        <v>3000.0</v>
      </c>
      <c r="CE468" s="32" t="e">
        <v>#REF!</v>
      </c>
      <c r="CF468" s="33"/>
      <c r="CG468" s="34">
        <v>0.0</v>
      </c>
      <c r="CH468" s="35">
        <v>0.0</v>
      </c>
      <c r="CI468" s="36">
        <v>10.0</v>
      </c>
      <c r="CJ468" s="36">
        <v>2651.0</v>
      </c>
      <c r="CK468" s="37">
        <v>0.0</v>
      </c>
      <c r="CL468" s="36">
        <v>2651.0</v>
      </c>
      <c r="CM468" s="38">
        <v>169.0</v>
      </c>
      <c r="CN468" s="36">
        <v>0.0</v>
      </c>
      <c r="CO468" s="39">
        <v>16.9</v>
      </c>
      <c r="CP468" s="40">
        <v>0.0</v>
      </c>
      <c r="CQ468" s="36">
        <v>7.0</v>
      </c>
      <c r="CR468" s="36">
        <v>7.0</v>
      </c>
      <c r="CS468" s="36">
        <v>24.0</v>
      </c>
      <c r="CT468" s="41"/>
      <c r="CU468" s="42"/>
      <c r="CV468" s="43"/>
      <c r="CW468" s="44">
        <v>10.0</v>
      </c>
      <c r="CX468" s="44" t="s">
        <v>138</v>
      </c>
      <c r="CY468" s="44" t="s">
        <v>139</v>
      </c>
      <c r="CZ468" s="45"/>
      <c r="DA468" s="44">
        <v>3000.0</v>
      </c>
      <c r="DB468" s="44">
        <v>0.0</v>
      </c>
      <c r="DC468" s="46" t="s">
        <v>127</v>
      </c>
      <c r="DD468" s="47">
        <v>46246.0</v>
      </c>
      <c r="DE468" s="43"/>
      <c r="DF468" s="43"/>
      <c r="DG468" s="48" t="s">
        <v>128</v>
      </c>
      <c r="DH468" s="48" t="s">
        <v>128</v>
      </c>
      <c r="DI468" s="48" t="s">
        <v>128</v>
      </c>
      <c r="DJ468" s="49">
        <v>1.0</v>
      </c>
      <c r="DK468" s="48" t="b">
        <v>1</v>
      </c>
      <c r="DL468" s="50" t="s">
        <v>1140</v>
      </c>
      <c r="DM468" s="50" t="s">
        <v>128</v>
      </c>
      <c r="DN468" s="50" t="s">
        <v>1141</v>
      </c>
      <c r="DO468" s="49">
        <v>0.86</v>
      </c>
      <c r="DP468" s="48" t="s">
        <v>128</v>
      </c>
      <c r="DQ468" s="48" t="s">
        <v>128</v>
      </c>
      <c r="DR468" s="51"/>
      <c r="DS468" s="48" t="s">
        <v>134</v>
      </c>
    </row>
    <row r="469">
      <c r="A469" s="52" t="s">
        <v>118</v>
      </c>
      <c r="B469" s="53">
        <v>4.0</v>
      </c>
      <c r="C469" s="52" t="s">
        <v>1123</v>
      </c>
      <c r="D469" s="53">
        <v>627274.0</v>
      </c>
      <c r="E469" s="52" t="s">
        <v>173</v>
      </c>
      <c r="F469" s="52" t="s">
        <v>1172</v>
      </c>
      <c r="G469" s="52" t="s">
        <v>1173</v>
      </c>
      <c r="H469" s="53">
        <v>45058.0</v>
      </c>
      <c r="I469" s="53">
        <v>20.0</v>
      </c>
      <c r="J469" s="53">
        <v>0.0</v>
      </c>
      <c r="K469" s="53">
        <v>0.0</v>
      </c>
      <c r="L469" s="53">
        <v>0.0</v>
      </c>
      <c r="M469" s="53">
        <v>1.0</v>
      </c>
      <c r="N469" s="53">
        <v>0.0</v>
      </c>
      <c r="O469" s="53">
        <v>0.0</v>
      </c>
      <c r="P469" s="53">
        <v>0.0</v>
      </c>
      <c r="Q469" s="53">
        <v>0.0</v>
      </c>
      <c r="R469" s="53">
        <v>1.0</v>
      </c>
      <c r="S469" s="53">
        <v>0.0</v>
      </c>
      <c r="T469" s="53">
        <v>0.0</v>
      </c>
      <c r="U469" s="53">
        <v>1.0</v>
      </c>
      <c r="V469" s="53">
        <v>0.0</v>
      </c>
      <c r="W469" s="53">
        <v>0.0</v>
      </c>
      <c r="X469" s="53">
        <v>0.0</v>
      </c>
      <c r="Y469" s="53">
        <v>3.0</v>
      </c>
      <c r="Z469" s="53">
        <v>0.0</v>
      </c>
      <c r="AA469" s="53">
        <v>1.0</v>
      </c>
      <c r="AB469" s="53">
        <v>0.0</v>
      </c>
      <c r="AC469" s="53">
        <v>2.0</v>
      </c>
      <c r="AD469" s="53">
        <v>1.0</v>
      </c>
      <c r="AE469" s="53">
        <v>0.0</v>
      </c>
      <c r="AF469" s="53">
        <v>2.0</v>
      </c>
      <c r="AG469" s="53">
        <v>2.0</v>
      </c>
      <c r="AH469" s="53">
        <v>1.0</v>
      </c>
      <c r="AI469" s="53">
        <v>0.0</v>
      </c>
      <c r="AJ469" s="53">
        <v>2.0</v>
      </c>
      <c r="AK469" s="53">
        <v>0.0</v>
      </c>
      <c r="AL469" s="53">
        <v>2.0</v>
      </c>
      <c r="AM469" s="53">
        <v>1.0</v>
      </c>
      <c r="AN469" s="53">
        <v>0.0</v>
      </c>
      <c r="AO469" s="55">
        <v>15.3</v>
      </c>
      <c r="AP469" s="54"/>
      <c r="AQ469" s="54"/>
      <c r="AR469" s="54"/>
      <c r="AS469" s="53">
        <v>8.73</v>
      </c>
      <c r="AT469" s="54"/>
      <c r="AU469" s="54"/>
      <c r="AV469" s="54"/>
      <c r="AW469" s="54"/>
      <c r="AX469" s="53">
        <v>10.73</v>
      </c>
      <c r="AY469" s="54"/>
      <c r="AZ469" s="54"/>
      <c r="BA469" s="53">
        <v>13.8</v>
      </c>
      <c r="BB469" s="54"/>
      <c r="BC469" s="54"/>
      <c r="BD469" s="54"/>
      <c r="BE469" s="53">
        <v>14.51</v>
      </c>
      <c r="BF469" s="54"/>
      <c r="BG469" s="53">
        <v>18.52</v>
      </c>
      <c r="BH469" s="54"/>
      <c r="BI469" s="53">
        <v>18.1</v>
      </c>
      <c r="BJ469" s="53">
        <v>17.08</v>
      </c>
      <c r="BK469" s="54"/>
      <c r="BL469" s="53">
        <v>16.53</v>
      </c>
      <c r="BM469" s="53">
        <v>16.79</v>
      </c>
      <c r="BN469" s="53">
        <v>13.08</v>
      </c>
      <c r="BO469" s="53">
        <v>0.26</v>
      </c>
      <c r="BP469" s="53">
        <v>0.83</v>
      </c>
      <c r="BQ469" s="53">
        <v>5.14</v>
      </c>
      <c r="BR469" s="53">
        <v>5.77</v>
      </c>
      <c r="BS469" s="57">
        <v>2.02</v>
      </c>
      <c r="BT469" s="91">
        <v>15.6</v>
      </c>
      <c r="BU469" s="55">
        <v>3.3</v>
      </c>
      <c r="BV469" s="55">
        <v>6.39</v>
      </c>
      <c r="BW469" s="54"/>
      <c r="BX469" s="53">
        <v>3000.0</v>
      </c>
      <c r="BY469" s="53" t="s">
        <v>123</v>
      </c>
      <c r="BZ469" s="58">
        <v>3000.0</v>
      </c>
      <c r="CA469" s="72"/>
      <c r="CB469" s="30">
        <v>3000.0</v>
      </c>
      <c r="CC469" s="31"/>
      <c r="CD469" s="58">
        <v>3000.0</v>
      </c>
      <c r="CE469" s="59" t="e">
        <v>#REF!</v>
      </c>
      <c r="CF469" s="60"/>
      <c r="CG469" s="61">
        <v>0.0</v>
      </c>
      <c r="CH469" s="62">
        <v>0.0</v>
      </c>
      <c r="CI469" s="63">
        <v>20.0</v>
      </c>
      <c r="CJ469" s="63">
        <v>2651.0</v>
      </c>
      <c r="CK469" s="64">
        <v>0.0</v>
      </c>
      <c r="CL469" s="63">
        <v>2651.0</v>
      </c>
      <c r="CM469" s="65">
        <v>306.0</v>
      </c>
      <c r="CN469" s="63">
        <v>0.0</v>
      </c>
      <c r="CO469" s="66">
        <v>15.3</v>
      </c>
      <c r="CP469" s="67">
        <v>0.0</v>
      </c>
      <c r="CQ469" s="63">
        <v>17.0</v>
      </c>
      <c r="CR469" s="63">
        <v>17.0</v>
      </c>
      <c r="CS469" s="63">
        <v>40.0</v>
      </c>
      <c r="CT469" s="68"/>
      <c r="CU469" s="69"/>
      <c r="CV469" s="70"/>
      <c r="CW469" s="71">
        <v>10.0</v>
      </c>
      <c r="CX469" s="71" t="s">
        <v>138</v>
      </c>
      <c r="CY469" s="71" t="s">
        <v>139</v>
      </c>
      <c r="CZ469" s="45"/>
      <c r="DA469" s="44">
        <v>3000.0</v>
      </c>
      <c r="DB469" s="44">
        <v>0.0</v>
      </c>
      <c r="DC469" s="46" t="s">
        <v>127</v>
      </c>
      <c r="DD469" s="47">
        <v>46218.0</v>
      </c>
      <c r="DE469" s="43"/>
      <c r="DF469" s="43"/>
      <c r="DG469" s="48" t="s">
        <v>128</v>
      </c>
      <c r="DH469" s="48" t="s">
        <v>128</v>
      </c>
      <c r="DI469" s="48" t="s">
        <v>128</v>
      </c>
      <c r="DJ469" s="49">
        <v>1.0</v>
      </c>
      <c r="DK469" s="48" t="b">
        <v>1</v>
      </c>
      <c r="DL469" s="50" t="s">
        <v>1140</v>
      </c>
      <c r="DM469" s="50" t="s">
        <v>128</v>
      </c>
      <c r="DN469" s="50" t="s">
        <v>1141</v>
      </c>
      <c r="DO469" s="49">
        <v>0.86</v>
      </c>
      <c r="DP469" s="48" t="s">
        <v>128</v>
      </c>
      <c r="DQ469" s="48" t="s">
        <v>128</v>
      </c>
      <c r="DR469" s="51"/>
      <c r="DS469" s="48" t="s">
        <v>134</v>
      </c>
    </row>
    <row r="470">
      <c r="A470" s="23" t="s">
        <v>118</v>
      </c>
      <c r="B470" s="24">
        <v>4.0</v>
      </c>
      <c r="C470" s="23" t="s">
        <v>1123</v>
      </c>
      <c r="D470" s="24">
        <v>604008.0</v>
      </c>
      <c r="E470" s="23" t="s">
        <v>176</v>
      </c>
      <c r="F470" s="23" t="s">
        <v>1174</v>
      </c>
      <c r="G470" s="23" t="s">
        <v>1175</v>
      </c>
      <c r="H470" s="24">
        <v>45058.0</v>
      </c>
      <c r="I470" s="24">
        <v>4.0</v>
      </c>
      <c r="J470" s="24">
        <v>0.0</v>
      </c>
      <c r="K470" s="24">
        <v>0.0</v>
      </c>
      <c r="L470" s="24">
        <v>0.0</v>
      </c>
      <c r="M470" s="24">
        <v>0.0</v>
      </c>
      <c r="N470" s="24">
        <v>0.0</v>
      </c>
      <c r="O470" s="24">
        <v>0.0</v>
      </c>
      <c r="P470" s="24">
        <v>1.0</v>
      </c>
      <c r="Q470" s="24">
        <v>0.0</v>
      </c>
      <c r="R470" s="24">
        <v>0.0</v>
      </c>
      <c r="S470" s="24">
        <v>0.0</v>
      </c>
      <c r="T470" s="24">
        <v>0.0</v>
      </c>
      <c r="U470" s="24">
        <v>0.0</v>
      </c>
      <c r="V470" s="24">
        <v>0.0</v>
      </c>
      <c r="W470" s="24">
        <v>0.0</v>
      </c>
      <c r="X470" s="24">
        <v>0.0</v>
      </c>
      <c r="Y470" s="24">
        <v>1.0</v>
      </c>
      <c r="Z470" s="24">
        <v>0.0</v>
      </c>
      <c r="AA470" s="24">
        <v>0.0</v>
      </c>
      <c r="AB470" s="24">
        <v>0.0</v>
      </c>
      <c r="AC470" s="24">
        <v>0.0</v>
      </c>
      <c r="AD470" s="24">
        <v>0.0</v>
      </c>
      <c r="AE470" s="24">
        <v>0.0</v>
      </c>
      <c r="AF470" s="24">
        <v>0.0</v>
      </c>
      <c r="AG470" s="24">
        <v>0.0</v>
      </c>
      <c r="AH470" s="24">
        <v>0.0</v>
      </c>
      <c r="AI470" s="24">
        <v>0.0</v>
      </c>
      <c r="AJ470" s="24">
        <v>1.0</v>
      </c>
      <c r="AK470" s="24">
        <v>0.0</v>
      </c>
      <c r="AL470" s="24">
        <v>1.0</v>
      </c>
      <c r="AM470" s="24">
        <v>0.0</v>
      </c>
      <c r="AN470" s="24">
        <v>0.0</v>
      </c>
      <c r="AO470" s="57">
        <v>14.0</v>
      </c>
      <c r="AP470" s="26"/>
      <c r="AQ470" s="26"/>
      <c r="AR470" s="26"/>
      <c r="AS470" s="26"/>
      <c r="AT470" s="26"/>
      <c r="AU470" s="26"/>
      <c r="AV470" s="24">
        <v>9.38</v>
      </c>
      <c r="AW470" s="26"/>
      <c r="AX470" s="26"/>
      <c r="AY470" s="26"/>
      <c r="AZ470" s="26"/>
      <c r="BA470" s="26"/>
      <c r="BB470" s="26"/>
      <c r="BC470" s="26"/>
      <c r="BD470" s="26"/>
      <c r="BE470" s="24">
        <v>15.9</v>
      </c>
      <c r="BF470" s="26"/>
      <c r="BG470" s="26"/>
      <c r="BH470" s="26"/>
      <c r="BI470" s="26"/>
      <c r="BJ470" s="26"/>
      <c r="BK470" s="26"/>
      <c r="BL470" s="26"/>
      <c r="BM470" s="26"/>
      <c r="BN470" s="26"/>
      <c r="BO470" s="24">
        <v>0.26</v>
      </c>
      <c r="BP470" s="24">
        <v>0.74</v>
      </c>
      <c r="BQ470" s="24">
        <v>5.48</v>
      </c>
      <c r="BR470" s="24">
        <v>6.03</v>
      </c>
      <c r="BS470" s="57">
        <v>1.73</v>
      </c>
      <c r="BT470" s="91">
        <v>15.5</v>
      </c>
      <c r="BU470" s="57">
        <v>2.2</v>
      </c>
      <c r="BV470" s="55">
        <v>6.47</v>
      </c>
      <c r="BW470" s="26"/>
      <c r="BX470" s="24">
        <v>3000.0</v>
      </c>
      <c r="BY470" s="24" t="s">
        <v>123</v>
      </c>
      <c r="BZ470" s="28">
        <v>3000.0</v>
      </c>
      <c r="CA470" s="72"/>
      <c r="CB470" s="30">
        <v>3000.0</v>
      </c>
      <c r="CC470" s="31"/>
      <c r="CD470" s="28">
        <v>3000.0</v>
      </c>
      <c r="CE470" s="32" t="e">
        <v>#REF!</v>
      </c>
      <c r="CF470" s="33"/>
      <c r="CG470" s="34">
        <v>0.0</v>
      </c>
      <c r="CH470" s="35">
        <v>0.0</v>
      </c>
      <c r="CI470" s="36">
        <v>4.0</v>
      </c>
      <c r="CJ470" s="36">
        <v>2651.0</v>
      </c>
      <c r="CK470" s="37">
        <v>0.0</v>
      </c>
      <c r="CL470" s="36">
        <v>2651.0</v>
      </c>
      <c r="CM470" s="38">
        <v>56.0</v>
      </c>
      <c r="CN470" s="36">
        <v>0.0</v>
      </c>
      <c r="CO470" s="39">
        <v>14.0</v>
      </c>
      <c r="CP470" s="40">
        <v>0.0</v>
      </c>
      <c r="CQ470" s="36">
        <v>3.0</v>
      </c>
      <c r="CR470" s="36">
        <v>3.0</v>
      </c>
      <c r="CS470" s="36">
        <v>7.0</v>
      </c>
      <c r="CT470" s="41"/>
      <c r="CU470" s="42"/>
      <c r="CV470" s="43"/>
      <c r="CW470" s="44">
        <v>10.0</v>
      </c>
      <c r="CX470" s="44" t="s">
        <v>138</v>
      </c>
      <c r="CY470" s="44" t="s">
        <v>139</v>
      </c>
      <c r="CZ470" s="45"/>
      <c r="DA470" s="44">
        <v>3000.0</v>
      </c>
      <c r="DB470" s="44">
        <v>0.0</v>
      </c>
      <c r="DC470" s="46" t="s">
        <v>127</v>
      </c>
      <c r="DD470" s="47">
        <v>46240.0</v>
      </c>
      <c r="DE470" s="43"/>
      <c r="DF470" s="43"/>
      <c r="DG470" s="48" t="s">
        <v>128</v>
      </c>
      <c r="DH470" s="48" t="s">
        <v>128</v>
      </c>
      <c r="DI470" s="48" t="s">
        <v>128</v>
      </c>
      <c r="DJ470" s="49">
        <v>0.0</v>
      </c>
      <c r="DK470" s="48" t="b">
        <v>0</v>
      </c>
      <c r="DL470" s="50" t="s">
        <v>1140</v>
      </c>
      <c r="DM470" s="50" t="s">
        <v>128</v>
      </c>
      <c r="DN470" s="50" t="s">
        <v>1141</v>
      </c>
      <c r="DO470" s="49">
        <v>0.86</v>
      </c>
      <c r="DP470" s="48" t="s">
        <v>128</v>
      </c>
      <c r="DQ470" s="48" t="s">
        <v>128</v>
      </c>
      <c r="DR470" s="51"/>
      <c r="DS470" s="48" t="s">
        <v>134</v>
      </c>
    </row>
    <row r="471">
      <c r="A471" s="52" t="s">
        <v>118</v>
      </c>
      <c r="B471" s="53">
        <v>4.0</v>
      </c>
      <c r="C471" s="52" t="s">
        <v>1123</v>
      </c>
      <c r="D471" s="53">
        <v>648806.0</v>
      </c>
      <c r="E471" s="52" t="s">
        <v>179</v>
      </c>
      <c r="F471" s="52" t="s">
        <v>1176</v>
      </c>
      <c r="G471" s="52" t="s">
        <v>1177</v>
      </c>
      <c r="H471" s="53">
        <v>45058.0</v>
      </c>
      <c r="I471" s="53">
        <v>3.0</v>
      </c>
      <c r="J471" s="53">
        <v>0.0</v>
      </c>
      <c r="K471" s="53">
        <v>0.0</v>
      </c>
      <c r="L471" s="53">
        <v>0.0</v>
      </c>
      <c r="M471" s="53">
        <v>0.0</v>
      </c>
      <c r="N471" s="53">
        <v>0.0</v>
      </c>
      <c r="O471" s="53">
        <v>0.0</v>
      </c>
      <c r="P471" s="53">
        <v>0.0</v>
      </c>
      <c r="Q471" s="53">
        <v>0.0</v>
      </c>
      <c r="R471" s="53">
        <v>0.0</v>
      </c>
      <c r="S471" s="53">
        <v>0.0</v>
      </c>
      <c r="T471" s="53">
        <v>0.0</v>
      </c>
      <c r="U471" s="53">
        <v>0.0</v>
      </c>
      <c r="V471" s="53">
        <v>0.0</v>
      </c>
      <c r="W471" s="53">
        <v>0.0</v>
      </c>
      <c r="X471" s="53">
        <v>0.0</v>
      </c>
      <c r="Y471" s="53">
        <v>0.0</v>
      </c>
      <c r="Z471" s="53">
        <v>0.0</v>
      </c>
      <c r="AA471" s="53">
        <v>0.0</v>
      </c>
      <c r="AB471" s="53">
        <v>0.0</v>
      </c>
      <c r="AC471" s="53">
        <v>1.0</v>
      </c>
      <c r="AD471" s="53">
        <v>0.0</v>
      </c>
      <c r="AE471" s="53">
        <v>0.0</v>
      </c>
      <c r="AF471" s="53">
        <v>0.0</v>
      </c>
      <c r="AG471" s="53">
        <v>0.0</v>
      </c>
      <c r="AH471" s="53">
        <v>1.0</v>
      </c>
      <c r="AI471" s="53">
        <v>0.0</v>
      </c>
      <c r="AJ471" s="53">
        <v>1.0</v>
      </c>
      <c r="AK471" s="53">
        <v>0.0</v>
      </c>
      <c r="AL471" s="53">
        <v>0.0</v>
      </c>
      <c r="AM471" s="53">
        <v>0.0</v>
      </c>
      <c r="AN471" s="53">
        <v>0.0</v>
      </c>
      <c r="AO471" s="25">
        <v>18.0</v>
      </c>
      <c r="AP471" s="54"/>
      <c r="AQ471" s="54"/>
      <c r="AR471" s="54"/>
      <c r="AS471" s="54"/>
      <c r="AT471" s="54"/>
      <c r="AU471" s="54"/>
      <c r="AV471" s="54"/>
      <c r="AW471" s="54"/>
      <c r="AX471" s="54"/>
      <c r="AY471" s="54"/>
      <c r="AZ471" s="54"/>
      <c r="BA471" s="54"/>
      <c r="BB471" s="54"/>
      <c r="BC471" s="54"/>
      <c r="BD471" s="54"/>
      <c r="BE471" s="54"/>
      <c r="BF471" s="54"/>
      <c r="BG471" s="54"/>
      <c r="BH471" s="54"/>
      <c r="BI471" s="53">
        <v>15.37</v>
      </c>
      <c r="BJ471" s="54"/>
      <c r="BK471" s="54"/>
      <c r="BL471" s="54"/>
      <c r="BM471" s="54"/>
      <c r="BN471" s="53">
        <v>19.57</v>
      </c>
      <c r="BO471" s="53">
        <v>0.32</v>
      </c>
      <c r="BP471" s="53">
        <v>0.87</v>
      </c>
      <c r="BQ471" s="53">
        <v>7.34</v>
      </c>
      <c r="BR471" s="53">
        <v>8.01</v>
      </c>
      <c r="BS471" s="57">
        <v>1.71</v>
      </c>
      <c r="BT471" s="56">
        <v>19.4</v>
      </c>
      <c r="BU471" s="57">
        <v>1.6</v>
      </c>
      <c r="BV471" s="25">
        <v>8.44</v>
      </c>
      <c r="BW471" s="54"/>
      <c r="BX471" s="53">
        <v>3000.0</v>
      </c>
      <c r="BY471" s="53" t="s">
        <v>123</v>
      </c>
      <c r="BZ471" s="58">
        <v>2700.0</v>
      </c>
      <c r="CA471" s="29" t="s">
        <v>124</v>
      </c>
      <c r="CB471" s="30">
        <v>3000.0</v>
      </c>
      <c r="CC471" s="31"/>
      <c r="CD471" s="58">
        <v>3000.0</v>
      </c>
      <c r="CE471" s="59" t="e">
        <v>#REF!</v>
      </c>
      <c r="CF471" s="60"/>
      <c r="CG471" s="61">
        <v>0.0</v>
      </c>
      <c r="CH471" s="62">
        <v>0.0</v>
      </c>
      <c r="CI471" s="63">
        <v>3.0</v>
      </c>
      <c r="CJ471" s="63">
        <v>2651.0</v>
      </c>
      <c r="CK471" s="64">
        <v>0.0</v>
      </c>
      <c r="CL471" s="63">
        <v>2651.0</v>
      </c>
      <c r="CM471" s="65">
        <v>54.0</v>
      </c>
      <c r="CN471" s="63">
        <v>0.0</v>
      </c>
      <c r="CO471" s="66">
        <v>18.0</v>
      </c>
      <c r="CP471" s="67">
        <v>0.0</v>
      </c>
      <c r="CQ471" s="63">
        <v>3.0</v>
      </c>
      <c r="CR471" s="63">
        <v>3.0</v>
      </c>
      <c r="CS471" s="63">
        <v>5.0</v>
      </c>
      <c r="CT471" s="68"/>
      <c r="CU471" s="69"/>
      <c r="CV471" s="70"/>
      <c r="CW471" s="71">
        <v>10.0</v>
      </c>
      <c r="CX471" s="71" t="s">
        <v>138</v>
      </c>
      <c r="CY471" s="71" t="s">
        <v>139</v>
      </c>
      <c r="CZ471" s="45"/>
      <c r="DA471" s="44">
        <v>3000.0</v>
      </c>
      <c r="DB471" s="44">
        <v>0.0</v>
      </c>
      <c r="DC471" s="46" t="s">
        <v>127</v>
      </c>
      <c r="DD471" s="47">
        <v>46245.0</v>
      </c>
      <c r="DE471" s="43"/>
      <c r="DF471" s="43"/>
      <c r="DG471" s="48" t="s">
        <v>128</v>
      </c>
      <c r="DH471" s="48" t="s">
        <v>128</v>
      </c>
      <c r="DI471" s="48" t="s">
        <v>128</v>
      </c>
      <c r="DJ471" s="49">
        <v>1.0</v>
      </c>
      <c r="DK471" s="48" t="b">
        <v>0</v>
      </c>
      <c r="DL471" s="50" t="s">
        <v>1140</v>
      </c>
      <c r="DM471" s="50" t="s">
        <v>128</v>
      </c>
      <c r="DN471" s="50" t="s">
        <v>1141</v>
      </c>
      <c r="DO471" s="49">
        <v>0.86</v>
      </c>
      <c r="DP471" s="48" t="s">
        <v>128</v>
      </c>
      <c r="DQ471" s="48" t="s">
        <v>128</v>
      </c>
      <c r="DR471" s="51"/>
      <c r="DS471" s="48" t="s">
        <v>134</v>
      </c>
    </row>
    <row r="472">
      <c r="A472" s="23" t="s">
        <v>118</v>
      </c>
      <c r="B472" s="24">
        <v>4.0</v>
      </c>
      <c r="C472" s="23" t="s">
        <v>1123</v>
      </c>
      <c r="D472" s="24">
        <v>648803.0</v>
      </c>
      <c r="E472" s="23" t="s">
        <v>189</v>
      </c>
      <c r="F472" s="23" t="s">
        <v>1178</v>
      </c>
      <c r="G472" s="23" t="s">
        <v>1179</v>
      </c>
      <c r="H472" s="24">
        <v>45058.0</v>
      </c>
      <c r="I472" s="24">
        <v>1.0</v>
      </c>
      <c r="J472" s="24">
        <v>0.0</v>
      </c>
      <c r="K472" s="24">
        <v>0.0</v>
      </c>
      <c r="L472" s="24">
        <v>0.0</v>
      </c>
      <c r="M472" s="24">
        <v>0.0</v>
      </c>
      <c r="N472" s="24">
        <v>0.0</v>
      </c>
      <c r="O472" s="24">
        <v>0.0</v>
      </c>
      <c r="P472" s="24">
        <v>0.0</v>
      </c>
      <c r="Q472" s="24">
        <v>0.0</v>
      </c>
      <c r="R472" s="24">
        <v>0.0</v>
      </c>
      <c r="S472" s="24">
        <v>0.0</v>
      </c>
      <c r="T472" s="24">
        <v>0.0</v>
      </c>
      <c r="U472" s="24">
        <v>0.0</v>
      </c>
      <c r="V472" s="24">
        <v>0.0</v>
      </c>
      <c r="W472" s="24">
        <v>0.0</v>
      </c>
      <c r="X472" s="24">
        <v>0.0</v>
      </c>
      <c r="Y472" s="24">
        <v>0.0</v>
      </c>
      <c r="Z472" s="24">
        <v>0.0</v>
      </c>
      <c r="AA472" s="24">
        <v>0.0</v>
      </c>
      <c r="AB472" s="24">
        <v>0.0</v>
      </c>
      <c r="AC472" s="24">
        <v>0.0</v>
      </c>
      <c r="AD472" s="24">
        <v>0.0</v>
      </c>
      <c r="AE472" s="24">
        <v>0.0</v>
      </c>
      <c r="AF472" s="24">
        <v>0.0</v>
      </c>
      <c r="AG472" s="24">
        <v>0.0</v>
      </c>
      <c r="AH472" s="24">
        <v>0.0</v>
      </c>
      <c r="AI472" s="24">
        <v>0.0</v>
      </c>
      <c r="AJ472" s="24">
        <v>0.0</v>
      </c>
      <c r="AK472" s="24">
        <v>1.0</v>
      </c>
      <c r="AL472" s="24">
        <v>0.0</v>
      </c>
      <c r="AM472" s="24">
        <v>0.0</v>
      </c>
      <c r="AN472" s="24">
        <v>0.0</v>
      </c>
      <c r="AO472" s="25">
        <v>23.9</v>
      </c>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4">
        <v>0.4</v>
      </c>
      <c r="BP472" s="24">
        <v>0.88</v>
      </c>
      <c r="BQ472" s="24">
        <v>12.78</v>
      </c>
      <c r="BR472" s="24">
        <v>13.48</v>
      </c>
      <c r="BS472" s="57">
        <v>1.0</v>
      </c>
      <c r="BT472" s="27"/>
      <c r="BU472" s="26"/>
      <c r="BV472" s="26"/>
      <c r="BW472" s="26"/>
      <c r="BX472" s="24">
        <v>3000.0</v>
      </c>
      <c r="BY472" s="24" t="s">
        <v>123</v>
      </c>
      <c r="BZ472" s="28">
        <v>2700.0</v>
      </c>
      <c r="CA472" s="29" t="s">
        <v>124</v>
      </c>
      <c r="CB472" s="30">
        <v>3000.0</v>
      </c>
      <c r="CC472" s="31"/>
      <c r="CD472" s="28">
        <v>3000.0</v>
      </c>
      <c r="CE472" s="32" t="e">
        <v>#REF!</v>
      </c>
      <c r="CF472" s="33"/>
      <c r="CG472" s="34">
        <v>0.0</v>
      </c>
      <c r="CH472" s="35">
        <v>0.0</v>
      </c>
      <c r="CI472" s="36">
        <v>1.0</v>
      </c>
      <c r="CJ472" s="36">
        <v>2651.0</v>
      </c>
      <c r="CK472" s="37">
        <v>0.0</v>
      </c>
      <c r="CL472" s="36">
        <v>2651.0</v>
      </c>
      <c r="CM472" s="38">
        <v>24.0</v>
      </c>
      <c r="CN472" s="36">
        <v>0.0</v>
      </c>
      <c r="CO472" s="39">
        <v>23.9</v>
      </c>
      <c r="CP472" s="40">
        <v>0.0</v>
      </c>
      <c r="CQ472" s="36">
        <v>1.0</v>
      </c>
      <c r="CR472" s="36">
        <v>1.0</v>
      </c>
      <c r="CS472" s="36">
        <v>1.0</v>
      </c>
      <c r="CT472" s="41"/>
      <c r="CU472" s="42"/>
      <c r="CV472" s="43"/>
      <c r="CW472" s="44">
        <v>10.0</v>
      </c>
      <c r="CX472" s="44" t="s">
        <v>138</v>
      </c>
      <c r="CY472" s="44" t="s">
        <v>139</v>
      </c>
      <c r="CZ472" s="45"/>
      <c r="DA472" s="44">
        <v>3000.0</v>
      </c>
      <c r="DB472" s="44">
        <v>0.0</v>
      </c>
      <c r="DC472" s="43"/>
      <c r="DD472" s="78"/>
      <c r="DE472" s="43"/>
      <c r="DF472" s="43"/>
      <c r="DG472" s="48" t="s">
        <v>128</v>
      </c>
      <c r="DH472" s="48" t="s">
        <v>128</v>
      </c>
      <c r="DI472" s="48" t="s">
        <v>129</v>
      </c>
      <c r="DJ472" s="49">
        <v>0.0</v>
      </c>
      <c r="DK472" s="48" t="b">
        <v>0</v>
      </c>
      <c r="DL472" s="50" t="s">
        <v>1140</v>
      </c>
      <c r="DM472" s="50" t="s">
        <v>128</v>
      </c>
      <c r="DN472" s="50" t="s">
        <v>1141</v>
      </c>
      <c r="DO472" s="49">
        <v>0.86</v>
      </c>
      <c r="DP472" s="48" t="s">
        <v>128</v>
      </c>
      <c r="DQ472" s="48" t="s">
        <v>133</v>
      </c>
      <c r="DR472" s="51"/>
      <c r="DS472" s="48" t="s">
        <v>134</v>
      </c>
    </row>
    <row r="473">
      <c r="A473" s="52" t="s">
        <v>118</v>
      </c>
      <c r="B473" s="53">
        <v>4.0</v>
      </c>
      <c r="C473" s="52" t="s">
        <v>1123</v>
      </c>
      <c r="D473" s="53">
        <v>680909.0</v>
      </c>
      <c r="E473" s="52" t="s">
        <v>288</v>
      </c>
      <c r="F473" s="52" t="s">
        <v>1180</v>
      </c>
      <c r="G473" s="52" t="s">
        <v>1181</v>
      </c>
      <c r="H473" s="53">
        <v>45058.0</v>
      </c>
      <c r="I473" s="53">
        <v>1.0</v>
      </c>
      <c r="J473" s="53">
        <v>0.0</v>
      </c>
      <c r="K473" s="53">
        <v>0.0</v>
      </c>
      <c r="L473" s="53">
        <v>0.0</v>
      </c>
      <c r="M473" s="53">
        <v>0.0</v>
      </c>
      <c r="N473" s="53">
        <v>0.0</v>
      </c>
      <c r="O473" s="53">
        <v>0.0</v>
      </c>
      <c r="P473" s="53">
        <v>0.0</v>
      </c>
      <c r="Q473" s="53">
        <v>0.0</v>
      </c>
      <c r="R473" s="53">
        <v>0.0</v>
      </c>
      <c r="S473" s="53">
        <v>0.0</v>
      </c>
      <c r="T473" s="53">
        <v>0.0</v>
      </c>
      <c r="U473" s="53">
        <v>0.0</v>
      </c>
      <c r="V473" s="53">
        <v>0.0</v>
      </c>
      <c r="W473" s="53">
        <v>0.0</v>
      </c>
      <c r="X473" s="53">
        <v>0.0</v>
      </c>
      <c r="Y473" s="53">
        <v>0.0</v>
      </c>
      <c r="Z473" s="53">
        <v>0.0</v>
      </c>
      <c r="AA473" s="53">
        <v>0.0</v>
      </c>
      <c r="AB473" s="53">
        <v>0.0</v>
      </c>
      <c r="AC473" s="53">
        <v>0.0</v>
      </c>
      <c r="AD473" s="53">
        <v>0.0</v>
      </c>
      <c r="AE473" s="53">
        <v>0.0</v>
      </c>
      <c r="AF473" s="53">
        <v>0.0</v>
      </c>
      <c r="AG473" s="53">
        <v>0.0</v>
      </c>
      <c r="AH473" s="53">
        <v>1.0</v>
      </c>
      <c r="AI473" s="53">
        <v>0.0</v>
      </c>
      <c r="AJ473" s="53">
        <v>0.0</v>
      </c>
      <c r="AK473" s="53">
        <v>0.0</v>
      </c>
      <c r="AL473" s="53">
        <v>0.0</v>
      </c>
      <c r="AM473" s="53">
        <v>0.0</v>
      </c>
      <c r="AN473" s="53">
        <v>0.0</v>
      </c>
      <c r="AO473" s="55">
        <v>16.2</v>
      </c>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3">
        <v>16.18</v>
      </c>
      <c r="BO473" s="54"/>
      <c r="BP473" s="53">
        <v>1.87</v>
      </c>
      <c r="BQ473" s="53">
        <v>5.28</v>
      </c>
      <c r="BR473" s="53">
        <v>6.92</v>
      </c>
      <c r="BS473" s="57">
        <v>0.9</v>
      </c>
      <c r="BT473" s="91">
        <v>16.2</v>
      </c>
      <c r="BU473" s="57">
        <v>0.9</v>
      </c>
      <c r="BV473" s="25">
        <v>8.13</v>
      </c>
      <c r="BW473" s="54"/>
      <c r="BX473" s="53">
        <v>3000.0</v>
      </c>
      <c r="BY473" s="53" t="s">
        <v>123</v>
      </c>
      <c r="BZ473" s="58">
        <v>2700.0</v>
      </c>
      <c r="CA473" s="29" t="s">
        <v>124</v>
      </c>
      <c r="CB473" s="30">
        <v>3000.0</v>
      </c>
      <c r="CC473" s="31"/>
      <c r="CD473" s="58">
        <v>3000.0</v>
      </c>
      <c r="CE473" s="59" t="e">
        <v>#REF!</v>
      </c>
      <c r="CF473" s="60"/>
      <c r="CG473" s="61">
        <v>0.0</v>
      </c>
      <c r="CH473" s="62">
        <v>0.0</v>
      </c>
      <c r="CI473" s="63">
        <v>1.0</v>
      </c>
      <c r="CJ473" s="63">
        <v>2651.0</v>
      </c>
      <c r="CK473" s="64">
        <v>0.0</v>
      </c>
      <c r="CL473" s="63">
        <v>2651.0</v>
      </c>
      <c r="CM473" s="65">
        <v>16.0</v>
      </c>
      <c r="CN473" s="63">
        <v>0.0</v>
      </c>
      <c r="CO473" s="66">
        <v>16.2</v>
      </c>
      <c r="CP473" s="67">
        <v>0.0</v>
      </c>
      <c r="CQ473" s="63">
        <v>2.0</v>
      </c>
      <c r="CR473" s="63">
        <v>2.0</v>
      </c>
      <c r="CS473" s="63">
        <v>1.0</v>
      </c>
      <c r="CT473" s="68"/>
      <c r="CU473" s="69"/>
      <c r="CV473" s="70"/>
      <c r="CW473" s="71">
        <v>10.0</v>
      </c>
      <c r="CX473" s="71" t="s">
        <v>138</v>
      </c>
      <c r="CY473" s="71" t="s">
        <v>139</v>
      </c>
      <c r="CZ473" s="45"/>
      <c r="DA473" s="44">
        <v>3000.0</v>
      </c>
      <c r="DB473" s="44">
        <v>0.0</v>
      </c>
      <c r="DC473" s="46" t="s">
        <v>127</v>
      </c>
      <c r="DD473" s="47">
        <v>46246.0</v>
      </c>
      <c r="DE473" s="43"/>
      <c r="DF473" s="43"/>
      <c r="DG473" s="48" t="s">
        <v>128</v>
      </c>
      <c r="DH473" s="48" t="s">
        <v>128</v>
      </c>
      <c r="DI473" s="48" t="s">
        <v>128</v>
      </c>
      <c r="DJ473" s="49">
        <v>1.0</v>
      </c>
      <c r="DK473" s="48" t="b">
        <v>0</v>
      </c>
      <c r="DL473" s="50" t="s">
        <v>1140</v>
      </c>
      <c r="DM473" s="50" t="s">
        <v>128</v>
      </c>
      <c r="DN473" s="50" t="s">
        <v>1141</v>
      </c>
      <c r="DO473" s="49">
        <v>0.86</v>
      </c>
      <c r="DP473" s="48" t="s">
        <v>128</v>
      </c>
      <c r="DQ473" s="48" t="s">
        <v>128</v>
      </c>
      <c r="DR473" s="51"/>
      <c r="DS473" s="48" t="s">
        <v>134</v>
      </c>
    </row>
    <row r="474">
      <c r="A474" s="23" t="s">
        <v>118</v>
      </c>
      <c r="B474" s="24">
        <v>4.0</v>
      </c>
      <c r="C474" s="23" t="s">
        <v>1123</v>
      </c>
      <c r="D474" s="24">
        <v>680603.0</v>
      </c>
      <c r="E474" s="23" t="s">
        <v>182</v>
      </c>
      <c r="F474" s="23" t="s">
        <v>1182</v>
      </c>
      <c r="G474" s="23" t="s">
        <v>1183</v>
      </c>
      <c r="H474" s="24">
        <v>45058.0</v>
      </c>
      <c r="I474" s="24">
        <v>1.0</v>
      </c>
      <c r="J474" s="24">
        <v>0.0</v>
      </c>
      <c r="K474" s="24">
        <v>0.0</v>
      </c>
      <c r="L474" s="24">
        <v>0.0</v>
      </c>
      <c r="M474" s="24">
        <v>0.0</v>
      </c>
      <c r="N474" s="24">
        <v>0.0</v>
      </c>
      <c r="O474" s="24">
        <v>1.0</v>
      </c>
      <c r="P474" s="24">
        <v>0.0</v>
      </c>
      <c r="Q474" s="24">
        <v>0.0</v>
      </c>
      <c r="R474" s="24">
        <v>0.0</v>
      </c>
      <c r="S474" s="24">
        <v>0.0</v>
      </c>
      <c r="T474" s="24">
        <v>0.0</v>
      </c>
      <c r="U474" s="24">
        <v>0.0</v>
      </c>
      <c r="V474" s="24">
        <v>0.0</v>
      </c>
      <c r="W474" s="24">
        <v>0.0</v>
      </c>
      <c r="X474" s="24">
        <v>0.0</v>
      </c>
      <c r="Y474" s="24">
        <v>0.0</v>
      </c>
      <c r="Z474" s="24">
        <v>0.0</v>
      </c>
      <c r="AA474" s="24">
        <v>0.0</v>
      </c>
      <c r="AB474" s="24">
        <v>0.0</v>
      </c>
      <c r="AC474" s="24">
        <v>0.0</v>
      </c>
      <c r="AD474" s="24">
        <v>0.0</v>
      </c>
      <c r="AE474" s="24">
        <v>0.0</v>
      </c>
      <c r="AF474" s="24">
        <v>0.0</v>
      </c>
      <c r="AG474" s="24">
        <v>0.0</v>
      </c>
      <c r="AH474" s="24">
        <v>0.0</v>
      </c>
      <c r="AI474" s="24">
        <v>0.0</v>
      </c>
      <c r="AJ474" s="24">
        <v>0.0</v>
      </c>
      <c r="AK474" s="24">
        <v>0.0</v>
      </c>
      <c r="AL474" s="24">
        <v>0.0</v>
      </c>
      <c r="AM474" s="24">
        <v>0.0</v>
      </c>
      <c r="AN474" s="24">
        <v>0.0</v>
      </c>
      <c r="AO474" s="57">
        <v>11.7</v>
      </c>
      <c r="AP474" s="26"/>
      <c r="AQ474" s="26"/>
      <c r="AR474" s="26"/>
      <c r="AS474" s="26"/>
      <c r="AT474" s="26"/>
      <c r="AU474" s="24">
        <v>11.73</v>
      </c>
      <c r="AV474" s="26"/>
      <c r="AW474" s="26"/>
      <c r="AX474" s="26"/>
      <c r="AY474" s="26"/>
      <c r="AZ474" s="26"/>
      <c r="BA474" s="26"/>
      <c r="BB474" s="26"/>
      <c r="BC474" s="26"/>
      <c r="BD474" s="26"/>
      <c r="BE474" s="26"/>
      <c r="BF474" s="26"/>
      <c r="BG474" s="26"/>
      <c r="BH474" s="26"/>
      <c r="BI474" s="26"/>
      <c r="BJ474" s="26"/>
      <c r="BK474" s="26"/>
      <c r="BL474" s="26"/>
      <c r="BM474" s="26"/>
      <c r="BN474" s="26"/>
      <c r="BO474" s="26"/>
      <c r="BP474" s="24">
        <v>0.92</v>
      </c>
      <c r="BQ474" s="24">
        <v>5.43</v>
      </c>
      <c r="BR474" s="24">
        <v>6.15</v>
      </c>
      <c r="BS474" s="57">
        <v>0.88</v>
      </c>
      <c r="BT474" s="27"/>
      <c r="BU474" s="26"/>
      <c r="BV474" s="26"/>
      <c r="BW474" s="26"/>
      <c r="BX474" s="24">
        <v>3000.0</v>
      </c>
      <c r="BY474" s="24" t="s">
        <v>123</v>
      </c>
      <c r="BZ474" s="28">
        <v>3000.0</v>
      </c>
      <c r="CA474" s="72"/>
      <c r="CB474" s="30">
        <v>3000.0</v>
      </c>
      <c r="CC474" s="31"/>
      <c r="CD474" s="28">
        <v>3000.0</v>
      </c>
      <c r="CE474" s="32" t="e">
        <v>#REF!</v>
      </c>
      <c r="CF474" s="33"/>
      <c r="CG474" s="34">
        <v>0.0</v>
      </c>
      <c r="CH474" s="35">
        <v>0.0</v>
      </c>
      <c r="CI474" s="36">
        <v>1.0</v>
      </c>
      <c r="CJ474" s="36">
        <v>2651.0</v>
      </c>
      <c r="CK474" s="37">
        <v>0.0</v>
      </c>
      <c r="CL474" s="36">
        <v>2651.0</v>
      </c>
      <c r="CM474" s="38">
        <v>12.0</v>
      </c>
      <c r="CN474" s="36">
        <v>0.0</v>
      </c>
      <c r="CO474" s="39">
        <v>11.7</v>
      </c>
      <c r="CP474" s="40">
        <v>0.0</v>
      </c>
      <c r="CQ474" s="36">
        <v>1.0</v>
      </c>
      <c r="CR474" s="36">
        <v>1.0</v>
      </c>
      <c r="CS474" s="36">
        <v>1.0</v>
      </c>
      <c r="CT474" s="41"/>
      <c r="CU474" s="42"/>
      <c r="CV474" s="43"/>
      <c r="CW474" s="44">
        <v>10.0</v>
      </c>
      <c r="CX474" s="44" t="s">
        <v>138</v>
      </c>
      <c r="CY474" s="44" t="s">
        <v>139</v>
      </c>
      <c r="CZ474" s="45"/>
      <c r="DA474" s="44">
        <v>3000.0</v>
      </c>
      <c r="DB474" s="44">
        <v>0.0</v>
      </c>
      <c r="DC474" s="46" t="s">
        <v>127</v>
      </c>
      <c r="DD474" s="47">
        <v>46245.0</v>
      </c>
      <c r="DE474" s="43"/>
      <c r="DF474" s="43"/>
      <c r="DG474" s="48" t="s">
        <v>128</v>
      </c>
      <c r="DH474" s="48" t="s">
        <v>128</v>
      </c>
      <c r="DI474" s="48" t="s">
        <v>129</v>
      </c>
      <c r="DJ474" s="49">
        <v>1.0</v>
      </c>
      <c r="DK474" s="48" t="b">
        <v>0</v>
      </c>
      <c r="DL474" s="50" t="s">
        <v>1140</v>
      </c>
      <c r="DM474" s="50" t="s">
        <v>128</v>
      </c>
      <c r="DN474" s="50" t="s">
        <v>1141</v>
      </c>
      <c r="DO474" s="49">
        <v>0.86</v>
      </c>
      <c r="DP474" s="48" t="s">
        <v>128</v>
      </c>
      <c r="DQ474" s="48" t="s">
        <v>133</v>
      </c>
      <c r="DR474" s="51"/>
      <c r="DS474" s="48" t="s">
        <v>134</v>
      </c>
    </row>
    <row r="475">
      <c r="A475" s="52" t="s">
        <v>118</v>
      </c>
      <c r="B475" s="53">
        <v>4.0</v>
      </c>
      <c r="C475" s="52" t="s">
        <v>1123</v>
      </c>
      <c r="D475" s="53">
        <v>680588.0</v>
      </c>
      <c r="E475" s="52" t="s">
        <v>251</v>
      </c>
      <c r="F475" s="52" t="s">
        <v>1184</v>
      </c>
      <c r="G475" s="52" t="s">
        <v>1185</v>
      </c>
      <c r="H475" s="53">
        <v>45058.0</v>
      </c>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c r="BS475" s="54"/>
      <c r="BT475" s="81"/>
      <c r="BU475" s="54"/>
      <c r="BV475" s="54"/>
      <c r="BW475" s="54"/>
      <c r="BX475" s="53">
        <v>3000.0</v>
      </c>
      <c r="BY475" s="53" t="s">
        <v>123</v>
      </c>
      <c r="BZ475" s="58">
        <v>3000.0</v>
      </c>
      <c r="CA475" s="72"/>
      <c r="CB475" s="82"/>
      <c r="CC475" s="31"/>
      <c r="CD475" s="58">
        <v>3000.0</v>
      </c>
      <c r="CE475" s="83" t="s">
        <v>185</v>
      </c>
      <c r="CF475" s="60"/>
      <c r="CG475" s="61">
        <v>0.0</v>
      </c>
      <c r="CH475" s="84"/>
      <c r="CI475" s="63">
        <v>0.0</v>
      </c>
      <c r="CJ475" s="63">
        <v>2651.0</v>
      </c>
      <c r="CK475" s="64">
        <v>0.0</v>
      </c>
      <c r="CL475" s="63">
        <v>2651.0</v>
      </c>
      <c r="CM475" s="65">
        <v>0.0</v>
      </c>
      <c r="CN475" s="63">
        <v>0.0</v>
      </c>
      <c r="CO475" s="66">
        <v>0.0</v>
      </c>
      <c r="CP475" s="67">
        <v>0.0</v>
      </c>
      <c r="CQ475" s="63">
        <v>0.0</v>
      </c>
      <c r="CR475" s="63">
        <v>0.0</v>
      </c>
      <c r="CS475" s="63">
        <v>0.0</v>
      </c>
      <c r="CT475" s="68"/>
      <c r="CU475" s="69"/>
      <c r="CV475" s="70"/>
      <c r="CW475" s="71">
        <v>10.0</v>
      </c>
      <c r="CX475" s="71" t="s">
        <v>138</v>
      </c>
      <c r="CY475" s="71" t="s">
        <v>139</v>
      </c>
      <c r="CZ475" s="45"/>
      <c r="DA475" s="43"/>
      <c r="DB475" s="44">
        <v>0.0</v>
      </c>
      <c r="DC475" s="43"/>
      <c r="DD475" s="78"/>
      <c r="DE475" s="43"/>
      <c r="DF475" s="43"/>
      <c r="DG475" s="48" t="s">
        <v>128</v>
      </c>
      <c r="DH475" s="48" t="s">
        <v>128</v>
      </c>
      <c r="DI475" s="85" t="str">
        <f>+ OFF 30 DIAS SIN VENTA</f>
        <v>#ERROR!</v>
      </c>
      <c r="DJ475" s="49">
        <v>1.0</v>
      </c>
      <c r="DK475" s="48" t="b">
        <v>0</v>
      </c>
      <c r="DL475" s="50" t="s">
        <v>1140</v>
      </c>
      <c r="DM475" s="50" t="s">
        <v>128</v>
      </c>
      <c r="DN475" s="50" t="s">
        <v>1141</v>
      </c>
      <c r="DO475" s="49">
        <v>0.86</v>
      </c>
      <c r="DP475" s="48" t="s">
        <v>128</v>
      </c>
      <c r="DQ475" s="86" t="str">
        <f>+ OFF 30 DIAS SIN VENTA</f>
        <v>#ERROR!</v>
      </c>
      <c r="DR475" s="51"/>
      <c r="DS475" s="48" t="s">
        <v>134</v>
      </c>
    </row>
    <row r="476">
      <c r="A476" s="23" t="s">
        <v>118</v>
      </c>
      <c r="B476" s="24">
        <v>4.0</v>
      </c>
      <c r="C476" s="23" t="s">
        <v>1123</v>
      </c>
      <c r="D476" s="24">
        <v>681287.0</v>
      </c>
      <c r="E476" s="23" t="s">
        <v>354</v>
      </c>
      <c r="F476" s="23" t="s">
        <v>1186</v>
      </c>
      <c r="G476" s="23" t="s">
        <v>1187</v>
      </c>
      <c r="H476" s="24">
        <v>45058.0</v>
      </c>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7"/>
      <c r="BU476" s="26"/>
      <c r="BV476" s="26"/>
      <c r="BW476" s="26"/>
      <c r="BX476" s="24">
        <v>1.0</v>
      </c>
      <c r="BY476" s="23" t="s">
        <v>123</v>
      </c>
      <c r="BZ476" s="87">
        <v>1.0</v>
      </c>
      <c r="CA476" s="72"/>
      <c r="CB476" s="82"/>
      <c r="CC476" s="31"/>
      <c r="CD476" s="28">
        <v>1.0</v>
      </c>
      <c r="CE476" s="88" t="s">
        <v>185</v>
      </c>
      <c r="CF476" s="33"/>
      <c r="CG476" s="34">
        <v>0.0</v>
      </c>
      <c r="CH476" s="89"/>
      <c r="CI476" s="36">
        <v>0.0</v>
      </c>
      <c r="CJ476" s="36">
        <v>2651.0</v>
      </c>
      <c r="CK476" s="37">
        <v>0.0</v>
      </c>
      <c r="CL476" s="36">
        <v>2651.0</v>
      </c>
      <c r="CM476" s="38">
        <v>0.0</v>
      </c>
      <c r="CN476" s="36">
        <v>0.0</v>
      </c>
      <c r="CO476" s="39">
        <v>0.0</v>
      </c>
      <c r="CP476" s="40">
        <v>0.0</v>
      </c>
      <c r="CQ476" s="36">
        <v>0.0</v>
      </c>
      <c r="CR476" s="36">
        <v>0.0</v>
      </c>
      <c r="CS476" s="36">
        <v>0.0</v>
      </c>
      <c r="CT476" s="41"/>
      <c r="CU476" s="42"/>
      <c r="CV476" s="43"/>
      <c r="CW476" s="44">
        <v>1.0</v>
      </c>
      <c r="CX476" s="44">
        <v>1.0</v>
      </c>
      <c r="CY476" s="44">
        <v>0.1</v>
      </c>
      <c r="CZ476" s="45"/>
      <c r="DA476" s="43"/>
      <c r="DB476" s="44">
        <v>0.0</v>
      </c>
      <c r="DC476" s="43"/>
      <c r="DD476" s="78"/>
      <c r="DE476" s="43"/>
      <c r="DF476" s="43"/>
      <c r="DG476" s="48" t="s">
        <v>128</v>
      </c>
      <c r="DH476" s="48" t="s">
        <v>131</v>
      </c>
      <c r="DI476" s="48" t="s">
        <v>188</v>
      </c>
      <c r="DJ476" s="49">
        <v>1.0</v>
      </c>
      <c r="DK476" s="48" t="b">
        <v>0</v>
      </c>
      <c r="DL476" s="50" t="s">
        <v>1140</v>
      </c>
      <c r="DM476" s="50" t="s">
        <v>128</v>
      </c>
      <c r="DN476" s="50" t="s">
        <v>1141</v>
      </c>
      <c r="DO476" s="49">
        <v>0.86</v>
      </c>
      <c r="DP476" s="51"/>
      <c r="DQ476" s="48" t="s">
        <v>188</v>
      </c>
      <c r="DR476" s="51"/>
      <c r="DS476" s="48" t="s">
        <v>134</v>
      </c>
    </row>
    <row r="477">
      <c r="A477" s="52" t="s">
        <v>118</v>
      </c>
      <c r="B477" s="53">
        <v>4.0</v>
      </c>
      <c r="C477" s="52" t="s">
        <v>1123</v>
      </c>
      <c r="D477" s="53">
        <v>536832.0</v>
      </c>
      <c r="E477" s="52" t="s">
        <v>158</v>
      </c>
      <c r="F477" s="52" t="s">
        <v>1188</v>
      </c>
      <c r="G477" s="52" t="s">
        <v>1189</v>
      </c>
      <c r="H477" s="53">
        <v>45058.0</v>
      </c>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c r="BS477" s="54"/>
      <c r="BT477" s="81"/>
      <c r="BU477" s="54"/>
      <c r="BV477" s="54"/>
      <c r="BW477" s="54"/>
      <c r="BX477" s="53">
        <v>1.0</v>
      </c>
      <c r="BY477" s="53" t="s">
        <v>123</v>
      </c>
      <c r="BZ477" s="87">
        <v>1.0</v>
      </c>
      <c r="CA477" s="72"/>
      <c r="CB477" s="82"/>
      <c r="CC477" s="31"/>
      <c r="CD477" s="58">
        <v>1.0</v>
      </c>
      <c r="CE477" s="83" t="s">
        <v>185</v>
      </c>
      <c r="CF477" s="60"/>
      <c r="CG477" s="61">
        <v>0.0</v>
      </c>
      <c r="CH477" s="84"/>
      <c r="CI477" s="63">
        <v>0.0</v>
      </c>
      <c r="CJ477" s="63">
        <v>2651.0</v>
      </c>
      <c r="CK477" s="64">
        <v>0.0</v>
      </c>
      <c r="CL477" s="63">
        <v>2651.0</v>
      </c>
      <c r="CM477" s="65">
        <v>0.0</v>
      </c>
      <c r="CN477" s="63">
        <v>0.0</v>
      </c>
      <c r="CO477" s="66">
        <v>0.0</v>
      </c>
      <c r="CP477" s="67">
        <v>0.0</v>
      </c>
      <c r="CQ477" s="63">
        <v>0.0</v>
      </c>
      <c r="CR477" s="63">
        <v>0.0</v>
      </c>
      <c r="CS477" s="63">
        <v>0.0</v>
      </c>
      <c r="CT477" s="68"/>
      <c r="CU477" s="69"/>
      <c r="CV477" s="70"/>
      <c r="CW477" s="71">
        <v>1.0</v>
      </c>
      <c r="CX477" s="71">
        <v>1.0</v>
      </c>
      <c r="CY477" s="71">
        <v>0.1</v>
      </c>
      <c r="CZ477" s="45"/>
      <c r="DA477" s="43"/>
      <c r="DB477" s="44">
        <v>0.0</v>
      </c>
      <c r="DC477" s="43"/>
      <c r="DD477" s="78"/>
      <c r="DE477" s="43"/>
      <c r="DF477" s="43"/>
      <c r="DG477" s="48" t="s">
        <v>128</v>
      </c>
      <c r="DH477" s="48" t="s">
        <v>131</v>
      </c>
      <c r="DI477" s="48" t="s">
        <v>188</v>
      </c>
      <c r="DJ477" s="49">
        <v>1.0</v>
      </c>
      <c r="DK477" s="48" t="b">
        <v>0</v>
      </c>
      <c r="DL477" s="50" t="s">
        <v>1140</v>
      </c>
      <c r="DM477" s="50" t="s">
        <v>128</v>
      </c>
      <c r="DN477" s="50" t="s">
        <v>1141</v>
      </c>
      <c r="DO477" s="49">
        <v>0.86</v>
      </c>
      <c r="DP477" s="51"/>
      <c r="DQ477" s="48" t="s">
        <v>188</v>
      </c>
      <c r="DR477" s="51"/>
      <c r="DS477" s="48" t="s">
        <v>134</v>
      </c>
    </row>
    <row r="478">
      <c r="A478" s="23" t="s">
        <v>118</v>
      </c>
      <c r="B478" s="24">
        <v>4.0</v>
      </c>
      <c r="C478" s="23" t="s">
        <v>1123</v>
      </c>
      <c r="D478" s="24">
        <v>625804.0</v>
      </c>
      <c r="E478" s="23" t="s">
        <v>882</v>
      </c>
      <c r="F478" s="23" t="s">
        <v>1190</v>
      </c>
      <c r="G478" s="23" t="s">
        <v>1191</v>
      </c>
      <c r="H478" s="24">
        <v>45058.0</v>
      </c>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7"/>
      <c r="BU478" s="26"/>
      <c r="BV478" s="26"/>
      <c r="BW478" s="26"/>
      <c r="BX478" s="24">
        <v>1.0</v>
      </c>
      <c r="BY478" s="24" t="s">
        <v>123</v>
      </c>
      <c r="BZ478" s="87">
        <v>1.0</v>
      </c>
      <c r="CA478" s="72"/>
      <c r="CB478" s="82"/>
      <c r="CC478" s="31"/>
      <c r="CD478" s="28">
        <v>1.0</v>
      </c>
      <c r="CE478" s="88" t="s">
        <v>185</v>
      </c>
      <c r="CF478" s="33"/>
      <c r="CG478" s="34">
        <v>0.0</v>
      </c>
      <c r="CH478" s="89"/>
      <c r="CI478" s="36">
        <v>0.0</v>
      </c>
      <c r="CJ478" s="36">
        <v>2651.0</v>
      </c>
      <c r="CK478" s="37">
        <v>0.0</v>
      </c>
      <c r="CL478" s="36">
        <v>2651.0</v>
      </c>
      <c r="CM478" s="38">
        <v>0.0</v>
      </c>
      <c r="CN478" s="36">
        <v>0.0</v>
      </c>
      <c r="CO478" s="39">
        <v>0.0</v>
      </c>
      <c r="CP478" s="40">
        <v>0.0</v>
      </c>
      <c r="CQ478" s="36">
        <v>0.0</v>
      </c>
      <c r="CR478" s="36">
        <v>0.0</v>
      </c>
      <c r="CS478" s="36">
        <v>0.0</v>
      </c>
      <c r="CT478" s="41"/>
      <c r="CU478" s="42"/>
      <c r="CV478" s="43"/>
      <c r="CW478" s="44">
        <v>1.0</v>
      </c>
      <c r="CX478" s="44">
        <v>1.0</v>
      </c>
      <c r="CY478" s="44">
        <v>0.1</v>
      </c>
      <c r="CZ478" s="45"/>
      <c r="DA478" s="43"/>
      <c r="DB478" s="44">
        <v>0.0</v>
      </c>
      <c r="DC478" s="43"/>
      <c r="DD478" s="78"/>
      <c r="DE478" s="43"/>
      <c r="DF478" s="43"/>
      <c r="DG478" s="48" t="s">
        <v>128</v>
      </c>
      <c r="DH478" s="48" t="s">
        <v>131</v>
      </c>
      <c r="DI478" s="48" t="s">
        <v>188</v>
      </c>
      <c r="DJ478" s="51"/>
      <c r="DK478" s="48" t="b">
        <v>0</v>
      </c>
      <c r="DL478" s="50" t="s">
        <v>1140</v>
      </c>
      <c r="DM478" s="50" t="s">
        <v>128</v>
      </c>
      <c r="DN478" s="50" t="s">
        <v>1141</v>
      </c>
      <c r="DO478" s="49">
        <v>0.86</v>
      </c>
      <c r="DP478" s="51"/>
      <c r="DQ478" s="48" t="s">
        <v>188</v>
      </c>
      <c r="DR478" s="51"/>
      <c r="DS478" s="48" t="s">
        <v>134</v>
      </c>
    </row>
    <row r="479">
      <c r="A479" s="52" t="s">
        <v>118</v>
      </c>
      <c r="B479" s="53">
        <v>4.0</v>
      </c>
      <c r="C479" s="52" t="s">
        <v>1123</v>
      </c>
      <c r="D479" s="53">
        <v>642178.0</v>
      </c>
      <c r="E479" s="52" t="s">
        <v>205</v>
      </c>
      <c r="F479" s="52" t="s">
        <v>1192</v>
      </c>
      <c r="G479" s="52" t="s">
        <v>1193</v>
      </c>
      <c r="H479" s="53">
        <v>45072.0</v>
      </c>
      <c r="I479" s="53">
        <v>3.0</v>
      </c>
      <c r="J479" s="53">
        <v>0.0</v>
      </c>
      <c r="K479" s="53">
        <v>0.0</v>
      </c>
      <c r="L479" s="53">
        <v>0.0</v>
      </c>
      <c r="M479" s="53">
        <v>0.0</v>
      </c>
      <c r="N479" s="53">
        <v>0.0</v>
      </c>
      <c r="O479" s="53">
        <v>0.0</v>
      </c>
      <c r="P479" s="53">
        <v>0.0</v>
      </c>
      <c r="Q479" s="53">
        <v>0.0</v>
      </c>
      <c r="R479" s="53">
        <v>0.0</v>
      </c>
      <c r="S479" s="53">
        <v>0.0</v>
      </c>
      <c r="T479" s="53">
        <v>1.0</v>
      </c>
      <c r="U479" s="53">
        <v>1.0</v>
      </c>
      <c r="V479" s="53">
        <v>0.0</v>
      </c>
      <c r="W479" s="53">
        <v>0.0</v>
      </c>
      <c r="X479" s="53">
        <v>0.0</v>
      </c>
      <c r="Y479" s="53">
        <v>0.0</v>
      </c>
      <c r="Z479" s="53">
        <v>0.0</v>
      </c>
      <c r="AA479" s="53">
        <v>0.0</v>
      </c>
      <c r="AB479" s="53">
        <v>0.0</v>
      </c>
      <c r="AC479" s="53">
        <v>0.0</v>
      </c>
      <c r="AD479" s="53">
        <v>0.0</v>
      </c>
      <c r="AE479" s="53">
        <v>0.0</v>
      </c>
      <c r="AF479" s="53">
        <v>0.0</v>
      </c>
      <c r="AG479" s="53">
        <v>0.0</v>
      </c>
      <c r="AH479" s="53">
        <v>0.0</v>
      </c>
      <c r="AI479" s="53">
        <v>0.0</v>
      </c>
      <c r="AJ479" s="53">
        <v>0.0</v>
      </c>
      <c r="AK479" s="53">
        <v>0.0</v>
      </c>
      <c r="AL479" s="53">
        <v>0.0</v>
      </c>
      <c r="AM479" s="53">
        <v>0.0</v>
      </c>
      <c r="AN479" s="53">
        <v>1.0</v>
      </c>
      <c r="AO479" s="25">
        <v>22.9</v>
      </c>
      <c r="AP479" s="54"/>
      <c r="AQ479" s="54"/>
      <c r="AR479" s="54"/>
      <c r="AS479" s="54"/>
      <c r="AT479" s="54"/>
      <c r="AU479" s="54"/>
      <c r="AV479" s="54"/>
      <c r="AW479" s="54"/>
      <c r="AX479" s="54"/>
      <c r="AY479" s="54"/>
      <c r="AZ479" s="53">
        <v>28.13</v>
      </c>
      <c r="BA479" s="53">
        <v>13.65</v>
      </c>
      <c r="BB479" s="54"/>
      <c r="BC479" s="54"/>
      <c r="BD479" s="54"/>
      <c r="BE479" s="54"/>
      <c r="BF479" s="54"/>
      <c r="BG479" s="54"/>
      <c r="BH479" s="54"/>
      <c r="BI479" s="54"/>
      <c r="BJ479" s="54"/>
      <c r="BK479" s="54"/>
      <c r="BL479" s="54"/>
      <c r="BM479" s="54"/>
      <c r="BN479" s="54"/>
      <c r="BO479" s="53">
        <v>0.45</v>
      </c>
      <c r="BP479" s="53">
        <v>3.2</v>
      </c>
      <c r="BQ479" s="53">
        <v>5.86</v>
      </c>
      <c r="BR479" s="53">
        <v>8.86</v>
      </c>
      <c r="BS479" s="25">
        <v>9.44</v>
      </c>
      <c r="BT479" s="81"/>
      <c r="BU479" s="54"/>
      <c r="BV479" s="54"/>
      <c r="BW479" s="54"/>
      <c r="BX479" s="53">
        <v>1.0</v>
      </c>
      <c r="BY479" s="53" t="s">
        <v>123</v>
      </c>
      <c r="BZ479" s="108">
        <v>1.0</v>
      </c>
      <c r="CA479" s="72"/>
      <c r="CB479" s="30">
        <v>2200.0</v>
      </c>
      <c r="CC479" s="31"/>
      <c r="CD479" s="58">
        <v>2200.0</v>
      </c>
      <c r="CE479" s="59" t="e">
        <v>#REF!</v>
      </c>
      <c r="CF479" s="79" t="str">
        <f>+2,199</f>
        <v>#ERROR!</v>
      </c>
      <c r="CG479" s="61">
        <v>0.0</v>
      </c>
      <c r="CH479" s="62">
        <v>0.0</v>
      </c>
      <c r="CI479" s="63">
        <v>3.0</v>
      </c>
      <c r="CJ479" s="63">
        <v>3932.0</v>
      </c>
      <c r="CK479" s="64">
        <v>-91.0</v>
      </c>
      <c r="CL479" s="63">
        <v>3841.0</v>
      </c>
      <c r="CM479" s="65">
        <v>69.0</v>
      </c>
      <c r="CN479" s="63">
        <v>-185650.0</v>
      </c>
      <c r="CO479" s="66">
        <v>61906.2</v>
      </c>
      <c r="CP479" s="90" t="str">
        <f>+61,883.3</f>
        <v>#ERROR!</v>
      </c>
      <c r="CQ479" s="63">
        <v>10.0</v>
      </c>
      <c r="CR479" s="63">
        <v>10.0</v>
      </c>
      <c r="CS479" s="63">
        <v>28.0</v>
      </c>
      <c r="CT479" s="68"/>
      <c r="CU479" s="69"/>
      <c r="CV479" s="70"/>
      <c r="CW479" s="71">
        <v>8.0</v>
      </c>
      <c r="CX479" s="71" t="s">
        <v>125</v>
      </c>
      <c r="CY479" s="71" t="s">
        <v>529</v>
      </c>
      <c r="CZ479" s="76" t="s">
        <v>151</v>
      </c>
      <c r="DA479" s="44">
        <v>1.0</v>
      </c>
      <c r="DB479" s="44">
        <v>0.0</v>
      </c>
      <c r="DC479" s="43"/>
      <c r="DD479" s="78"/>
      <c r="DE479" s="43"/>
      <c r="DF479" s="43"/>
      <c r="DG479" s="48" t="s">
        <v>128</v>
      </c>
      <c r="DH479" s="48" t="s">
        <v>128</v>
      </c>
      <c r="DI479" s="48" t="s">
        <v>128</v>
      </c>
      <c r="DJ479" s="49">
        <v>1.0</v>
      </c>
      <c r="DK479" s="48" t="b">
        <v>0</v>
      </c>
      <c r="DL479" s="50" t="s">
        <v>329</v>
      </c>
      <c r="DM479" s="50" t="s">
        <v>131</v>
      </c>
      <c r="DN479" s="50" t="s">
        <v>330</v>
      </c>
      <c r="DO479" s="49">
        <v>0.8</v>
      </c>
      <c r="DP479" s="48" t="s">
        <v>128</v>
      </c>
      <c r="DQ479" s="48" t="s">
        <v>417</v>
      </c>
      <c r="DR479" s="48" t="s">
        <v>392</v>
      </c>
      <c r="DS479" s="48" t="s">
        <v>134</v>
      </c>
    </row>
    <row r="480">
      <c r="A480" s="23" t="s">
        <v>118</v>
      </c>
      <c r="B480" s="24">
        <v>4.0</v>
      </c>
      <c r="C480" s="23" t="s">
        <v>1123</v>
      </c>
      <c r="D480" s="24">
        <v>648801.0</v>
      </c>
      <c r="E480" s="23" t="s">
        <v>198</v>
      </c>
      <c r="F480" s="23" t="s">
        <v>1194</v>
      </c>
      <c r="G480" s="23" t="s">
        <v>1195</v>
      </c>
      <c r="H480" s="24">
        <v>45072.0</v>
      </c>
      <c r="I480" s="24">
        <v>14.0</v>
      </c>
      <c r="J480" s="24">
        <v>0.0</v>
      </c>
      <c r="K480" s="24">
        <v>0.0</v>
      </c>
      <c r="L480" s="24">
        <v>0.0</v>
      </c>
      <c r="M480" s="24">
        <v>0.0</v>
      </c>
      <c r="N480" s="24">
        <v>0.0</v>
      </c>
      <c r="O480" s="24">
        <v>1.0</v>
      </c>
      <c r="P480" s="24">
        <v>0.0</v>
      </c>
      <c r="Q480" s="24">
        <v>0.0</v>
      </c>
      <c r="R480" s="24">
        <v>0.0</v>
      </c>
      <c r="S480" s="24">
        <v>0.0</v>
      </c>
      <c r="T480" s="24">
        <v>1.0</v>
      </c>
      <c r="U480" s="24">
        <v>0.0</v>
      </c>
      <c r="V480" s="24">
        <v>0.0</v>
      </c>
      <c r="W480" s="24">
        <v>0.0</v>
      </c>
      <c r="X480" s="24">
        <v>0.0</v>
      </c>
      <c r="Y480" s="24">
        <v>0.0</v>
      </c>
      <c r="Z480" s="24">
        <v>1.0</v>
      </c>
      <c r="AA480" s="24">
        <v>2.0</v>
      </c>
      <c r="AB480" s="24">
        <v>0.0</v>
      </c>
      <c r="AC480" s="24">
        <v>0.0</v>
      </c>
      <c r="AD480" s="24">
        <v>3.0</v>
      </c>
      <c r="AE480" s="24">
        <v>2.0</v>
      </c>
      <c r="AF480" s="24">
        <v>0.0</v>
      </c>
      <c r="AG480" s="24">
        <v>1.0</v>
      </c>
      <c r="AH480" s="24">
        <v>1.0</v>
      </c>
      <c r="AI480" s="24">
        <v>0.0</v>
      </c>
      <c r="AJ480" s="24">
        <v>0.0</v>
      </c>
      <c r="AK480" s="24">
        <v>0.0</v>
      </c>
      <c r="AL480" s="24">
        <v>1.0</v>
      </c>
      <c r="AM480" s="24">
        <v>0.0</v>
      </c>
      <c r="AN480" s="24">
        <v>1.0</v>
      </c>
      <c r="AO480" s="25">
        <v>19.6</v>
      </c>
      <c r="AP480" s="26"/>
      <c r="AQ480" s="26"/>
      <c r="AR480" s="26"/>
      <c r="AS480" s="26"/>
      <c r="AT480" s="26"/>
      <c r="AU480" s="24">
        <v>21.42</v>
      </c>
      <c r="AV480" s="26"/>
      <c r="AW480" s="26"/>
      <c r="AX480" s="26"/>
      <c r="AY480" s="26"/>
      <c r="AZ480" s="24">
        <v>19.92</v>
      </c>
      <c r="BA480" s="26"/>
      <c r="BB480" s="26"/>
      <c r="BC480" s="26"/>
      <c r="BD480" s="26"/>
      <c r="BE480" s="26"/>
      <c r="BF480" s="24">
        <v>17.75</v>
      </c>
      <c r="BG480" s="24">
        <v>14.12</v>
      </c>
      <c r="BH480" s="26"/>
      <c r="BI480" s="26"/>
      <c r="BJ480" s="24">
        <v>18.38</v>
      </c>
      <c r="BK480" s="24">
        <v>16.63</v>
      </c>
      <c r="BL480" s="26"/>
      <c r="BM480" s="24">
        <v>35.7</v>
      </c>
      <c r="BN480" s="24">
        <v>17.88</v>
      </c>
      <c r="BO480" s="24">
        <v>0.38</v>
      </c>
      <c r="BP480" s="24">
        <v>3.85</v>
      </c>
      <c r="BQ480" s="24">
        <v>4.4</v>
      </c>
      <c r="BR480" s="24">
        <v>8.05</v>
      </c>
      <c r="BS480" s="25">
        <v>6.23</v>
      </c>
      <c r="BT480" s="56">
        <v>22.4</v>
      </c>
      <c r="BU480" s="25">
        <v>7.1</v>
      </c>
      <c r="BV480" s="57">
        <v>4.36</v>
      </c>
      <c r="BW480" s="26"/>
      <c r="BX480" s="24">
        <v>3000.0</v>
      </c>
      <c r="BY480" s="24" t="s">
        <v>123</v>
      </c>
      <c r="BZ480" s="28">
        <v>2700.0</v>
      </c>
      <c r="CA480" s="29" t="s">
        <v>124</v>
      </c>
      <c r="CB480" s="30">
        <v>3000.0</v>
      </c>
      <c r="CC480" s="31"/>
      <c r="CD480" s="28">
        <v>3000.0</v>
      </c>
      <c r="CE480" s="32" t="e">
        <v>#REF!</v>
      </c>
      <c r="CF480" s="33"/>
      <c r="CG480" s="34">
        <v>0.0</v>
      </c>
      <c r="CH480" s="35">
        <v>0.0</v>
      </c>
      <c r="CI480" s="36">
        <v>14.0</v>
      </c>
      <c r="CJ480" s="36">
        <v>3932.0</v>
      </c>
      <c r="CK480" s="37">
        <v>-91.0</v>
      </c>
      <c r="CL480" s="36">
        <v>3841.0</v>
      </c>
      <c r="CM480" s="38">
        <v>274.0</v>
      </c>
      <c r="CN480" s="36">
        <v>0.0</v>
      </c>
      <c r="CO480" s="39">
        <v>19.6</v>
      </c>
      <c r="CP480" s="40">
        <v>0.0</v>
      </c>
      <c r="CQ480" s="36">
        <v>54.0</v>
      </c>
      <c r="CR480" s="36">
        <v>54.0</v>
      </c>
      <c r="CS480" s="36">
        <v>87.0</v>
      </c>
      <c r="CT480" s="41"/>
      <c r="CU480" s="42"/>
      <c r="CV480" s="43"/>
      <c r="CW480" s="44">
        <v>10.0</v>
      </c>
      <c r="CX480" s="44" t="s">
        <v>138</v>
      </c>
      <c r="CY480" s="44" t="s">
        <v>139</v>
      </c>
      <c r="CZ480" s="45"/>
      <c r="DA480" s="44">
        <v>3000.0</v>
      </c>
      <c r="DB480" s="44">
        <v>0.0</v>
      </c>
      <c r="DC480" s="46" t="s">
        <v>127</v>
      </c>
      <c r="DD480" s="47">
        <v>46240.0</v>
      </c>
      <c r="DE480" s="43"/>
      <c r="DF480" s="43"/>
      <c r="DG480" s="48" t="s">
        <v>128</v>
      </c>
      <c r="DH480" s="48" t="s">
        <v>128</v>
      </c>
      <c r="DI480" s="48" t="s">
        <v>128</v>
      </c>
      <c r="DJ480" s="49">
        <v>1.0</v>
      </c>
      <c r="DK480" s="48" t="b">
        <v>0</v>
      </c>
      <c r="DL480" s="50" t="s">
        <v>329</v>
      </c>
      <c r="DM480" s="50" t="s">
        <v>131</v>
      </c>
      <c r="DN480" s="50" t="s">
        <v>330</v>
      </c>
      <c r="DO480" s="49">
        <v>0.8</v>
      </c>
      <c r="DP480" s="48" t="s">
        <v>128</v>
      </c>
      <c r="DQ480" s="48" t="s">
        <v>128</v>
      </c>
      <c r="DR480" s="51"/>
      <c r="DS480" s="48" t="s">
        <v>134</v>
      </c>
    </row>
    <row r="481">
      <c r="A481" s="52" t="s">
        <v>118</v>
      </c>
      <c r="B481" s="53">
        <v>4.0</v>
      </c>
      <c r="C481" s="52" t="s">
        <v>1123</v>
      </c>
      <c r="D481" s="53">
        <v>631195.0</v>
      </c>
      <c r="E481" s="52" t="s">
        <v>140</v>
      </c>
      <c r="F481" s="52" t="s">
        <v>1196</v>
      </c>
      <c r="G481" s="52" t="s">
        <v>1197</v>
      </c>
      <c r="H481" s="53">
        <v>45072.0</v>
      </c>
      <c r="I481" s="53">
        <v>13.0</v>
      </c>
      <c r="J481" s="53">
        <v>0.0</v>
      </c>
      <c r="K481" s="53">
        <v>0.0</v>
      </c>
      <c r="L481" s="53">
        <v>0.0</v>
      </c>
      <c r="M481" s="53">
        <v>0.0</v>
      </c>
      <c r="N481" s="53">
        <v>3.0</v>
      </c>
      <c r="O481" s="53">
        <v>0.0</v>
      </c>
      <c r="P481" s="53">
        <v>0.0</v>
      </c>
      <c r="Q481" s="53">
        <v>0.0</v>
      </c>
      <c r="R481" s="53">
        <v>0.0</v>
      </c>
      <c r="S481" s="53">
        <v>0.0</v>
      </c>
      <c r="T481" s="53">
        <v>0.0</v>
      </c>
      <c r="U481" s="53">
        <v>0.0</v>
      </c>
      <c r="V481" s="53">
        <v>0.0</v>
      </c>
      <c r="W481" s="53">
        <v>0.0</v>
      </c>
      <c r="X481" s="53">
        <v>2.0</v>
      </c>
      <c r="Y481" s="53">
        <v>0.0</v>
      </c>
      <c r="Z481" s="53">
        <v>0.0</v>
      </c>
      <c r="AA481" s="53">
        <v>0.0</v>
      </c>
      <c r="AB481" s="53">
        <v>1.0</v>
      </c>
      <c r="AC481" s="53">
        <v>0.0</v>
      </c>
      <c r="AD481" s="53">
        <v>2.0</v>
      </c>
      <c r="AE481" s="53">
        <v>0.0</v>
      </c>
      <c r="AF481" s="53">
        <v>1.0</v>
      </c>
      <c r="AG481" s="53">
        <v>1.0</v>
      </c>
      <c r="AH481" s="53">
        <v>0.0</v>
      </c>
      <c r="AI481" s="53">
        <v>2.0</v>
      </c>
      <c r="AJ481" s="53">
        <v>0.0</v>
      </c>
      <c r="AK481" s="53">
        <v>1.0</v>
      </c>
      <c r="AL481" s="53">
        <v>0.0</v>
      </c>
      <c r="AM481" s="53">
        <v>0.0</v>
      </c>
      <c r="AN481" s="53">
        <v>0.0</v>
      </c>
      <c r="AO481" s="25">
        <v>17.2</v>
      </c>
      <c r="AP481" s="54"/>
      <c r="AQ481" s="54"/>
      <c r="AR481" s="54"/>
      <c r="AS481" s="54"/>
      <c r="AT481" s="53">
        <v>0.0</v>
      </c>
      <c r="AU481" s="54"/>
      <c r="AV481" s="54"/>
      <c r="AW481" s="54"/>
      <c r="AX481" s="54"/>
      <c r="AY481" s="54"/>
      <c r="AZ481" s="54"/>
      <c r="BA481" s="54"/>
      <c r="BB481" s="54"/>
      <c r="BC481" s="54"/>
      <c r="BD481" s="53">
        <v>13.25</v>
      </c>
      <c r="BE481" s="54"/>
      <c r="BF481" s="54"/>
      <c r="BG481" s="54"/>
      <c r="BH481" s="53">
        <v>29.03</v>
      </c>
      <c r="BI481" s="54"/>
      <c r="BJ481" s="53">
        <v>17.29</v>
      </c>
      <c r="BK481" s="54"/>
      <c r="BL481" s="53">
        <v>11.2</v>
      </c>
      <c r="BM481" s="53">
        <v>16.02</v>
      </c>
      <c r="BN481" s="54"/>
      <c r="BO481" s="53">
        <v>0.27</v>
      </c>
      <c r="BP481" s="53">
        <v>2.58</v>
      </c>
      <c r="BQ481" s="53">
        <v>3.24</v>
      </c>
      <c r="BR481" s="53">
        <v>5.61</v>
      </c>
      <c r="BS481" s="25">
        <v>5.81</v>
      </c>
      <c r="BT481" s="91">
        <v>15.9</v>
      </c>
      <c r="BU481" s="55">
        <v>3.9</v>
      </c>
      <c r="BV481" s="57">
        <v>5.64</v>
      </c>
      <c r="BW481" s="54"/>
      <c r="BX481" s="53">
        <v>3000.0</v>
      </c>
      <c r="BY481" s="53" t="s">
        <v>123</v>
      </c>
      <c r="BZ481" s="58">
        <v>2700.0</v>
      </c>
      <c r="CA481" s="29" t="s">
        <v>124</v>
      </c>
      <c r="CB481" s="30">
        <v>3000.0</v>
      </c>
      <c r="CC481" s="31"/>
      <c r="CD481" s="58">
        <v>3000.0</v>
      </c>
      <c r="CE481" s="59" t="e">
        <v>#REF!</v>
      </c>
      <c r="CF481" s="60"/>
      <c r="CG481" s="61">
        <v>0.0</v>
      </c>
      <c r="CH481" s="62">
        <v>0.0</v>
      </c>
      <c r="CI481" s="63">
        <v>13.0</v>
      </c>
      <c r="CJ481" s="63">
        <v>3932.0</v>
      </c>
      <c r="CK481" s="64">
        <v>-91.0</v>
      </c>
      <c r="CL481" s="63">
        <v>3841.0</v>
      </c>
      <c r="CM481" s="65">
        <v>224.0</v>
      </c>
      <c r="CN481" s="63">
        <v>0.0</v>
      </c>
      <c r="CO481" s="66">
        <v>17.2</v>
      </c>
      <c r="CP481" s="67">
        <v>0.0</v>
      </c>
      <c r="CQ481" s="63">
        <v>34.0</v>
      </c>
      <c r="CR481" s="63">
        <v>34.0</v>
      </c>
      <c r="CS481" s="63">
        <v>76.0</v>
      </c>
      <c r="CT481" s="68"/>
      <c r="CU481" s="69"/>
      <c r="CV481" s="70"/>
      <c r="CW481" s="71">
        <v>10.0</v>
      </c>
      <c r="CX481" s="71" t="s">
        <v>138</v>
      </c>
      <c r="CY481" s="71" t="s">
        <v>139</v>
      </c>
      <c r="CZ481" s="45"/>
      <c r="DA481" s="44">
        <v>3000.0</v>
      </c>
      <c r="DB481" s="44">
        <v>0.0</v>
      </c>
      <c r="DC481" s="46" t="s">
        <v>127</v>
      </c>
      <c r="DD481" s="47">
        <v>46228.0</v>
      </c>
      <c r="DE481" s="43"/>
      <c r="DF481" s="43"/>
      <c r="DG481" s="48" t="s">
        <v>128</v>
      </c>
      <c r="DH481" s="48" t="s">
        <v>128</v>
      </c>
      <c r="DI481" s="48" t="s">
        <v>128</v>
      </c>
      <c r="DJ481" s="49">
        <v>0.0</v>
      </c>
      <c r="DK481" s="48" t="b">
        <v>0</v>
      </c>
      <c r="DL481" s="50" t="s">
        <v>329</v>
      </c>
      <c r="DM481" s="50" t="s">
        <v>131</v>
      </c>
      <c r="DN481" s="50" t="s">
        <v>330</v>
      </c>
      <c r="DO481" s="49">
        <v>0.8</v>
      </c>
      <c r="DP481" s="48" t="s">
        <v>128</v>
      </c>
      <c r="DQ481" s="48" t="s">
        <v>128</v>
      </c>
      <c r="DR481" s="51"/>
      <c r="DS481" s="48" t="s">
        <v>134</v>
      </c>
    </row>
    <row r="482">
      <c r="A482" s="23" t="s">
        <v>118</v>
      </c>
      <c r="B482" s="24">
        <v>4.0</v>
      </c>
      <c r="C482" s="23" t="s">
        <v>1123</v>
      </c>
      <c r="D482" s="24">
        <v>558730.0</v>
      </c>
      <c r="E482" s="23" t="s">
        <v>148</v>
      </c>
      <c r="F482" s="23" t="s">
        <v>1198</v>
      </c>
      <c r="G482" s="23" t="s">
        <v>1199</v>
      </c>
      <c r="H482" s="24">
        <v>45072.0</v>
      </c>
      <c r="I482" s="24">
        <v>46.0</v>
      </c>
      <c r="J482" s="24">
        <v>1.0</v>
      </c>
      <c r="K482" s="24">
        <v>0.0</v>
      </c>
      <c r="L482" s="24">
        <v>0.0</v>
      </c>
      <c r="M482" s="24">
        <v>4.0</v>
      </c>
      <c r="N482" s="24">
        <v>0.0</v>
      </c>
      <c r="O482" s="24">
        <v>0.0</v>
      </c>
      <c r="P482" s="24">
        <v>0.0</v>
      </c>
      <c r="Q482" s="24">
        <v>2.0</v>
      </c>
      <c r="R482" s="24">
        <v>1.0</v>
      </c>
      <c r="S482" s="24">
        <v>2.0</v>
      </c>
      <c r="T482" s="24">
        <v>3.0</v>
      </c>
      <c r="U482" s="24">
        <v>2.0</v>
      </c>
      <c r="V482" s="24">
        <v>2.0</v>
      </c>
      <c r="W482" s="24">
        <v>3.0</v>
      </c>
      <c r="X482" s="24">
        <v>0.0</v>
      </c>
      <c r="Y482" s="24">
        <v>0.0</v>
      </c>
      <c r="Z482" s="24">
        <v>1.0</v>
      </c>
      <c r="AA482" s="24">
        <v>1.0</v>
      </c>
      <c r="AB482" s="24">
        <v>1.0</v>
      </c>
      <c r="AC482" s="24">
        <v>1.0</v>
      </c>
      <c r="AD482" s="24">
        <v>3.0</v>
      </c>
      <c r="AE482" s="24">
        <v>1.0</v>
      </c>
      <c r="AF482" s="24">
        <v>5.0</v>
      </c>
      <c r="AG482" s="24">
        <v>7.0</v>
      </c>
      <c r="AH482" s="24">
        <v>3.0</v>
      </c>
      <c r="AI482" s="24">
        <v>1.0</v>
      </c>
      <c r="AJ482" s="24">
        <v>1.0</v>
      </c>
      <c r="AK482" s="24">
        <v>0.0</v>
      </c>
      <c r="AL482" s="24">
        <v>1.0</v>
      </c>
      <c r="AM482" s="24">
        <v>0.0</v>
      </c>
      <c r="AN482" s="24">
        <v>0.0</v>
      </c>
      <c r="AO482" s="25">
        <v>18.0</v>
      </c>
      <c r="AP482" s="24">
        <v>20.33</v>
      </c>
      <c r="AQ482" s="26"/>
      <c r="AR482" s="26"/>
      <c r="AS482" s="24">
        <v>17.79</v>
      </c>
      <c r="AT482" s="26"/>
      <c r="AU482" s="26"/>
      <c r="AV482" s="26"/>
      <c r="AW482" s="24">
        <v>10.07</v>
      </c>
      <c r="AX482" s="24">
        <v>13.33</v>
      </c>
      <c r="AY482" s="24">
        <v>18.3</v>
      </c>
      <c r="AZ482" s="24">
        <v>13.97</v>
      </c>
      <c r="BA482" s="24">
        <v>21.86</v>
      </c>
      <c r="BB482" s="24">
        <v>17.38</v>
      </c>
      <c r="BC482" s="24">
        <v>15.08</v>
      </c>
      <c r="BD482" s="26"/>
      <c r="BE482" s="26"/>
      <c r="BF482" s="24">
        <v>15.6</v>
      </c>
      <c r="BG482" s="24">
        <v>19.0</v>
      </c>
      <c r="BH482" s="24">
        <v>14.63</v>
      </c>
      <c r="BI482" s="24">
        <v>39.43</v>
      </c>
      <c r="BJ482" s="24">
        <v>16.73</v>
      </c>
      <c r="BK482" s="24">
        <v>14.13</v>
      </c>
      <c r="BL482" s="24">
        <v>19.03</v>
      </c>
      <c r="BM482" s="24">
        <v>23.2</v>
      </c>
      <c r="BN482" s="24">
        <v>16.04</v>
      </c>
      <c r="BO482" s="24">
        <v>0.24</v>
      </c>
      <c r="BP482" s="24">
        <v>2.81</v>
      </c>
      <c r="BQ482" s="24">
        <v>4.32</v>
      </c>
      <c r="BR482" s="24">
        <v>6.93</v>
      </c>
      <c r="BS482" s="25">
        <v>5.44</v>
      </c>
      <c r="BT482" s="91">
        <v>16.4</v>
      </c>
      <c r="BU482" s="25">
        <v>5.3</v>
      </c>
      <c r="BV482" s="57">
        <v>4.8</v>
      </c>
      <c r="BW482" s="26"/>
      <c r="BX482" s="24">
        <v>3000.0</v>
      </c>
      <c r="BY482" s="24" t="s">
        <v>123</v>
      </c>
      <c r="BZ482" s="28">
        <v>3000.0</v>
      </c>
      <c r="CA482" s="72"/>
      <c r="CB482" s="30">
        <v>3000.0</v>
      </c>
      <c r="CC482" s="31"/>
      <c r="CD482" s="28">
        <v>3000.0</v>
      </c>
      <c r="CE482" s="32" t="e">
        <v>#REF!</v>
      </c>
      <c r="CF482" s="33"/>
      <c r="CG482" s="34">
        <v>0.0</v>
      </c>
      <c r="CH482" s="35">
        <v>0.0</v>
      </c>
      <c r="CI482" s="36">
        <v>46.0</v>
      </c>
      <c r="CJ482" s="36">
        <v>3932.0</v>
      </c>
      <c r="CK482" s="37">
        <v>-91.0</v>
      </c>
      <c r="CL482" s="36">
        <v>3841.0</v>
      </c>
      <c r="CM482" s="38">
        <v>828.0</v>
      </c>
      <c r="CN482" s="36">
        <v>0.0</v>
      </c>
      <c r="CO482" s="39">
        <v>18.0</v>
      </c>
      <c r="CP482" s="40">
        <v>0.0</v>
      </c>
      <c r="CQ482" s="36">
        <v>129.0</v>
      </c>
      <c r="CR482" s="36">
        <v>129.0</v>
      </c>
      <c r="CS482" s="36">
        <v>250.0</v>
      </c>
      <c r="CT482" s="41"/>
      <c r="CU482" s="42"/>
      <c r="CV482" s="43"/>
      <c r="CW482" s="44">
        <v>10.0</v>
      </c>
      <c r="CX482" s="44" t="s">
        <v>138</v>
      </c>
      <c r="CY482" s="44" t="s">
        <v>139</v>
      </c>
      <c r="CZ482" s="45"/>
      <c r="DA482" s="44">
        <v>3000.0</v>
      </c>
      <c r="DB482" s="44">
        <v>0.0</v>
      </c>
      <c r="DC482" s="46" t="s">
        <v>127</v>
      </c>
      <c r="DD482" s="47">
        <v>46228.0</v>
      </c>
      <c r="DE482" s="43"/>
      <c r="DF482" s="43"/>
      <c r="DG482" s="48" t="s">
        <v>128</v>
      </c>
      <c r="DH482" s="48" t="s">
        <v>128</v>
      </c>
      <c r="DI482" s="48" t="s">
        <v>128</v>
      </c>
      <c r="DJ482" s="49">
        <v>0.0</v>
      </c>
      <c r="DK482" s="48" t="b">
        <v>0</v>
      </c>
      <c r="DL482" s="50" t="s">
        <v>329</v>
      </c>
      <c r="DM482" s="50" t="s">
        <v>131</v>
      </c>
      <c r="DN482" s="50" t="s">
        <v>330</v>
      </c>
      <c r="DO482" s="49">
        <v>0.8</v>
      </c>
      <c r="DP482" s="48" t="s">
        <v>128</v>
      </c>
      <c r="DQ482" s="48" t="s">
        <v>128</v>
      </c>
      <c r="DR482" s="51"/>
      <c r="DS482" s="48" t="s">
        <v>134</v>
      </c>
    </row>
    <row r="483">
      <c r="A483" s="52" t="s">
        <v>118</v>
      </c>
      <c r="B483" s="53">
        <v>4.0</v>
      </c>
      <c r="C483" s="52" t="s">
        <v>1123</v>
      </c>
      <c r="D483" s="53">
        <v>626041.0</v>
      </c>
      <c r="E483" s="52" t="s">
        <v>135</v>
      </c>
      <c r="F483" s="52" t="s">
        <v>1200</v>
      </c>
      <c r="G483" s="52" t="s">
        <v>1201</v>
      </c>
      <c r="H483" s="53">
        <v>45072.0</v>
      </c>
      <c r="I483" s="53">
        <v>25.0</v>
      </c>
      <c r="J483" s="53">
        <v>0.0</v>
      </c>
      <c r="K483" s="53">
        <v>1.0</v>
      </c>
      <c r="L483" s="53">
        <v>0.0</v>
      </c>
      <c r="M483" s="53">
        <v>0.0</v>
      </c>
      <c r="N483" s="53">
        <v>0.0</v>
      </c>
      <c r="O483" s="53">
        <v>0.0</v>
      </c>
      <c r="P483" s="53">
        <v>0.0</v>
      </c>
      <c r="Q483" s="53">
        <v>0.0</v>
      </c>
      <c r="R483" s="53">
        <v>0.0</v>
      </c>
      <c r="S483" s="53">
        <v>0.0</v>
      </c>
      <c r="T483" s="53">
        <v>0.0</v>
      </c>
      <c r="U483" s="53">
        <v>0.0</v>
      </c>
      <c r="V483" s="53">
        <v>0.0</v>
      </c>
      <c r="W483" s="53">
        <v>1.0</v>
      </c>
      <c r="X483" s="53">
        <v>1.0</v>
      </c>
      <c r="Y483" s="53">
        <v>0.0</v>
      </c>
      <c r="Z483" s="53">
        <v>0.0</v>
      </c>
      <c r="AA483" s="53">
        <v>1.0</v>
      </c>
      <c r="AB483" s="53">
        <v>1.0</v>
      </c>
      <c r="AC483" s="53">
        <v>1.0</v>
      </c>
      <c r="AD483" s="53">
        <v>1.0</v>
      </c>
      <c r="AE483" s="53">
        <v>3.0</v>
      </c>
      <c r="AF483" s="53">
        <v>5.0</v>
      </c>
      <c r="AG483" s="53">
        <v>0.0</v>
      </c>
      <c r="AH483" s="53">
        <v>2.0</v>
      </c>
      <c r="AI483" s="53">
        <v>1.0</v>
      </c>
      <c r="AJ483" s="53">
        <v>2.0</v>
      </c>
      <c r="AK483" s="53">
        <v>2.0</v>
      </c>
      <c r="AL483" s="53">
        <v>1.0</v>
      </c>
      <c r="AM483" s="53">
        <v>1.0</v>
      </c>
      <c r="AN483" s="53">
        <v>1.0</v>
      </c>
      <c r="AO483" s="25">
        <v>19.3</v>
      </c>
      <c r="AP483" s="54"/>
      <c r="AQ483" s="53">
        <v>9.27</v>
      </c>
      <c r="AR483" s="54"/>
      <c r="AS483" s="54"/>
      <c r="AT483" s="54"/>
      <c r="AU483" s="54"/>
      <c r="AV483" s="54"/>
      <c r="AW483" s="54"/>
      <c r="AX483" s="54"/>
      <c r="AY483" s="54"/>
      <c r="AZ483" s="54"/>
      <c r="BA483" s="54"/>
      <c r="BB483" s="54"/>
      <c r="BC483" s="53">
        <v>30.5</v>
      </c>
      <c r="BD483" s="53">
        <v>15.27</v>
      </c>
      <c r="BE483" s="54"/>
      <c r="BF483" s="54"/>
      <c r="BG483" s="53">
        <v>20.97</v>
      </c>
      <c r="BH483" s="53">
        <v>10.57</v>
      </c>
      <c r="BI483" s="53">
        <v>15.2</v>
      </c>
      <c r="BJ483" s="53">
        <v>21.43</v>
      </c>
      <c r="BK483" s="53">
        <v>25.44</v>
      </c>
      <c r="BL483" s="53">
        <v>19.36</v>
      </c>
      <c r="BM483" s="54"/>
      <c r="BN483" s="53">
        <v>24.51</v>
      </c>
      <c r="BO483" s="53">
        <v>0.29</v>
      </c>
      <c r="BP483" s="53">
        <v>3.73</v>
      </c>
      <c r="BQ483" s="53">
        <v>2.97</v>
      </c>
      <c r="BR483" s="53">
        <v>6.5</v>
      </c>
      <c r="BS483" s="25">
        <v>5.19</v>
      </c>
      <c r="BT483" s="56">
        <v>23.3</v>
      </c>
      <c r="BU483" s="25">
        <v>6.2</v>
      </c>
      <c r="BV483" s="57">
        <v>4.57</v>
      </c>
      <c r="BW483" s="53">
        <v>2000.0</v>
      </c>
      <c r="BX483" s="53">
        <v>3000.0</v>
      </c>
      <c r="BY483" s="53" t="s">
        <v>123</v>
      </c>
      <c r="BZ483" s="58">
        <v>2700.0</v>
      </c>
      <c r="CA483" s="29" t="s">
        <v>124</v>
      </c>
      <c r="CB483" s="30">
        <v>3000.0</v>
      </c>
      <c r="CC483" s="31"/>
      <c r="CD483" s="58">
        <v>3000.0</v>
      </c>
      <c r="CE483" s="59" t="e">
        <v>#REF!</v>
      </c>
      <c r="CF483" s="60"/>
      <c r="CG483" s="61">
        <v>0.0</v>
      </c>
      <c r="CH483" s="62">
        <v>0.0</v>
      </c>
      <c r="CI483" s="63">
        <v>25.0</v>
      </c>
      <c r="CJ483" s="63">
        <v>3932.0</v>
      </c>
      <c r="CK483" s="64">
        <v>-91.0</v>
      </c>
      <c r="CL483" s="63">
        <v>3841.0</v>
      </c>
      <c r="CM483" s="65">
        <v>483.0</v>
      </c>
      <c r="CN483" s="63">
        <v>0.0</v>
      </c>
      <c r="CO483" s="66">
        <v>19.3</v>
      </c>
      <c r="CP483" s="67">
        <v>0.0</v>
      </c>
      <c r="CQ483" s="63">
        <v>93.0</v>
      </c>
      <c r="CR483" s="63">
        <v>93.0</v>
      </c>
      <c r="CS483" s="63">
        <v>130.0</v>
      </c>
      <c r="CT483" s="68"/>
      <c r="CU483" s="69"/>
      <c r="CV483" s="70"/>
      <c r="CW483" s="71">
        <v>10.0</v>
      </c>
      <c r="CX483" s="71" t="s">
        <v>138</v>
      </c>
      <c r="CY483" s="71" t="s">
        <v>139</v>
      </c>
      <c r="CZ483" s="45"/>
      <c r="DA483" s="44">
        <v>3000.0</v>
      </c>
      <c r="DB483" s="44">
        <v>0.0</v>
      </c>
      <c r="DC483" s="46" t="s">
        <v>127</v>
      </c>
      <c r="DD483" s="47">
        <v>46197.0</v>
      </c>
      <c r="DE483" s="43"/>
      <c r="DF483" s="43"/>
      <c r="DG483" s="48" t="s">
        <v>128</v>
      </c>
      <c r="DH483" s="48" t="s">
        <v>128</v>
      </c>
      <c r="DI483" s="48" t="s">
        <v>128</v>
      </c>
      <c r="DJ483" s="49">
        <v>1.0</v>
      </c>
      <c r="DK483" s="48" t="b">
        <v>0</v>
      </c>
      <c r="DL483" s="50" t="s">
        <v>329</v>
      </c>
      <c r="DM483" s="50" t="s">
        <v>131</v>
      </c>
      <c r="DN483" s="50" t="s">
        <v>330</v>
      </c>
      <c r="DO483" s="49">
        <v>0.8</v>
      </c>
      <c r="DP483" s="48" t="s">
        <v>128</v>
      </c>
      <c r="DQ483" s="48" t="s">
        <v>128</v>
      </c>
      <c r="DR483" s="51"/>
      <c r="DS483" s="48" t="s">
        <v>134</v>
      </c>
    </row>
    <row r="484">
      <c r="A484" s="23" t="s">
        <v>118</v>
      </c>
      <c r="B484" s="24">
        <v>4.0</v>
      </c>
      <c r="C484" s="23" t="s">
        <v>1123</v>
      </c>
      <c r="D484" s="24">
        <v>536832.0</v>
      </c>
      <c r="E484" s="23" t="s">
        <v>158</v>
      </c>
      <c r="F484" s="23" t="s">
        <v>1202</v>
      </c>
      <c r="G484" s="23" t="s">
        <v>1203</v>
      </c>
      <c r="H484" s="24">
        <v>45072.0</v>
      </c>
      <c r="I484" s="24">
        <v>25.0</v>
      </c>
      <c r="J484" s="24">
        <v>0.0</v>
      </c>
      <c r="K484" s="24">
        <v>0.0</v>
      </c>
      <c r="L484" s="24">
        <v>0.0</v>
      </c>
      <c r="M484" s="24">
        <v>1.0</v>
      </c>
      <c r="N484" s="24">
        <v>0.0</v>
      </c>
      <c r="O484" s="24">
        <v>0.0</v>
      </c>
      <c r="P484" s="24">
        <v>0.0</v>
      </c>
      <c r="Q484" s="24">
        <v>0.0</v>
      </c>
      <c r="R484" s="24">
        <v>0.0</v>
      </c>
      <c r="S484" s="24">
        <v>3.0</v>
      </c>
      <c r="T484" s="24">
        <v>1.0</v>
      </c>
      <c r="U484" s="24">
        <v>2.0</v>
      </c>
      <c r="V484" s="24">
        <v>2.0</v>
      </c>
      <c r="W484" s="24">
        <v>2.0</v>
      </c>
      <c r="X484" s="24">
        <v>2.0</v>
      </c>
      <c r="Y484" s="24">
        <v>2.0</v>
      </c>
      <c r="Z484" s="24">
        <v>2.0</v>
      </c>
      <c r="AA484" s="24">
        <v>0.0</v>
      </c>
      <c r="AB484" s="24">
        <v>0.0</v>
      </c>
      <c r="AC484" s="24">
        <v>0.0</v>
      </c>
      <c r="AD484" s="24">
        <v>1.0</v>
      </c>
      <c r="AE484" s="24">
        <v>0.0</v>
      </c>
      <c r="AF484" s="24">
        <v>0.0</v>
      </c>
      <c r="AG484" s="24">
        <v>1.0</v>
      </c>
      <c r="AH484" s="24">
        <v>1.0</v>
      </c>
      <c r="AI484" s="24">
        <v>2.0</v>
      </c>
      <c r="AJ484" s="24">
        <v>2.0</v>
      </c>
      <c r="AK484" s="24">
        <v>0.0</v>
      </c>
      <c r="AL484" s="24">
        <v>0.0</v>
      </c>
      <c r="AM484" s="24">
        <v>0.0</v>
      </c>
      <c r="AN484" s="24">
        <v>1.0</v>
      </c>
      <c r="AO484" s="25">
        <v>20.6</v>
      </c>
      <c r="AP484" s="26"/>
      <c r="AQ484" s="26"/>
      <c r="AR484" s="26"/>
      <c r="AS484" s="24">
        <v>14.57</v>
      </c>
      <c r="AT484" s="26"/>
      <c r="AU484" s="26"/>
      <c r="AV484" s="26"/>
      <c r="AW484" s="26"/>
      <c r="AX484" s="26"/>
      <c r="AY484" s="24">
        <v>19.79</v>
      </c>
      <c r="AZ484" s="24">
        <v>21.47</v>
      </c>
      <c r="BA484" s="24">
        <v>39.26</v>
      </c>
      <c r="BB484" s="24">
        <v>14.83</v>
      </c>
      <c r="BC484" s="24">
        <v>21.23</v>
      </c>
      <c r="BD484" s="24">
        <v>20.1</v>
      </c>
      <c r="BE484" s="24">
        <v>16.66</v>
      </c>
      <c r="BF484" s="24">
        <v>18.16</v>
      </c>
      <c r="BG484" s="26"/>
      <c r="BH484" s="26"/>
      <c r="BI484" s="26"/>
      <c r="BJ484" s="24">
        <v>20.97</v>
      </c>
      <c r="BK484" s="26"/>
      <c r="BL484" s="26"/>
      <c r="BM484" s="24">
        <v>19.35</v>
      </c>
      <c r="BN484" s="24">
        <v>13.52</v>
      </c>
      <c r="BO484" s="24">
        <v>0.35</v>
      </c>
      <c r="BP484" s="24">
        <v>5.1</v>
      </c>
      <c r="BQ484" s="24">
        <v>5.21</v>
      </c>
      <c r="BR484" s="24">
        <v>10.11</v>
      </c>
      <c r="BS484" s="25">
        <v>4.94</v>
      </c>
      <c r="BT484" s="56">
        <v>17.6</v>
      </c>
      <c r="BU484" s="25">
        <v>7.5</v>
      </c>
      <c r="BV484" s="57">
        <v>4.66</v>
      </c>
      <c r="BW484" s="24">
        <v>900.0</v>
      </c>
      <c r="BX484" s="24">
        <v>3000.0</v>
      </c>
      <c r="BY484" s="24" t="s">
        <v>123</v>
      </c>
      <c r="BZ484" s="28">
        <v>2700.0</v>
      </c>
      <c r="CA484" s="29" t="s">
        <v>124</v>
      </c>
      <c r="CB484" s="30">
        <v>3000.0</v>
      </c>
      <c r="CC484" s="31"/>
      <c r="CD484" s="28">
        <v>3000.0</v>
      </c>
      <c r="CE484" s="32" t="e">
        <v>#REF!</v>
      </c>
      <c r="CF484" s="33"/>
      <c r="CG484" s="34">
        <v>0.0</v>
      </c>
      <c r="CH484" s="35">
        <v>0.0</v>
      </c>
      <c r="CI484" s="36">
        <v>25.0</v>
      </c>
      <c r="CJ484" s="36">
        <v>3932.0</v>
      </c>
      <c r="CK484" s="37">
        <v>-91.0</v>
      </c>
      <c r="CL484" s="36">
        <v>3841.0</v>
      </c>
      <c r="CM484" s="38">
        <v>515.0</v>
      </c>
      <c r="CN484" s="36">
        <v>0.0</v>
      </c>
      <c r="CO484" s="39">
        <v>20.6</v>
      </c>
      <c r="CP484" s="40">
        <v>0.0</v>
      </c>
      <c r="CQ484" s="36">
        <v>128.0</v>
      </c>
      <c r="CR484" s="36">
        <v>128.0</v>
      </c>
      <c r="CS484" s="36">
        <v>124.0</v>
      </c>
      <c r="CT484" s="41"/>
      <c r="CU484" s="42"/>
      <c r="CV484" s="43"/>
      <c r="CW484" s="44">
        <v>10.0</v>
      </c>
      <c r="CX484" s="44" t="s">
        <v>138</v>
      </c>
      <c r="CY484" s="44" t="s">
        <v>139</v>
      </c>
      <c r="CZ484" s="45"/>
      <c r="DA484" s="44">
        <v>3000.0</v>
      </c>
      <c r="DB484" s="44">
        <v>0.0</v>
      </c>
      <c r="DC484" s="46" t="s">
        <v>127</v>
      </c>
      <c r="DD484" s="47">
        <v>46228.0</v>
      </c>
      <c r="DE484" s="43"/>
      <c r="DF484" s="43"/>
      <c r="DG484" s="48" t="s">
        <v>128</v>
      </c>
      <c r="DH484" s="48" t="s">
        <v>128</v>
      </c>
      <c r="DI484" s="48" t="s">
        <v>128</v>
      </c>
      <c r="DJ484" s="49">
        <v>0.0</v>
      </c>
      <c r="DK484" s="48" t="b">
        <v>0</v>
      </c>
      <c r="DL484" s="50" t="s">
        <v>329</v>
      </c>
      <c r="DM484" s="50" t="s">
        <v>131</v>
      </c>
      <c r="DN484" s="50" t="s">
        <v>330</v>
      </c>
      <c r="DO484" s="49">
        <v>0.8</v>
      </c>
      <c r="DP484" s="48" t="s">
        <v>128</v>
      </c>
      <c r="DQ484" s="48" t="s">
        <v>128</v>
      </c>
      <c r="DR484" s="51"/>
      <c r="DS484" s="48" t="s">
        <v>134</v>
      </c>
    </row>
    <row r="485">
      <c r="A485" s="52" t="s">
        <v>118</v>
      </c>
      <c r="B485" s="53">
        <v>4.0</v>
      </c>
      <c r="C485" s="52" t="s">
        <v>1123</v>
      </c>
      <c r="D485" s="53">
        <v>640888.0</v>
      </c>
      <c r="E485" s="52" t="s">
        <v>161</v>
      </c>
      <c r="F485" s="52" t="s">
        <v>1204</v>
      </c>
      <c r="G485" s="52" t="s">
        <v>1205</v>
      </c>
      <c r="H485" s="53">
        <v>45072.0</v>
      </c>
      <c r="I485" s="53">
        <v>17.0</v>
      </c>
      <c r="J485" s="53">
        <v>0.0</v>
      </c>
      <c r="K485" s="53">
        <v>0.0</v>
      </c>
      <c r="L485" s="53">
        <v>0.0</v>
      </c>
      <c r="M485" s="53">
        <v>0.0</v>
      </c>
      <c r="N485" s="53">
        <v>0.0</v>
      </c>
      <c r="O485" s="53">
        <v>1.0</v>
      </c>
      <c r="P485" s="53">
        <v>0.0</v>
      </c>
      <c r="Q485" s="53">
        <v>0.0</v>
      </c>
      <c r="R485" s="53">
        <v>0.0</v>
      </c>
      <c r="S485" s="53">
        <v>0.0</v>
      </c>
      <c r="T485" s="53">
        <v>0.0</v>
      </c>
      <c r="U485" s="53">
        <v>0.0</v>
      </c>
      <c r="V485" s="53">
        <v>1.0</v>
      </c>
      <c r="W485" s="53">
        <v>0.0</v>
      </c>
      <c r="X485" s="53">
        <v>0.0</v>
      </c>
      <c r="Y485" s="53">
        <v>1.0</v>
      </c>
      <c r="Z485" s="53">
        <v>1.0</v>
      </c>
      <c r="AA485" s="53">
        <v>0.0</v>
      </c>
      <c r="AB485" s="53">
        <v>1.0</v>
      </c>
      <c r="AC485" s="53">
        <v>0.0</v>
      </c>
      <c r="AD485" s="53">
        <v>1.0</v>
      </c>
      <c r="AE485" s="53">
        <v>2.0</v>
      </c>
      <c r="AF485" s="53">
        <v>1.0</v>
      </c>
      <c r="AG485" s="53">
        <v>1.0</v>
      </c>
      <c r="AH485" s="53">
        <v>2.0</v>
      </c>
      <c r="AI485" s="53">
        <v>4.0</v>
      </c>
      <c r="AJ485" s="53">
        <v>0.0</v>
      </c>
      <c r="AK485" s="53">
        <v>1.0</v>
      </c>
      <c r="AL485" s="53">
        <v>0.0</v>
      </c>
      <c r="AM485" s="53">
        <v>0.0</v>
      </c>
      <c r="AN485" s="53">
        <v>0.0</v>
      </c>
      <c r="AO485" s="25">
        <v>18.1</v>
      </c>
      <c r="AP485" s="54"/>
      <c r="AQ485" s="54"/>
      <c r="AR485" s="54"/>
      <c r="AS485" s="54"/>
      <c r="AT485" s="54"/>
      <c r="AU485" s="53">
        <v>14.7</v>
      </c>
      <c r="AV485" s="54"/>
      <c r="AW485" s="54"/>
      <c r="AX485" s="54"/>
      <c r="AY485" s="54"/>
      <c r="AZ485" s="54"/>
      <c r="BA485" s="54"/>
      <c r="BB485" s="53">
        <v>10.43</v>
      </c>
      <c r="BC485" s="54"/>
      <c r="BD485" s="54"/>
      <c r="BE485" s="53">
        <v>14.78</v>
      </c>
      <c r="BF485" s="53">
        <v>23.03</v>
      </c>
      <c r="BG485" s="54"/>
      <c r="BH485" s="53">
        <v>6.53</v>
      </c>
      <c r="BI485" s="54"/>
      <c r="BJ485" s="53">
        <v>22.65</v>
      </c>
      <c r="BK485" s="53">
        <v>23.47</v>
      </c>
      <c r="BL485" s="53">
        <v>16.95</v>
      </c>
      <c r="BM485" s="53">
        <v>16.13</v>
      </c>
      <c r="BN485" s="53">
        <v>21.26</v>
      </c>
      <c r="BO485" s="53">
        <v>0.31</v>
      </c>
      <c r="BP485" s="53">
        <v>1.84</v>
      </c>
      <c r="BQ485" s="53">
        <v>4.47</v>
      </c>
      <c r="BR485" s="53">
        <v>6.11</v>
      </c>
      <c r="BS485" s="25">
        <v>4.74</v>
      </c>
      <c r="BT485" s="77">
        <v>10.6</v>
      </c>
      <c r="BU485" s="55">
        <v>3.2</v>
      </c>
      <c r="BV485" s="57">
        <v>2.66</v>
      </c>
      <c r="BW485" s="54"/>
      <c r="BX485" s="53">
        <v>2700.0</v>
      </c>
      <c r="BY485" s="53" t="s">
        <v>123</v>
      </c>
      <c r="BZ485" s="58">
        <v>2400.0</v>
      </c>
      <c r="CA485" s="29" t="s">
        <v>124</v>
      </c>
      <c r="CB485" s="30">
        <v>3000.0</v>
      </c>
      <c r="CC485" s="31"/>
      <c r="CD485" s="58">
        <v>3000.0</v>
      </c>
      <c r="CE485" s="59" t="e">
        <v>#REF!</v>
      </c>
      <c r="CF485" s="79">
        <f t="shared" ref="CF485:CF486" si="10">+300</f>
        <v>300</v>
      </c>
      <c r="CG485" s="80">
        <f>+2</f>
        <v>2</v>
      </c>
      <c r="CH485" s="62">
        <v>0.12</v>
      </c>
      <c r="CI485" s="63">
        <v>19.0</v>
      </c>
      <c r="CJ485" s="63">
        <v>3932.0</v>
      </c>
      <c r="CK485" s="64">
        <v>-91.0</v>
      </c>
      <c r="CL485" s="63">
        <v>3841.0</v>
      </c>
      <c r="CM485" s="65">
        <v>308.0</v>
      </c>
      <c r="CN485" s="63">
        <v>-47.0</v>
      </c>
      <c r="CO485" s="66">
        <v>18.7</v>
      </c>
      <c r="CP485" s="67">
        <v>0.6</v>
      </c>
      <c r="CQ485" s="63">
        <v>31.0</v>
      </c>
      <c r="CR485" s="63">
        <v>35.0</v>
      </c>
      <c r="CS485" s="63">
        <v>90.0</v>
      </c>
      <c r="CT485" s="68"/>
      <c r="CU485" s="69"/>
      <c r="CV485" s="70"/>
      <c r="CW485" s="71">
        <v>10.0</v>
      </c>
      <c r="CX485" s="71" t="s">
        <v>138</v>
      </c>
      <c r="CY485" s="71" t="s">
        <v>139</v>
      </c>
      <c r="CZ485" s="76" t="s">
        <v>151</v>
      </c>
      <c r="DA485" s="44">
        <v>3000.0</v>
      </c>
      <c r="DB485" s="44">
        <v>0.0</v>
      </c>
      <c r="DC485" s="46" t="s">
        <v>127</v>
      </c>
      <c r="DD485" s="47">
        <v>46218.0</v>
      </c>
      <c r="DE485" s="43"/>
      <c r="DF485" s="43"/>
      <c r="DG485" s="48" t="s">
        <v>128</v>
      </c>
      <c r="DH485" s="48" t="s">
        <v>128</v>
      </c>
      <c r="DI485" s="48" t="s">
        <v>128</v>
      </c>
      <c r="DJ485" s="49">
        <v>1.0</v>
      </c>
      <c r="DK485" s="48" t="b">
        <v>1</v>
      </c>
      <c r="DL485" s="50" t="s">
        <v>329</v>
      </c>
      <c r="DM485" s="50" t="s">
        <v>131</v>
      </c>
      <c r="DN485" s="50" t="s">
        <v>330</v>
      </c>
      <c r="DO485" s="49">
        <v>0.8</v>
      </c>
      <c r="DP485" s="48" t="s">
        <v>128</v>
      </c>
      <c r="DQ485" s="48" t="s">
        <v>128</v>
      </c>
      <c r="DR485" s="51"/>
      <c r="DS485" s="48" t="s">
        <v>134</v>
      </c>
    </row>
    <row r="486">
      <c r="A486" s="23" t="s">
        <v>118</v>
      </c>
      <c r="B486" s="24">
        <v>4.0</v>
      </c>
      <c r="C486" s="23" t="s">
        <v>1123</v>
      </c>
      <c r="D486" s="24">
        <v>639495.0</v>
      </c>
      <c r="E486" s="23" t="s">
        <v>155</v>
      </c>
      <c r="F486" s="23" t="s">
        <v>1206</v>
      </c>
      <c r="G486" s="23" t="s">
        <v>1207</v>
      </c>
      <c r="H486" s="24">
        <v>45072.0</v>
      </c>
      <c r="I486" s="24">
        <v>30.0</v>
      </c>
      <c r="J486" s="24">
        <v>0.0</v>
      </c>
      <c r="K486" s="24">
        <v>0.0</v>
      </c>
      <c r="L486" s="24">
        <v>0.0</v>
      </c>
      <c r="M486" s="24">
        <v>1.0</v>
      </c>
      <c r="N486" s="24">
        <v>1.0</v>
      </c>
      <c r="O486" s="24">
        <v>6.0</v>
      </c>
      <c r="P486" s="24">
        <v>0.0</v>
      </c>
      <c r="Q486" s="24">
        <v>1.0</v>
      </c>
      <c r="R486" s="24">
        <v>0.0</v>
      </c>
      <c r="S486" s="24">
        <v>1.0</v>
      </c>
      <c r="T486" s="24">
        <v>2.0</v>
      </c>
      <c r="U486" s="24">
        <v>3.0</v>
      </c>
      <c r="V486" s="24">
        <v>2.0</v>
      </c>
      <c r="W486" s="24">
        <v>1.0</v>
      </c>
      <c r="X486" s="24">
        <v>0.0</v>
      </c>
      <c r="Y486" s="24">
        <v>0.0</v>
      </c>
      <c r="Z486" s="24">
        <v>2.0</v>
      </c>
      <c r="AA486" s="24">
        <v>0.0</v>
      </c>
      <c r="AB486" s="24">
        <v>2.0</v>
      </c>
      <c r="AC486" s="24">
        <v>5.0</v>
      </c>
      <c r="AD486" s="24">
        <v>0.0</v>
      </c>
      <c r="AE486" s="24">
        <v>1.0</v>
      </c>
      <c r="AF486" s="24">
        <v>0.0</v>
      </c>
      <c r="AG486" s="24">
        <v>0.0</v>
      </c>
      <c r="AH486" s="24">
        <v>0.0</v>
      </c>
      <c r="AI486" s="24">
        <v>0.0</v>
      </c>
      <c r="AJ486" s="24">
        <v>0.0</v>
      </c>
      <c r="AK486" s="24">
        <v>0.0</v>
      </c>
      <c r="AL486" s="24">
        <v>0.0</v>
      </c>
      <c r="AM486" s="24">
        <v>1.0</v>
      </c>
      <c r="AN486" s="24">
        <v>1.0</v>
      </c>
      <c r="AO486" s="25">
        <v>17.0</v>
      </c>
      <c r="AP486" s="26"/>
      <c r="AQ486" s="26"/>
      <c r="AR486" s="26"/>
      <c r="AS486" s="24">
        <v>15.57</v>
      </c>
      <c r="AT486" s="24">
        <v>16.9</v>
      </c>
      <c r="AU486" s="24">
        <v>11.59</v>
      </c>
      <c r="AV486" s="26"/>
      <c r="AW486" s="24">
        <v>8.87</v>
      </c>
      <c r="AX486" s="26"/>
      <c r="AY486" s="24">
        <v>26.45</v>
      </c>
      <c r="AZ486" s="24">
        <v>18.8</v>
      </c>
      <c r="BA486" s="24">
        <v>15.28</v>
      </c>
      <c r="BB486" s="24">
        <v>15.31</v>
      </c>
      <c r="BC486" s="24">
        <v>10.35</v>
      </c>
      <c r="BD486" s="26"/>
      <c r="BE486" s="26"/>
      <c r="BF486" s="24">
        <v>13.67</v>
      </c>
      <c r="BG486" s="26"/>
      <c r="BH486" s="24">
        <v>33.88</v>
      </c>
      <c r="BI486" s="24">
        <v>20.8</v>
      </c>
      <c r="BJ486" s="26"/>
      <c r="BK486" s="24">
        <v>14.53</v>
      </c>
      <c r="BL486" s="26"/>
      <c r="BM486" s="26"/>
      <c r="BN486" s="26"/>
      <c r="BO486" s="24">
        <v>0.29</v>
      </c>
      <c r="BP486" s="24">
        <v>3.39</v>
      </c>
      <c r="BQ486" s="24">
        <v>4.64</v>
      </c>
      <c r="BR486" s="24">
        <v>7.82</v>
      </c>
      <c r="BS486" s="25">
        <v>4.4</v>
      </c>
      <c r="BT486" s="91">
        <v>16.4</v>
      </c>
      <c r="BU486" s="57">
        <v>2.1</v>
      </c>
      <c r="BV486" s="57">
        <v>2.9</v>
      </c>
      <c r="BW486" s="26"/>
      <c r="BX486" s="24">
        <v>2100.0</v>
      </c>
      <c r="BY486" s="24" t="s">
        <v>123</v>
      </c>
      <c r="BZ486" s="28">
        <v>2100.0</v>
      </c>
      <c r="CA486" s="72"/>
      <c r="CB486" s="30">
        <v>2400.0</v>
      </c>
      <c r="CC486" s="31"/>
      <c r="CD486" s="28">
        <v>2400.0</v>
      </c>
      <c r="CE486" s="32" t="e">
        <v>#REF!</v>
      </c>
      <c r="CF486" s="73">
        <f t="shared" si="10"/>
        <v>300</v>
      </c>
      <c r="CG486" s="74">
        <f>+5</f>
        <v>5</v>
      </c>
      <c r="CH486" s="35">
        <v>0.17</v>
      </c>
      <c r="CI486" s="36">
        <v>35.0</v>
      </c>
      <c r="CJ486" s="36">
        <v>3932.0</v>
      </c>
      <c r="CK486" s="37">
        <v>-91.0</v>
      </c>
      <c r="CL486" s="36">
        <v>3841.0</v>
      </c>
      <c r="CM486" s="38">
        <v>510.0</v>
      </c>
      <c r="CN486" s="36">
        <v>-148.0</v>
      </c>
      <c r="CO486" s="39">
        <v>18.8</v>
      </c>
      <c r="CP486" s="75">
        <f>+1.8</f>
        <v>1.8</v>
      </c>
      <c r="CQ486" s="36">
        <v>102.0</v>
      </c>
      <c r="CR486" s="36">
        <v>119.0</v>
      </c>
      <c r="CS486" s="36">
        <v>154.0</v>
      </c>
      <c r="CT486" s="41"/>
      <c r="CU486" s="42"/>
      <c r="CV486" s="43"/>
      <c r="CW486" s="44">
        <v>8.0</v>
      </c>
      <c r="CX486" s="44" t="s">
        <v>125</v>
      </c>
      <c r="CY486" s="44" t="s">
        <v>126</v>
      </c>
      <c r="CZ486" s="76" t="s">
        <v>151</v>
      </c>
      <c r="DA486" s="44">
        <v>2400.0</v>
      </c>
      <c r="DB486" s="44">
        <v>0.0</v>
      </c>
      <c r="DC486" s="46" t="s">
        <v>127</v>
      </c>
      <c r="DD486" s="47">
        <v>46246.0</v>
      </c>
      <c r="DE486" s="43"/>
      <c r="DF486" s="43"/>
      <c r="DG486" s="48" t="s">
        <v>128</v>
      </c>
      <c r="DH486" s="48" t="s">
        <v>128</v>
      </c>
      <c r="DI486" s="48" t="s">
        <v>128</v>
      </c>
      <c r="DJ486" s="49">
        <v>1.0</v>
      </c>
      <c r="DK486" s="48" t="b">
        <v>0</v>
      </c>
      <c r="DL486" s="50" t="s">
        <v>329</v>
      </c>
      <c r="DM486" s="50" t="s">
        <v>131</v>
      </c>
      <c r="DN486" s="50" t="s">
        <v>330</v>
      </c>
      <c r="DO486" s="49">
        <v>0.8</v>
      </c>
      <c r="DP486" s="48" t="s">
        <v>128</v>
      </c>
      <c r="DQ486" s="48" t="s">
        <v>128</v>
      </c>
      <c r="DR486" s="51"/>
      <c r="DS486" s="48" t="s">
        <v>134</v>
      </c>
    </row>
    <row r="487">
      <c r="A487" s="52" t="s">
        <v>118</v>
      </c>
      <c r="B487" s="53">
        <v>4.0</v>
      </c>
      <c r="C487" s="52" t="s">
        <v>1123</v>
      </c>
      <c r="D487" s="53">
        <v>576393.0</v>
      </c>
      <c r="E487" s="52" t="s">
        <v>164</v>
      </c>
      <c r="F487" s="52" t="s">
        <v>1208</v>
      </c>
      <c r="G487" s="52" t="s">
        <v>1209</v>
      </c>
      <c r="H487" s="53">
        <v>45072.0</v>
      </c>
      <c r="I487" s="53">
        <v>42.0</v>
      </c>
      <c r="J487" s="53">
        <v>0.0</v>
      </c>
      <c r="K487" s="53">
        <v>0.0</v>
      </c>
      <c r="L487" s="53">
        <v>1.0</v>
      </c>
      <c r="M487" s="53">
        <v>0.0</v>
      </c>
      <c r="N487" s="53">
        <v>0.0</v>
      </c>
      <c r="O487" s="53">
        <v>0.0</v>
      </c>
      <c r="P487" s="53">
        <v>0.0</v>
      </c>
      <c r="Q487" s="53">
        <v>0.0</v>
      </c>
      <c r="R487" s="53">
        <v>0.0</v>
      </c>
      <c r="S487" s="53">
        <v>1.0</v>
      </c>
      <c r="T487" s="53">
        <v>1.0</v>
      </c>
      <c r="U487" s="53">
        <v>1.0</v>
      </c>
      <c r="V487" s="53">
        <v>0.0</v>
      </c>
      <c r="W487" s="53">
        <v>2.0</v>
      </c>
      <c r="X487" s="53">
        <v>0.0</v>
      </c>
      <c r="Y487" s="53">
        <v>1.0</v>
      </c>
      <c r="Z487" s="53">
        <v>1.0</v>
      </c>
      <c r="AA487" s="53">
        <v>1.0</v>
      </c>
      <c r="AB487" s="53">
        <v>5.0</v>
      </c>
      <c r="AC487" s="53">
        <v>2.0</v>
      </c>
      <c r="AD487" s="53">
        <v>1.0</v>
      </c>
      <c r="AE487" s="53">
        <v>0.0</v>
      </c>
      <c r="AF487" s="53">
        <v>4.0</v>
      </c>
      <c r="AG487" s="53">
        <v>5.0</v>
      </c>
      <c r="AH487" s="53">
        <v>0.0</v>
      </c>
      <c r="AI487" s="53">
        <v>2.0</v>
      </c>
      <c r="AJ487" s="53">
        <v>2.0</v>
      </c>
      <c r="AK487" s="53">
        <v>4.0</v>
      </c>
      <c r="AL487" s="53">
        <v>5.0</v>
      </c>
      <c r="AM487" s="53">
        <v>2.0</v>
      </c>
      <c r="AN487" s="53">
        <v>1.0</v>
      </c>
      <c r="AO487" s="25">
        <v>17.5</v>
      </c>
      <c r="AP487" s="54"/>
      <c r="AQ487" s="54"/>
      <c r="AR487" s="53">
        <v>14.97</v>
      </c>
      <c r="AS487" s="54"/>
      <c r="AT487" s="54"/>
      <c r="AU487" s="54"/>
      <c r="AV487" s="54"/>
      <c r="AW487" s="54"/>
      <c r="AX487" s="54"/>
      <c r="AY487" s="53">
        <v>17.82</v>
      </c>
      <c r="AZ487" s="53">
        <v>16.7</v>
      </c>
      <c r="BA487" s="53">
        <v>11.6</v>
      </c>
      <c r="BB487" s="54"/>
      <c r="BC487" s="53">
        <v>19.38</v>
      </c>
      <c r="BD487" s="54"/>
      <c r="BE487" s="53">
        <v>49.87</v>
      </c>
      <c r="BF487" s="53">
        <v>11.72</v>
      </c>
      <c r="BG487" s="53">
        <v>10.47</v>
      </c>
      <c r="BH487" s="53">
        <v>18.9</v>
      </c>
      <c r="BI487" s="53">
        <v>17.67</v>
      </c>
      <c r="BJ487" s="53">
        <v>13.35</v>
      </c>
      <c r="BK487" s="54"/>
      <c r="BL487" s="53">
        <v>18.97</v>
      </c>
      <c r="BM487" s="53">
        <v>16.11</v>
      </c>
      <c r="BN487" s="54"/>
      <c r="BO487" s="53">
        <v>0.27</v>
      </c>
      <c r="BP487" s="53">
        <v>2.66</v>
      </c>
      <c r="BQ487" s="53">
        <v>4.41</v>
      </c>
      <c r="BR487" s="53">
        <v>6.87</v>
      </c>
      <c r="BS487" s="25">
        <v>4.33</v>
      </c>
      <c r="BT487" s="91">
        <v>16.4</v>
      </c>
      <c r="BU487" s="55">
        <v>3.4</v>
      </c>
      <c r="BV487" s="57">
        <v>4.88</v>
      </c>
      <c r="BW487" s="54"/>
      <c r="BX487" s="53">
        <v>3000.0</v>
      </c>
      <c r="BY487" s="53" t="s">
        <v>123</v>
      </c>
      <c r="BZ487" s="58">
        <v>3000.0</v>
      </c>
      <c r="CA487" s="72"/>
      <c r="CB487" s="30">
        <v>3000.0</v>
      </c>
      <c r="CC487" s="31"/>
      <c r="CD487" s="58">
        <v>3000.0</v>
      </c>
      <c r="CE487" s="59" t="e">
        <v>#REF!</v>
      </c>
      <c r="CF487" s="60"/>
      <c r="CG487" s="61">
        <v>0.0</v>
      </c>
      <c r="CH487" s="62">
        <v>0.0</v>
      </c>
      <c r="CI487" s="63">
        <v>42.0</v>
      </c>
      <c r="CJ487" s="63">
        <v>3932.0</v>
      </c>
      <c r="CK487" s="64">
        <v>-91.0</v>
      </c>
      <c r="CL487" s="63">
        <v>3841.0</v>
      </c>
      <c r="CM487" s="65">
        <v>735.0</v>
      </c>
      <c r="CN487" s="63">
        <v>0.0</v>
      </c>
      <c r="CO487" s="66">
        <v>17.5</v>
      </c>
      <c r="CP487" s="67">
        <v>0.0</v>
      </c>
      <c r="CQ487" s="63">
        <v>112.0</v>
      </c>
      <c r="CR487" s="63">
        <v>112.0</v>
      </c>
      <c r="CS487" s="63">
        <v>182.0</v>
      </c>
      <c r="CT487" s="68"/>
      <c r="CU487" s="69"/>
      <c r="CV487" s="70"/>
      <c r="CW487" s="71">
        <v>10.0</v>
      </c>
      <c r="CX487" s="71" t="s">
        <v>138</v>
      </c>
      <c r="CY487" s="71" t="s">
        <v>139</v>
      </c>
      <c r="CZ487" s="45"/>
      <c r="DA487" s="44">
        <v>3000.0</v>
      </c>
      <c r="DB487" s="44">
        <v>0.0</v>
      </c>
      <c r="DC487" s="46" t="s">
        <v>127</v>
      </c>
      <c r="DD487" s="47">
        <v>46197.0</v>
      </c>
      <c r="DE487" s="43"/>
      <c r="DF487" s="43"/>
      <c r="DG487" s="48" t="s">
        <v>128</v>
      </c>
      <c r="DH487" s="48" t="s">
        <v>128</v>
      </c>
      <c r="DI487" s="48" t="s">
        <v>128</v>
      </c>
      <c r="DJ487" s="49">
        <v>1.0</v>
      </c>
      <c r="DK487" s="48" t="b">
        <v>0</v>
      </c>
      <c r="DL487" s="50" t="s">
        <v>329</v>
      </c>
      <c r="DM487" s="50" t="s">
        <v>131</v>
      </c>
      <c r="DN487" s="50" t="s">
        <v>330</v>
      </c>
      <c r="DO487" s="49">
        <v>0.8</v>
      </c>
      <c r="DP487" s="48" t="s">
        <v>128</v>
      </c>
      <c r="DQ487" s="48" t="s">
        <v>128</v>
      </c>
      <c r="DR487" s="51"/>
      <c r="DS487" s="48" t="s">
        <v>134</v>
      </c>
    </row>
    <row r="488">
      <c r="A488" s="23" t="s">
        <v>118</v>
      </c>
      <c r="B488" s="24">
        <v>4.0</v>
      </c>
      <c r="C488" s="23" t="s">
        <v>1123</v>
      </c>
      <c r="D488" s="24">
        <v>641892.0</v>
      </c>
      <c r="E488" s="23" t="s">
        <v>170</v>
      </c>
      <c r="F488" s="23" t="s">
        <v>1210</v>
      </c>
      <c r="G488" s="23" t="s">
        <v>1211</v>
      </c>
      <c r="H488" s="24">
        <v>45072.0</v>
      </c>
      <c r="I488" s="24">
        <v>21.0</v>
      </c>
      <c r="J488" s="24">
        <v>1.0</v>
      </c>
      <c r="K488" s="24">
        <v>0.0</v>
      </c>
      <c r="L488" s="24">
        <v>0.0</v>
      </c>
      <c r="M488" s="24">
        <v>0.0</v>
      </c>
      <c r="N488" s="24">
        <v>0.0</v>
      </c>
      <c r="O488" s="24">
        <v>0.0</v>
      </c>
      <c r="P488" s="24">
        <v>0.0</v>
      </c>
      <c r="Q488" s="24">
        <v>0.0</v>
      </c>
      <c r="R488" s="24">
        <v>0.0</v>
      </c>
      <c r="S488" s="24">
        <v>0.0</v>
      </c>
      <c r="T488" s="24">
        <v>1.0</v>
      </c>
      <c r="U488" s="24">
        <v>0.0</v>
      </c>
      <c r="V488" s="24">
        <v>0.0</v>
      </c>
      <c r="W488" s="24">
        <v>1.0</v>
      </c>
      <c r="X488" s="24">
        <v>0.0</v>
      </c>
      <c r="Y488" s="24">
        <v>2.0</v>
      </c>
      <c r="Z488" s="24">
        <v>1.0</v>
      </c>
      <c r="AA488" s="24">
        <v>0.0</v>
      </c>
      <c r="AB488" s="24">
        <v>1.0</v>
      </c>
      <c r="AC488" s="24">
        <v>3.0</v>
      </c>
      <c r="AD488" s="24">
        <v>0.0</v>
      </c>
      <c r="AE488" s="24">
        <v>0.0</v>
      </c>
      <c r="AF488" s="24">
        <v>1.0</v>
      </c>
      <c r="AG488" s="24">
        <v>1.0</v>
      </c>
      <c r="AH488" s="24">
        <v>1.0</v>
      </c>
      <c r="AI488" s="24">
        <v>0.0</v>
      </c>
      <c r="AJ488" s="24">
        <v>0.0</v>
      </c>
      <c r="AK488" s="24">
        <v>2.0</v>
      </c>
      <c r="AL488" s="24">
        <v>0.0</v>
      </c>
      <c r="AM488" s="24">
        <v>5.0</v>
      </c>
      <c r="AN488" s="24">
        <v>1.0</v>
      </c>
      <c r="AO488" s="25">
        <v>19.7</v>
      </c>
      <c r="AP488" s="24">
        <v>9.87</v>
      </c>
      <c r="AQ488" s="26"/>
      <c r="AR488" s="26"/>
      <c r="AS488" s="26"/>
      <c r="AT488" s="26"/>
      <c r="AU488" s="26"/>
      <c r="AV488" s="26"/>
      <c r="AW488" s="26"/>
      <c r="AX488" s="26"/>
      <c r="AY488" s="26"/>
      <c r="AZ488" s="24">
        <v>8.33</v>
      </c>
      <c r="BA488" s="26"/>
      <c r="BB488" s="26"/>
      <c r="BC488" s="24">
        <v>12.45</v>
      </c>
      <c r="BD488" s="26"/>
      <c r="BE488" s="24">
        <v>21.22</v>
      </c>
      <c r="BF488" s="24">
        <v>14.0</v>
      </c>
      <c r="BG488" s="26"/>
      <c r="BH488" s="24">
        <v>25.57</v>
      </c>
      <c r="BI488" s="24">
        <v>23.28</v>
      </c>
      <c r="BJ488" s="26"/>
      <c r="BK488" s="26"/>
      <c r="BL488" s="24">
        <v>13.47</v>
      </c>
      <c r="BM488" s="24">
        <v>15.03</v>
      </c>
      <c r="BN488" s="24">
        <v>17.62</v>
      </c>
      <c r="BO488" s="24">
        <v>0.38</v>
      </c>
      <c r="BP488" s="24">
        <v>4.96</v>
      </c>
      <c r="BQ488" s="24">
        <v>4.44</v>
      </c>
      <c r="BR488" s="24">
        <v>9.21</v>
      </c>
      <c r="BS488" s="25">
        <v>4.17</v>
      </c>
      <c r="BT488" s="77">
        <v>13.8</v>
      </c>
      <c r="BU488" s="57">
        <v>2.0</v>
      </c>
      <c r="BV488" s="57">
        <v>3.78</v>
      </c>
      <c r="BW488" s="26"/>
      <c r="BX488" s="24">
        <v>3000.0</v>
      </c>
      <c r="BY488" s="24" t="s">
        <v>123</v>
      </c>
      <c r="BZ488" s="28">
        <v>3000.0</v>
      </c>
      <c r="CA488" s="72"/>
      <c r="CB488" s="30">
        <v>3000.0</v>
      </c>
      <c r="CC488" s="31"/>
      <c r="CD488" s="28">
        <v>3000.0</v>
      </c>
      <c r="CE488" s="32" t="e">
        <v>#REF!</v>
      </c>
      <c r="CF488" s="33"/>
      <c r="CG488" s="34">
        <v>0.0</v>
      </c>
      <c r="CH488" s="35">
        <v>0.0</v>
      </c>
      <c r="CI488" s="36">
        <v>21.0</v>
      </c>
      <c r="CJ488" s="36">
        <v>3932.0</v>
      </c>
      <c r="CK488" s="37">
        <v>-91.0</v>
      </c>
      <c r="CL488" s="36">
        <v>3841.0</v>
      </c>
      <c r="CM488" s="38">
        <v>414.0</v>
      </c>
      <c r="CN488" s="36">
        <v>0.0</v>
      </c>
      <c r="CO488" s="39">
        <v>19.7</v>
      </c>
      <c r="CP488" s="40">
        <v>0.0</v>
      </c>
      <c r="CQ488" s="36">
        <v>104.0</v>
      </c>
      <c r="CR488" s="36">
        <v>104.0</v>
      </c>
      <c r="CS488" s="36">
        <v>88.0</v>
      </c>
      <c r="CT488" s="41"/>
      <c r="CU488" s="42"/>
      <c r="CV488" s="43"/>
      <c r="CW488" s="44">
        <v>10.0</v>
      </c>
      <c r="CX488" s="44" t="s">
        <v>138</v>
      </c>
      <c r="CY488" s="44" t="s">
        <v>139</v>
      </c>
      <c r="CZ488" s="45"/>
      <c r="DA488" s="44">
        <v>3000.0</v>
      </c>
      <c r="DB488" s="44">
        <v>0.0</v>
      </c>
      <c r="DC488" s="46" t="s">
        <v>127</v>
      </c>
      <c r="DD488" s="47">
        <v>46218.0</v>
      </c>
      <c r="DE488" s="43"/>
      <c r="DF488" s="43"/>
      <c r="DG488" s="48" t="s">
        <v>128</v>
      </c>
      <c r="DH488" s="48" t="s">
        <v>128</v>
      </c>
      <c r="DI488" s="48" t="s">
        <v>128</v>
      </c>
      <c r="DJ488" s="49">
        <v>1.0</v>
      </c>
      <c r="DK488" s="48" t="b">
        <v>1</v>
      </c>
      <c r="DL488" s="50" t="s">
        <v>329</v>
      </c>
      <c r="DM488" s="50" t="s">
        <v>131</v>
      </c>
      <c r="DN488" s="50" t="s">
        <v>330</v>
      </c>
      <c r="DO488" s="49">
        <v>0.8</v>
      </c>
      <c r="DP488" s="48" t="s">
        <v>128</v>
      </c>
      <c r="DQ488" s="48" t="s">
        <v>128</v>
      </c>
      <c r="DR488" s="51"/>
      <c r="DS488" s="48" t="s">
        <v>134</v>
      </c>
    </row>
    <row r="489">
      <c r="A489" s="52" t="s">
        <v>118</v>
      </c>
      <c r="B489" s="53">
        <v>4.0</v>
      </c>
      <c r="C489" s="52" t="s">
        <v>1123</v>
      </c>
      <c r="D489" s="53">
        <v>669823.0</v>
      </c>
      <c r="E489" s="52" t="s">
        <v>214</v>
      </c>
      <c r="F489" s="52" t="s">
        <v>1212</v>
      </c>
      <c r="G489" s="52" t="s">
        <v>1213</v>
      </c>
      <c r="H489" s="53">
        <v>45072.0</v>
      </c>
      <c r="I489" s="53">
        <v>7.0</v>
      </c>
      <c r="J489" s="53">
        <v>0.0</v>
      </c>
      <c r="K489" s="53">
        <v>0.0</v>
      </c>
      <c r="L489" s="53">
        <v>0.0</v>
      </c>
      <c r="M489" s="53">
        <v>0.0</v>
      </c>
      <c r="N489" s="53">
        <v>0.0</v>
      </c>
      <c r="O489" s="53">
        <v>0.0</v>
      </c>
      <c r="P489" s="53">
        <v>0.0</v>
      </c>
      <c r="Q489" s="53">
        <v>0.0</v>
      </c>
      <c r="R489" s="53">
        <v>1.0</v>
      </c>
      <c r="S489" s="53">
        <v>0.0</v>
      </c>
      <c r="T489" s="53">
        <v>1.0</v>
      </c>
      <c r="U489" s="53">
        <v>0.0</v>
      </c>
      <c r="V489" s="53">
        <v>1.0</v>
      </c>
      <c r="W489" s="53">
        <v>0.0</v>
      </c>
      <c r="X489" s="53">
        <v>1.0</v>
      </c>
      <c r="Y489" s="53">
        <v>0.0</v>
      </c>
      <c r="Z489" s="53">
        <v>0.0</v>
      </c>
      <c r="AA489" s="53">
        <v>0.0</v>
      </c>
      <c r="AB489" s="53">
        <v>0.0</v>
      </c>
      <c r="AC489" s="53">
        <v>0.0</v>
      </c>
      <c r="AD489" s="53">
        <v>0.0</v>
      </c>
      <c r="AE489" s="53">
        <v>0.0</v>
      </c>
      <c r="AF489" s="53">
        <v>1.0</v>
      </c>
      <c r="AG489" s="53">
        <v>1.0</v>
      </c>
      <c r="AH489" s="53">
        <v>0.0</v>
      </c>
      <c r="AI489" s="53">
        <v>0.0</v>
      </c>
      <c r="AJ489" s="53">
        <v>0.0</v>
      </c>
      <c r="AK489" s="53">
        <v>1.0</v>
      </c>
      <c r="AL489" s="53">
        <v>0.0</v>
      </c>
      <c r="AM489" s="53">
        <v>0.0</v>
      </c>
      <c r="AN489" s="53">
        <v>0.0</v>
      </c>
      <c r="AO489" s="25">
        <v>19.6</v>
      </c>
      <c r="AP489" s="54"/>
      <c r="AQ489" s="54"/>
      <c r="AR489" s="54"/>
      <c r="AS489" s="54"/>
      <c r="AT489" s="54"/>
      <c r="AU489" s="54"/>
      <c r="AV489" s="54"/>
      <c r="AW489" s="54"/>
      <c r="AX489" s="53">
        <v>17.57</v>
      </c>
      <c r="AY489" s="54"/>
      <c r="AZ489" s="53">
        <v>19.07</v>
      </c>
      <c r="BA489" s="54"/>
      <c r="BB489" s="53">
        <v>15.55</v>
      </c>
      <c r="BC489" s="54"/>
      <c r="BD489" s="53">
        <v>15.62</v>
      </c>
      <c r="BE489" s="54"/>
      <c r="BF489" s="54"/>
      <c r="BG489" s="54"/>
      <c r="BH489" s="54"/>
      <c r="BI489" s="54"/>
      <c r="BJ489" s="54"/>
      <c r="BK489" s="54"/>
      <c r="BL489" s="53">
        <v>18.25</v>
      </c>
      <c r="BM489" s="53">
        <v>33.57</v>
      </c>
      <c r="BN489" s="54"/>
      <c r="BO489" s="53">
        <v>0.29</v>
      </c>
      <c r="BP489" s="53">
        <v>5.92</v>
      </c>
      <c r="BQ489" s="53">
        <v>4.6</v>
      </c>
      <c r="BR489" s="53">
        <v>10.32</v>
      </c>
      <c r="BS489" s="25">
        <v>4.15</v>
      </c>
      <c r="BT489" s="56">
        <v>19.1</v>
      </c>
      <c r="BU489" s="25">
        <v>7.2</v>
      </c>
      <c r="BV489" s="57">
        <v>2.5</v>
      </c>
      <c r="BW489" s="54"/>
      <c r="BX489" s="53">
        <v>3000.0</v>
      </c>
      <c r="BY489" s="53" t="s">
        <v>123</v>
      </c>
      <c r="BZ489" s="58">
        <v>3000.0</v>
      </c>
      <c r="CA489" s="72"/>
      <c r="CB489" s="30">
        <v>3000.0</v>
      </c>
      <c r="CC489" s="31"/>
      <c r="CD489" s="58">
        <v>3000.0</v>
      </c>
      <c r="CE489" s="59" t="e">
        <v>#REF!</v>
      </c>
      <c r="CF489" s="60"/>
      <c r="CG489" s="61">
        <v>0.0</v>
      </c>
      <c r="CH489" s="62">
        <v>0.0</v>
      </c>
      <c r="CI489" s="63">
        <v>7.0</v>
      </c>
      <c r="CJ489" s="63">
        <v>3932.0</v>
      </c>
      <c r="CK489" s="64">
        <v>-91.0</v>
      </c>
      <c r="CL489" s="63">
        <v>3841.0</v>
      </c>
      <c r="CM489" s="65">
        <v>137.0</v>
      </c>
      <c r="CN489" s="63">
        <v>0.0</v>
      </c>
      <c r="CO489" s="66">
        <v>19.6</v>
      </c>
      <c r="CP489" s="67">
        <v>0.0</v>
      </c>
      <c r="CQ489" s="63">
        <v>41.0</v>
      </c>
      <c r="CR489" s="63">
        <v>41.0</v>
      </c>
      <c r="CS489" s="63">
        <v>29.0</v>
      </c>
      <c r="CT489" s="68"/>
      <c r="CU489" s="69"/>
      <c r="CV489" s="70"/>
      <c r="CW489" s="71">
        <v>10.0</v>
      </c>
      <c r="CX489" s="71" t="s">
        <v>138</v>
      </c>
      <c r="CY489" s="71" t="s">
        <v>139</v>
      </c>
      <c r="CZ489" s="45"/>
      <c r="DA489" s="44">
        <v>3000.0</v>
      </c>
      <c r="DB489" s="44">
        <v>0.0</v>
      </c>
      <c r="DC489" s="46" t="s">
        <v>127</v>
      </c>
      <c r="DD489" s="47">
        <v>46228.0</v>
      </c>
      <c r="DE489" s="43"/>
      <c r="DF489" s="43"/>
      <c r="DG489" s="48" t="s">
        <v>128</v>
      </c>
      <c r="DH489" s="48" t="s">
        <v>128</v>
      </c>
      <c r="DI489" s="48" t="s">
        <v>128</v>
      </c>
      <c r="DJ489" s="49">
        <v>1.0</v>
      </c>
      <c r="DK489" s="48" t="b">
        <v>0</v>
      </c>
      <c r="DL489" s="50" t="s">
        <v>329</v>
      </c>
      <c r="DM489" s="50" t="s">
        <v>131</v>
      </c>
      <c r="DN489" s="50" t="s">
        <v>330</v>
      </c>
      <c r="DO489" s="49">
        <v>0.8</v>
      </c>
      <c r="DP489" s="48" t="s">
        <v>128</v>
      </c>
      <c r="DQ489" s="48" t="s">
        <v>128</v>
      </c>
      <c r="DR489" s="51"/>
      <c r="DS489" s="48" t="s">
        <v>134</v>
      </c>
    </row>
    <row r="490">
      <c r="A490" s="23" t="s">
        <v>118</v>
      </c>
      <c r="B490" s="24">
        <v>4.0</v>
      </c>
      <c r="C490" s="23" t="s">
        <v>1123</v>
      </c>
      <c r="D490" s="24">
        <v>648803.0</v>
      </c>
      <c r="E490" s="23" t="s">
        <v>189</v>
      </c>
      <c r="F490" s="23" t="s">
        <v>1214</v>
      </c>
      <c r="G490" s="23" t="s">
        <v>1215</v>
      </c>
      <c r="H490" s="24">
        <v>45072.0</v>
      </c>
      <c r="I490" s="24">
        <v>3.0</v>
      </c>
      <c r="J490" s="24">
        <v>0.0</v>
      </c>
      <c r="K490" s="24">
        <v>0.0</v>
      </c>
      <c r="L490" s="24">
        <v>0.0</v>
      </c>
      <c r="M490" s="24">
        <v>0.0</v>
      </c>
      <c r="N490" s="24">
        <v>0.0</v>
      </c>
      <c r="O490" s="24">
        <v>0.0</v>
      </c>
      <c r="P490" s="24">
        <v>0.0</v>
      </c>
      <c r="Q490" s="24">
        <v>0.0</v>
      </c>
      <c r="R490" s="24">
        <v>0.0</v>
      </c>
      <c r="S490" s="24">
        <v>0.0</v>
      </c>
      <c r="T490" s="24">
        <v>0.0</v>
      </c>
      <c r="U490" s="24">
        <v>0.0</v>
      </c>
      <c r="V490" s="24">
        <v>0.0</v>
      </c>
      <c r="W490" s="24">
        <v>0.0</v>
      </c>
      <c r="X490" s="24">
        <v>0.0</v>
      </c>
      <c r="Y490" s="24">
        <v>0.0</v>
      </c>
      <c r="Z490" s="24">
        <v>0.0</v>
      </c>
      <c r="AA490" s="24">
        <v>0.0</v>
      </c>
      <c r="AB490" s="24">
        <v>0.0</v>
      </c>
      <c r="AC490" s="24">
        <v>1.0</v>
      </c>
      <c r="AD490" s="24">
        <v>0.0</v>
      </c>
      <c r="AE490" s="24">
        <v>1.0</v>
      </c>
      <c r="AF490" s="24">
        <v>0.0</v>
      </c>
      <c r="AG490" s="24">
        <v>0.0</v>
      </c>
      <c r="AH490" s="24">
        <v>0.0</v>
      </c>
      <c r="AI490" s="24">
        <v>0.0</v>
      </c>
      <c r="AJ490" s="24">
        <v>0.0</v>
      </c>
      <c r="AK490" s="24">
        <v>0.0</v>
      </c>
      <c r="AL490" s="24">
        <v>0.0</v>
      </c>
      <c r="AM490" s="24">
        <v>1.0</v>
      </c>
      <c r="AN490" s="24">
        <v>0.0</v>
      </c>
      <c r="AO490" s="55">
        <v>16.9</v>
      </c>
      <c r="AP490" s="26"/>
      <c r="AQ490" s="26"/>
      <c r="AR490" s="26"/>
      <c r="AS490" s="26"/>
      <c r="AT490" s="26"/>
      <c r="AU490" s="26"/>
      <c r="AV490" s="26"/>
      <c r="AW490" s="26"/>
      <c r="AX490" s="26"/>
      <c r="AY490" s="26"/>
      <c r="AZ490" s="26"/>
      <c r="BA490" s="26"/>
      <c r="BB490" s="26"/>
      <c r="BC490" s="26"/>
      <c r="BD490" s="26"/>
      <c r="BE490" s="26"/>
      <c r="BF490" s="26"/>
      <c r="BG490" s="26"/>
      <c r="BH490" s="26"/>
      <c r="BI490" s="24">
        <v>20.12</v>
      </c>
      <c r="BJ490" s="26"/>
      <c r="BK490" s="24">
        <v>15.48</v>
      </c>
      <c r="BL490" s="26"/>
      <c r="BM490" s="26"/>
      <c r="BN490" s="26"/>
      <c r="BO490" s="24">
        <v>0.25</v>
      </c>
      <c r="BP490" s="24">
        <v>3.31</v>
      </c>
      <c r="BQ490" s="24">
        <v>2.63</v>
      </c>
      <c r="BR490" s="24">
        <v>5.73</v>
      </c>
      <c r="BS490" s="25">
        <v>4.11</v>
      </c>
      <c r="BT490" s="56">
        <v>17.8</v>
      </c>
      <c r="BU490" s="25">
        <v>5.9</v>
      </c>
      <c r="BV490" s="57">
        <v>4.07</v>
      </c>
      <c r="BW490" s="26"/>
      <c r="BX490" s="24">
        <v>3000.0</v>
      </c>
      <c r="BY490" s="24" t="s">
        <v>123</v>
      </c>
      <c r="BZ490" s="28">
        <v>3000.0</v>
      </c>
      <c r="CA490" s="72"/>
      <c r="CB490" s="30">
        <v>3000.0</v>
      </c>
      <c r="CC490" s="31"/>
      <c r="CD490" s="28">
        <v>3000.0</v>
      </c>
      <c r="CE490" s="32" t="e">
        <v>#REF!</v>
      </c>
      <c r="CF490" s="33"/>
      <c r="CG490" s="34">
        <v>0.0</v>
      </c>
      <c r="CH490" s="35">
        <v>0.0</v>
      </c>
      <c r="CI490" s="36">
        <v>3.0</v>
      </c>
      <c r="CJ490" s="36">
        <v>3932.0</v>
      </c>
      <c r="CK490" s="37">
        <v>-91.0</v>
      </c>
      <c r="CL490" s="36">
        <v>3841.0</v>
      </c>
      <c r="CM490" s="38">
        <v>51.0</v>
      </c>
      <c r="CN490" s="36">
        <v>0.0</v>
      </c>
      <c r="CO490" s="39">
        <v>16.9</v>
      </c>
      <c r="CP490" s="40">
        <v>0.0</v>
      </c>
      <c r="CQ490" s="36">
        <v>10.0</v>
      </c>
      <c r="CR490" s="36">
        <v>10.0</v>
      </c>
      <c r="CS490" s="36">
        <v>12.0</v>
      </c>
      <c r="CT490" s="41"/>
      <c r="CU490" s="42"/>
      <c r="CV490" s="43"/>
      <c r="CW490" s="44">
        <v>10.0</v>
      </c>
      <c r="CX490" s="44" t="s">
        <v>138</v>
      </c>
      <c r="CY490" s="44" t="s">
        <v>139</v>
      </c>
      <c r="CZ490" s="45"/>
      <c r="DA490" s="44">
        <v>3000.0</v>
      </c>
      <c r="DB490" s="44">
        <v>0.0</v>
      </c>
      <c r="DC490" s="46" t="s">
        <v>127</v>
      </c>
      <c r="DD490" s="47">
        <v>46245.0</v>
      </c>
      <c r="DE490" s="43"/>
      <c r="DF490" s="43"/>
      <c r="DG490" s="48" t="s">
        <v>128</v>
      </c>
      <c r="DH490" s="48" t="s">
        <v>128</v>
      </c>
      <c r="DI490" s="48" t="s">
        <v>128</v>
      </c>
      <c r="DJ490" s="49">
        <v>1.0</v>
      </c>
      <c r="DK490" s="48" t="b">
        <v>0</v>
      </c>
      <c r="DL490" s="50" t="s">
        <v>329</v>
      </c>
      <c r="DM490" s="50" t="s">
        <v>131</v>
      </c>
      <c r="DN490" s="50" t="s">
        <v>330</v>
      </c>
      <c r="DO490" s="49">
        <v>0.8</v>
      </c>
      <c r="DP490" s="48" t="s">
        <v>128</v>
      </c>
      <c r="DQ490" s="48" t="s">
        <v>128</v>
      </c>
      <c r="DR490" s="51"/>
      <c r="DS490" s="48" t="s">
        <v>134</v>
      </c>
    </row>
    <row r="491">
      <c r="A491" s="52" t="s">
        <v>118</v>
      </c>
      <c r="B491" s="53">
        <v>4.0</v>
      </c>
      <c r="C491" s="52" t="s">
        <v>1123</v>
      </c>
      <c r="D491" s="53">
        <v>641645.0</v>
      </c>
      <c r="E491" s="52" t="s">
        <v>145</v>
      </c>
      <c r="F491" s="52" t="s">
        <v>1216</v>
      </c>
      <c r="G491" s="52" t="s">
        <v>1217</v>
      </c>
      <c r="H491" s="53">
        <v>45072.0</v>
      </c>
      <c r="I491" s="53">
        <v>12.0</v>
      </c>
      <c r="J491" s="53">
        <v>0.0</v>
      </c>
      <c r="K491" s="53">
        <v>0.0</v>
      </c>
      <c r="L491" s="53">
        <v>0.0</v>
      </c>
      <c r="M491" s="53">
        <v>0.0</v>
      </c>
      <c r="N491" s="53">
        <v>1.0</v>
      </c>
      <c r="O491" s="53">
        <v>0.0</v>
      </c>
      <c r="P491" s="53">
        <v>0.0</v>
      </c>
      <c r="Q491" s="53">
        <v>0.0</v>
      </c>
      <c r="R491" s="53">
        <v>1.0</v>
      </c>
      <c r="S491" s="53">
        <v>0.0</v>
      </c>
      <c r="T491" s="53">
        <v>2.0</v>
      </c>
      <c r="U491" s="53">
        <v>0.0</v>
      </c>
      <c r="V491" s="53">
        <v>1.0</v>
      </c>
      <c r="W491" s="53">
        <v>0.0</v>
      </c>
      <c r="X491" s="53">
        <v>1.0</v>
      </c>
      <c r="Y491" s="53">
        <v>2.0</v>
      </c>
      <c r="Z491" s="53">
        <v>1.0</v>
      </c>
      <c r="AA491" s="53">
        <v>1.0</v>
      </c>
      <c r="AB491" s="53">
        <v>0.0</v>
      </c>
      <c r="AC491" s="53">
        <v>1.0</v>
      </c>
      <c r="AD491" s="53">
        <v>0.0</v>
      </c>
      <c r="AE491" s="53">
        <v>0.0</v>
      </c>
      <c r="AF491" s="53">
        <v>1.0</v>
      </c>
      <c r="AG491" s="53">
        <v>0.0</v>
      </c>
      <c r="AH491" s="53">
        <v>0.0</v>
      </c>
      <c r="AI491" s="53">
        <v>0.0</v>
      </c>
      <c r="AJ491" s="53">
        <v>0.0</v>
      </c>
      <c r="AK491" s="53">
        <v>0.0</v>
      </c>
      <c r="AL491" s="53">
        <v>0.0</v>
      </c>
      <c r="AM491" s="53">
        <v>0.0</v>
      </c>
      <c r="AN491" s="53">
        <v>0.0</v>
      </c>
      <c r="AO491" s="25">
        <v>19.3</v>
      </c>
      <c r="AP491" s="54"/>
      <c r="AQ491" s="54"/>
      <c r="AR491" s="54"/>
      <c r="AS491" s="54"/>
      <c r="AT491" s="53">
        <v>0.0</v>
      </c>
      <c r="AU491" s="54"/>
      <c r="AV491" s="54"/>
      <c r="AW491" s="54"/>
      <c r="AX491" s="53">
        <v>12.77</v>
      </c>
      <c r="AY491" s="54"/>
      <c r="AZ491" s="53">
        <v>32.89</v>
      </c>
      <c r="BA491" s="54"/>
      <c r="BB491" s="53">
        <v>20.35</v>
      </c>
      <c r="BC491" s="54"/>
      <c r="BD491" s="53">
        <v>15.6</v>
      </c>
      <c r="BE491" s="53">
        <v>18.25</v>
      </c>
      <c r="BF491" s="53">
        <v>18.18</v>
      </c>
      <c r="BG491" s="53">
        <v>14.25</v>
      </c>
      <c r="BH491" s="54"/>
      <c r="BI491" s="53">
        <v>18.1</v>
      </c>
      <c r="BJ491" s="54"/>
      <c r="BK491" s="54"/>
      <c r="BL491" s="53">
        <v>14.13</v>
      </c>
      <c r="BM491" s="54"/>
      <c r="BN491" s="54"/>
      <c r="BO491" s="54"/>
      <c r="BP491" s="53">
        <v>4.86</v>
      </c>
      <c r="BQ491" s="53">
        <v>5.23</v>
      </c>
      <c r="BR491" s="53">
        <v>9.88</v>
      </c>
      <c r="BS491" s="25">
        <v>4.02</v>
      </c>
      <c r="BT491" s="56">
        <v>25.0</v>
      </c>
      <c r="BU491" s="57">
        <v>1.2</v>
      </c>
      <c r="BV491" s="57">
        <v>5.32</v>
      </c>
      <c r="BW491" s="54"/>
      <c r="BX491" s="53">
        <v>2100.0</v>
      </c>
      <c r="BY491" s="53" t="s">
        <v>123</v>
      </c>
      <c r="BZ491" s="58">
        <v>2100.0</v>
      </c>
      <c r="CA491" s="72"/>
      <c r="CB491" s="30">
        <v>2400.0</v>
      </c>
      <c r="CC491" s="31"/>
      <c r="CD491" s="58">
        <v>2400.0</v>
      </c>
      <c r="CE491" s="59" t="e">
        <v>#REF!</v>
      </c>
      <c r="CF491" s="79">
        <f t="shared" ref="CF491:CF492" si="11">+300</f>
        <v>300</v>
      </c>
      <c r="CG491" s="80">
        <f>+2</f>
        <v>2</v>
      </c>
      <c r="CH491" s="62">
        <v>0.17</v>
      </c>
      <c r="CI491" s="63">
        <v>14.0</v>
      </c>
      <c r="CJ491" s="63">
        <v>3932.0</v>
      </c>
      <c r="CK491" s="64">
        <v>-91.0</v>
      </c>
      <c r="CL491" s="63">
        <v>3841.0</v>
      </c>
      <c r="CM491" s="65">
        <v>232.0</v>
      </c>
      <c r="CN491" s="63">
        <v>-59.0</v>
      </c>
      <c r="CO491" s="66">
        <v>20.8</v>
      </c>
      <c r="CP491" s="90">
        <f>+1.5</f>
        <v>1.5</v>
      </c>
      <c r="CQ491" s="63">
        <v>58.0</v>
      </c>
      <c r="CR491" s="63">
        <v>68.0</v>
      </c>
      <c r="CS491" s="63">
        <v>56.0</v>
      </c>
      <c r="CT491" s="68"/>
      <c r="CU491" s="69"/>
      <c r="CV491" s="70"/>
      <c r="CW491" s="71">
        <v>8.0</v>
      </c>
      <c r="CX491" s="71" t="s">
        <v>125</v>
      </c>
      <c r="CY491" s="71" t="s">
        <v>126</v>
      </c>
      <c r="CZ491" s="76" t="s">
        <v>151</v>
      </c>
      <c r="DA491" s="44">
        <v>2400.0</v>
      </c>
      <c r="DB491" s="44">
        <v>0.0</v>
      </c>
      <c r="DC491" s="46" t="s">
        <v>127</v>
      </c>
      <c r="DD491" s="47">
        <v>46240.0</v>
      </c>
      <c r="DE491" s="43"/>
      <c r="DF491" s="43"/>
      <c r="DG491" s="48" t="s">
        <v>128</v>
      </c>
      <c r="DH491" s="48" t="s">
        <v>128</v>
      </c>
      <c r="DI491" s="48" t="s">
        <v>128</v>
      </c>
      <c r="DJ491" s="49">
        <v>0.0</v>
      </c>
      <c r="DK491" s="48" t="b">
        <v>0</v>
      </c>
      <c r="DL491" s="50" t="s">
        <v>329</v>
      </c>
      <c r="DM491" s="50" t="s">
        <v>131</v>
      </c>
      <c r="DN491" s="50" t="s">
        <v>330</v>
      </c>
      <c r="DO491" s="49">
        <v>0.8</v>
      </c>
      <c r="DP491" s="48" t="s">
        <v>128</v>
      </c>
      <c r="DQ491" s="48" t="s">
        <v>128</v>
      </c>
      <c r="DR491" s="51"/>
      <c r="DS491" s="48" t="s">
        <v>134</v>
      </c>
    </row>
    <row r="492">
      <c r="A492" s="23" t="s">
        <v>118</v>
      </c>
      <c r="B492" s="24">
        <v>4.0</v>
      </c>
      <c r="C492" s="23" t="s">
        <v>1123</v>
      </c>
      <c r="D492" s="24">
        <v>643373.0</v>
      </c>
      <c r="E492" s="23" t="s">
        <v>120</v>
      </c>
      <c r="F492" s="23" t="s">
        <v>1218</v>
      </c>
      <c r="G492" s="23" t="s">
        <v>1219</v>
      </c>
      <c r="H492" s="24">
        <v>45072.0</v>
      </c>
      <c r="I492" s="24">
        <v>8.0</v>
      </c>
      <c r="J492" s="24">
        <v>0.0</v>
      </c>
      <c r="K492" s="24">
        <v>0.0</v>
      </c>
      <c r="L492" s="24">
        <v>0.0</v>
      </c>
      <c r="M492" s="24">
        <v>0.0</v>
      </c>
      <c r="N492" s="24">
        <v>0.0</v>
      </c>
      <c r="O492" s="24">
        <v>0.0</v>
      </c>
      <c r="P492" s="24">
        <v>0.0</v>
      </c>
      <c r="Q492" s="24">
        <v>0.0</v>
      </c>
      <c r="R492" s="24">
        <v>0.0</v>
      </c>
      <c r="S492" s="24">
        <v>0.0</v>
      </c>
      <c r="T492" s="24">
        <v>0.0</v>
      </c>
      <c r="U492" s="24">
        <v>1.0</v>
      </c>
      <c r="V492" s="24">
        <v>0.0</v>
      </c>
      <c r="W492" s="24">
        <v>0.0</v>
      </c>
      <c r="X492" s="24">
        <v>0.0</v>
      </c>
      <c r="Y492" s="24">
        <v>0.0</v>
      </c>
      <c r="Z492" s="24">
        <v>3.0</v>
      </c>
      <c r="AA492" s="24">
        <v>1.0</v>
      </c>
      <c r="AB492" s="24">
        <v>0.0</v>
      </c>
      <c r="AC492" s="24">
        <v>1.0</v>
      </c>
      <c r="AD492" s="24">
        <v>0.0</v>
      </c>
      <c r="AE492" s="24">
        <v>0.0</v>
      </c>
      <c r="AF492" s="24">
        <v>0.0</v>
      </c>
      <c r="AG492" s="24">
        <v>1.0</v>
      </c>
      <c r="AH492" s="24">
        <v>0.0</v>
      </c>
      <c r="AI492" s="24">
        <v>1.0</v>
      </c>
      <c r="AJ492" s="24">
        <v>0.0</v>
      </c>
      <c r="AK492" s="24">
        <v>0.0</v>
      </c>
      <c r="AL492" s="24">
        <v>0.0</v>
      </c>
      <c r="AM492" s="24">
        <v>0.0</v>
      </c>
      <c r="AN492" s="24">
        <v>0.0</v>
      </c>
      <c r="AO492" s="25">
        <v>19.7</v>
      </c>
      <c r="AP492" s="26"/>
      <c r="AQ492" s="26"/>
      <c r="AR492" s="26"/>
      <c r="AS492" s="26"/>
      <c r="AT492" s="26"/>
      <c r="AU492" s="26"/>
      <c r="AV492" s="26"/>
      <c r="AW492" s="26"/>
      <c r="AX492" s="26"/>
      <c r="AY492" s="26"/>
      <c r="AZ492" s="26"/>
      <c r="BA492" s="24">
        <v>17.6</v>
      </c>
      <c r="BB492" s="26"/>
      <c r="BC492" s="26"/>
      <c r="BD492" s="26"/>
      <c r="BE492" s="26"/>
      <c r="BF492" s="24">
        <v>19.36</v>
      </c>
      <c r="BG492" s="24">
        <v>28.38</v>
      </c>
      <c r="BH492" s="26"/>
      <c r="BI492" s="24">
        <v>18.67</v>
      </c>
      <c r="BJ492" s="26"/>
      <c r="BK492" s="26"/>
      <c r="BL492" s="26"/>
      <c r="BM492" s="24">
        <v>20.32</v>
      </c>
      <c r="BN492" s="26"/>
      <c r="BO492" s="24">
        <v>0.24</v>
      </c>
      <c r="BP492" s="24">
        <v>3.28</v>
      </c>
      <c r="BQ492" s="24">
        <v>6.07</v>
      </c>
      <c r="BR492" s="24">
        <v>9.17</v>
      </c>
      <c r="BS492" s="55">
        <v>3.68</v>
      </c>
      <c r="BT492" s="56">
        <v>20.3</v>
      </c>
      <c r="BU492" s="25">
        <v>5.6</v>
      </c>
      <c r="BV492" s="25">
        <v>7.48</v>
      </c>
      <c r="BW492" s="26"/>
      <c r="BX492" s="24">
        <v>2700.0</v>
      </c>
      <c r="BY492" s="24" t="s">
        <v>123</v>
      </c>
      <c r="BZ492" s="28">
        <v>2700.0</v>
      </c>
      <c r="CA492" s="72"/>
      <c r="CB492" s="30">
        <v>3000.0</v>
      </c>
      <c r="CC492" s="31"/>
      <c r="CD492" s="28">
        <v>3000.0</v>
      </c>
      <c r="CE492" s="32" t="e">
        <v>#REF!</v>
      </c>
      <c r="CF492" s="73">
        <f t="shared" si="11"/>
        <v>300</v>
      </c>
      <c r="CG492" s="74">
        <f>+1</f>
        <v>1</v>
      </c>
      <c r="CH492" s="35">
        <v>0.13</v>
      </c>
      <c r="CI492" s="36">
        <v>9.0</v>
      </c>
      <c r="CJ492" s="36">
        <v>3932.0</v>
      </c>
      <c r="CK492" s="37">
        <v>-91.0</v>
      </c>
      <c r="CL492" s="36">
        <v>3841.0</v>
      </c>
      <c r="CM492" s="38">
        <v>158.0</v>
      </c>
      <c r="CN492" s="36">
        <v>-28.0</v>
      </c>
      <c r="CO492" s="39">
        <v>20.6</v>
      </c>
      <c r="CP492" s="40">
        <v>0.9</v>
      </c>
      <c r="CQ492" s="36">
        <v>26.0</v>
      </c>
      <c r="CR492" s="36">
        <v>30.0</v>
      </c>
      <c r="CS492" s="36">
        <v>33.0</v>
      </c>
      <c r="CT492" s="41"/>
      <c r="CU492" s="42"/>
      <c r="CV492" s="43"/>
      <c r="CW492" s="44">
        <v>10.0</v>
      </c>
      <c r="CX492" s="44" t="s">
        <v>138</v>
      </c>
      <c r="CY492" s="44" t="s">
        <v>139</v>
      </c>
      <c r="CZ492" s="76" t="s">
        <v>151</v>
      </c>
      <c r="DA492" s="44">
        <v>3000.0</v>
      </c>
      <c r="DB492" s="44">
        <v>0.0</v>
      </c>
      <c r="DC492" s="43"/>
      <c r="DD492" s="78"/>
      <c r="DE492" s="43"/>
      <c r="DF492" s="43"/>
      <c r="DG492" s="48" t="s">
        <v>128</v>
      </c>
      <c r="DH492" s="48" t="s">
        <v>128</v>
      </c>
      <c r="DI492" s="48" t="s">
        <v>128</v>
      </c>
      <c r="DJ492" s="49">
        <v>0.0</v>
      </c>
      <c r="DK492" s="48" t="b">
        <v>0</v>
      </c>
      <c r="DL492" s="50" t="s">
        <v>329</v>
      </c>
      <c r="DM492" s="50" t="s">
        <v>131</v>
      </c>
      <c r="DN492" s="50" t="s">
        <v>330</v>
      </c>
      <c r="DO492" s="49">
        <v>0.8</v>
      </c>
      <c r="DP492" s="48" t="s">
        <v>128</v>
      </c>
      <c r="DQ492" s="48" t="s">
        <v>128</v>
      </c>
      <c r="DR492" s="51"/>
      <c r="DS492" s="48" t="s">
        <v>134</v>
      </c>
    </row>
    <row r="493">
      <c r="A493" s="52" t="s">
        <v>118</v>
      </c>
      <c r="B493" s="53">
        <v>4.0</v>
      </c>
      <c r="C493" s="52" t="s">
        <v>1123</v>
      </c>
      <c r="D493" s="53">
        <v>627274.0</v>
      </c>
      <c r="E493" s="52" t="s">
        <v>173</v>
      </c>
      <c r="F493" s="52" t="s">
        <v>1220</v>
      </c>
      <c r="G493" s="52" t="s">
        <v>1221</v>
      </c>
      <c r="H493" s="53">
        <v>45072.0</v>
      </c>
      <c r="I493" s="53">
        <v>42.0</v>
      </c>
      <c r="J493" s="53">
        <v>0.0</v>
      </c>
      <c r="K493" s="53">
        <v>0.0</v>
      </c>
      <c r="L493" s="53">
        <v>0.0</v>
      </c>
      <c r="M493" s="53">
        <v>2.0</v>
      </c>
      <c r="N493" s="53">
        <v>0.0</v>
      </c>
      <c r="O493" s="53">
        <v>1.0</v>
      </c>
      <c r="P493" s="53">
        <v>1.0</v>
      </c>
      <c r="Q493" s="53">
        <v>0.0</v>
      </c>
      <c r="R493" s="53">
        <v>6.0</v>
      </c>
      <c r="S493" s="53">
        <v>0.0</v>
      </c>
      <c r="T493" s="53">
        <v>0.0</v>
      </c>
      <c r="U493" s="53">
        <v>0.0</v>
      </c>
      <c r="V493" s="53">
        <v>0.0</v>
      </c>
      <c r="W493" s="53">
        <v>0.0</v>
      </c>
      <c r="X493" s="53">
        <v>0.0</v>
      </c>
      <c r="Y493" s="53">
        <v>1.0</v>
      </c>
      <c r="Z493" s="53">
        <v>1.0</v>
      </c>
      <c r="AA493" s="53">
        <v>0.0</v>
      </c>
      <c r="AB493" s="53">
        <v>2.0</v>
      </c>
      <c r="AC493" s="53">
        <v>5.0</v>
      </c>
      <c r="AD493" s="53">
        <v>1.0</v>
      </c>
      <c r="AE493" s="53">
        <v>0.0</v>
      </c>
      <c r="AF493" s="53">
        <v>1.0</v>
      </c>
      <c r="AG493" s="53">
        <v>2.0</v>
      </c>
      <c r="AH493" s="53">
        <v>2.0</v>
      </c>
      <c r="AI493" s="53">
        <v>3.0</v>
      </c>
      <c r="AJ493" s="53">
        <v>4.0</v>
      </c>
      <c r="AK493" s="53">
        <v>3.0</v>
      </c>
      <c r="AL493" s="53">
        <v>2.0</v>
      </c>
      <c r="AM493" s="53">
        <v>0.0</v>
      </c>
      <c r="AN493" s="53">
        <v>5.0</v>
      </c>
      <c r="AO493" s="25">
        <v>17.5</v>
      </c>
      <c r="AP493" s="54"/>
      <c r="AQ493" s="54"/>
      <c r="AR493" s="54"/>
      <c r="AS493" s="53">
        <v>16.05</v>
      </c>
      <c r="AT493" s="54"/>
      <c r="AU493" s="53">
        <v>12.45</v>
      </c>
      <c r="AV493" s="53">
        <v>17.23</v>
      </c>
      <c r="AW493" s="54"/>
      <c r="AX493" s="53">
        <v>15.78</v>
      </c>
      <c r="AY493" s="54"/>
      <c r="AZ493" s="54"/>
      <c r="BA493" s="54"/>
      <c r="BB493" s="54"/>
      <c r="BC493" s="54"/>
      <c r="BD493" s="54"/>
      <c r="BE493" s="53">
        <v>20.52</v>
      </c>
      <c r="BF493" s="53">
        <v>18.9</v>
      </c>
      <c r="BG493" s="54"/>
      <c r="BH493" s="53">
        <v>15.49</v>
      </c>
      <c r="BI493" s="53">
        <v>22.32</v>
      </c>
      <c r="BJ493" s="53">
        <v>18.83</v>
      </c>
      <c r="BK493" s="54"/>
      <c r="BL493" s="53">
        <v>12.47</v>
      </c>
      <c r="BM493" s="53">
        <v>23.72</v>
      </c>
      <c r="BN493" s="53">
        <v>17.1</v>
      </c>
      <c r="BO493" s="53">
        <v>0.28</v>
      </c>
      <c r="BP493" s="53">
        <v>4.58</v>
      </c>
      <c r="BQ493" s="53">
        <v>4.18</v>
      </c>
      <c r="BR493" s="53">
        <v>8.57</v>
      </c>
      <c r="BS493" s="55">
        <v>3.33</v>
      </c>
      <c r="BT493" s="91">
        <v>16.4</v>
      </c>
      <c r="BU493" s="55">
        <v>3.7</v>
      </c>
      <c r="BV493" s="57">
        <v>3.89</v>
      </c>
      <c r="BW493" s="54"/>
      <c r="BX493" s="53">
        <v>3000.0</v>
      </c>
      <c r="BY493" s="53" t="s">
        <v>123</v>
      </c>
      <c r="BZ493" s="58">
        <v>3000.0</v>
      </c>
      <c r="CA493" s="72"/>
      <c r="CB493" s="30">
        <v>3000.0</v>
      </c>
      <c r="CC493" s="31"/>
      <c r="CD493" s="58">
        <v>3000.0</v>
      </c>
      <c r="CE493" s="59" t="e">
        <v>#REF!</v>
      </c>
      <c r="CF493" s="60"/>
      <c r="CG493" s="61">
        <v>0.0</v>
      </c>
      <c r="CH493" s="62">
        <v>0.0</v>
      </c>
      <c r="CI493" s="63">
        <v>42.0</v>
      </c>
      <c r="CJ493" s="63">
        <v>3932.0</v>
      </c>
      <c r="CK493" s="64">
        <v>-91.0</v>
      </c>
      <c r="CL493" s="63">
        <v>3841.0</v>
      </c>
      <c r="CM493" s="65">
        <v>735.0</v>
      </c>
      <c r="CN493" s="63">
        <v>0.0</v>
      </c>
      <c r="CO493" s="66">
        <v>17.5</v>
      </c>
      <c r="CP493" s="67">
        <v>0.0</v>
      </c>
      <c r="CQ493" s="63">
        <v>192.0</v>
      </c>
      <c r="CR493" s="63">
        <v>192.0</v>
      </c>
      <c r="CS493" s="63">
        <v>140.0</v>
      </c>
      <c r="CT493" s="68"/>
      <c r="CU493" s="69"/>
      <c r="CV493" s="70"/>
      <c r="CW493" s="71">
        <v>10.0</v>
      </c>
      <c r="CX493" s="71" t="s">
        <v>138</v>
      </c>
      <c r="CY493" s="71" t="s">
        <v>139</v>
      </c>
      <c r="CZ493" s="45"/>
      <c r="DA493" s="44">
        <v>3000.0</v>
      </c>
      <c r="DB493" s="44">
        <v>0.0</v>
      </c>
      <c r="DC493" s="46" t="s">
        <v>127</v>
      </c>
      <c r="DD493" s="47">
        <v>46197.0</v>
      </c>
      <c r="DE493" s="43"/>
      <c r="DF493" s="43"/>
      <c r="DG493" s="48" t="s">
        <v>128</v>
      </c>
      <c r="DH493" s="48" t="s">
        <v>128</v>
      </c>
      <c r="DI493" s="48" t="s">
        <v>128</v>
      </c>
      <c r="DJ493" s="49">
        <v>1.0</v>
      </c>
      <c r="DK493" s="48" t="b">
        <v>0</v>
      </c>
      <c r="DL493" s="50" t="s">
        <v>329</v>
      </c>
      <c r="DM493" s="50" t="s">
        <v>131</v>
      </c>
      <c r="DN493" s="50" t="s">
        <v>330</v>
      </c>
      <c r="DO493" s="49">
        <v>0.8</v>
      </c>
      <c r="DP493" s="48" t="s">
        <v>128</v>
      </c>
      <c r="DQ493" s="48" t="s">
        <v>128</v>
      </c>
      <c r="DR493" s="51"/>
      <c r="DS493" s="48" t="s">
        <v>134</v>
      </c>
    </row>
    <row r="494">
      <c r="A494" s="23" t="s">
        <v>118</v>
      </c>
      <c r="B494" s="24">
        <v>4.0</v>
      </c>
      <c r="C494" s="23" t="s">
        <v>1123</v>
      </c>
      <c r="D494" s="24">
        <v>604008.0</v>
      </c>
      <c r="E494" s="23" t="s">
        <v>176</v>
      </c>
      <c r="F494" s="23" t="s">
        <v>1222</v>
      </c>
      <c r="G494" s="23" t="s">
        <v>1223</v>
      </c>
      <c r="H494" s="24">
        <v>45072.0</v>
      </c>
      <c r="I494" s="24">
        <v>15.0</v>
      </c>
      <c r="J494" s="24">
        <v>0.0</v>
      </c>
      <c r="K494" s="24">
        <v>0.0</v>
      </c>
      <c r="L494" s="24">
        <v>0.0</v>
      </c>
      <c r="M494" s="24">
        <v>0.0</v>
      </c>
      <c r="N494" s="24">
        <v>0.0</v>
      </c>
      <c r="O494" s="24">
        <v>0.0</v>
      </c>
      <c r="P494" s="24">
        <v>0.0</v>
      </c>
      <c r="Q494" s="24">
        <v>0.0</v>
      </c>
      <c r="R494" s="24">
        <v>0.0</v>
      </c>
      <c r="S494" s="24">
        <v>0.0</v>
      </c>
      <c r="T494" s="24">
        <v>0.0</v>
      </c>
      <c r="U494" s="24">
        <v>1.0</v>
      </c>
      <c r="V494" s="24">
        <v>1.0</v>
      </c>
      <c r="W494" s="24">
        <v>0.0</v>
      </c>
      <c r="X494" s="24">
        <v>0.0</v>
      </c>
      <c r="Y494" s="24">
        <v>1.0</v>
      </c>
      <c r="Z494" s="24">
        <v>0.0</v>
      </c>
      <c r="AA494" s="24">
        <v>0.0</v>
      </c>
      <c r="AB494" s="24">
        <v>3.0</v>
      </c>
      <c r="AC494" s="24">
        <v>1.0</v>
      </c>
      <c r="AD494" s="24">
        <v>0.0</v>
      </c>
      <c r="AE494" s="24">
        <v>0.0</v>
      </c>
      <c r="AF494" s="24">
        <v>0.0</v>
      </c>
      <c r="AG494" s="24">
        <v>0.0</v>
      </c>
      <c r="AH494" s="24">
        <v>1.0</v>
      </c>
      <c r="AI494" s="24">
        <v>2.0</v>
      </c>
      <c r="AJ494" s="24">
        <v>1.0</v>
      </c>
      <c r="AK494" s="24">
        <v>2.0</v>
      </c>
      <c r="AL494" s="24">
        <v>0.0</v>
      </c>
      <c r="AM494" s="24">
        <v>1.0</v>
      </c>
      <c r="AN494" s="24">
        <v>1.0</v>
      </c>
      <c r="AO494" s="25">
        <v>19.7</v>
      </c>
      <c r="AP494" s="26"/>
      <c r="AQ494" s="26"/>
      <c r="AR494" s="26"/>
      <c r="AS494" s="26"/>
      <c r="AT494" s="26"/>
      <c r="AU494" s="26"/>
      <c r="AV494" s="26"/>
      <c r="AW494" s="26"/>
      <c r="AX494" s="26"/>
      <c r="AY494" s="26"/>
      <c r="AZ494" s="26"/>
      <c r="BA494" s="24">
        <v>23.35</v>
      </c>
      <c r="BB494" s="24">
        <v>19.48</v>
      </c>
      <c r="BC494" s="26"/>
      <c r="BD494" s="26"/>
      <c r="BE494" s="24">
        <v>8.0</v>
      </c>
      <c r="BF494" s="26"/>
      <c r="BG494" s="26"/>
      <c r="BH494" s="24">
        <v>16.32</v>
      </c>
      <c r="BI494" s="24">
        <v>19.65</v>
      </c>
      <c r="BJ494" s="26"/>
      <c r="BK494" s="26"/>
      <c r="BL494" s="26"/>
      <c r="BM494" s="26"/>
      <c r="BN494" s="24">
        <v>52.35</v>
      </c>
      <c r="BO494" s="24">
        <v>0.29</v>
      </c>
      <c r="BP494" s="24">
        <v>3.66</v>
      </c>
      <c r="BQ494" s="24">
        <v>6.5</v>
      </c>
      <c r="BR494" s="24">
        <v>9.96</v>
      </c>
      <c r="BS494" s="55">
        <v>3.29</v>
      </c>
      <c r="BT494" s="91">
        <v>16.9</v>
      </c>
      <c r="BU494" s="25">
        <v>6.0</v>
      </c>
      <c r="BV494" s="57">
        <v>4.31</v>
      </c>
      <c r="BW494" s="26"/>
      <c r="BX494" s="24">
        <v>3000.0</v>
      </c>
      <c r="BY494" s="24" t="s">
        <v>123</v>
      </c>
      <c r="BZ494" s="28">
        <v>3000.0</v>
      </c>
      <c r="CA494" s="72"/>
      <c r="CB494" s="30">
        <v>3000.0</v>
      </c>
      <c r="CC494" s="31"/>
      <c r="CD494" s="28">
        <v>3000.0</v>
      </c>
      <c r="CE494" s="32" t="e">
        <v>#REF!</v>
      </c>
      <c r="CF494" s="33"/>
      <c r="CG494" s="34">
        <v>0.0</v>
      </c>
      <c r="CH494" s="35">
        <v>0.0</v>
      </c>
      <c r="CI494" s="36">
        <v>15.0</v>
      </c>
      <c r="CJ494" s="36">
        <v>3932.0</v>
      </c>
      <c r="CK494" s="37">
        <v>-91.0</v>
      </c>
      <c r="CL494" s="36">
        <v>3841.0</v>
      </c>
      <c r="CM494" s="38">
        <v>296.0</v>
      </c>
      <c r="CN494" s="36">
        <v>0.0</v>
      </c>
      <c r="CO494" s="39">
        <v>19.7</v>
      </c>
      <c r="CP494" s="40">
        <v>0.0</v>
      </c>
      <c r="CQ494" s="36">
        <v>55.0</v>
      </c>
      <c r="CR494" s="36">
        <v>55.0</v>
      </c>
      <c r="CS494" s="36">
        <v>49.0</v>
      </c>
      <c r="CT494" s="41"/>
      <c r="CU494" s="42"/>
      <c r="CV494" s="43"/>
      <c r="CW494" s="44">
        <v>10.0</v>
      </c>
      <c r="CX494" s="44" t="s">
        <v>138</v>
      </c>
      <c r="CY494" s="44" t="s">
        <v>139</v>
      </c>
      <c r="CZ494" s="45"/>
      <c r="DA494" s="44">
        <v>3000.0</v>
      </c>
      <c r="DB494" s="44">
        <v>0.0</v>
      </c>
      <c r="DC494" s="46" t="s">
        <v>127</v>
      </c>
      <c r="DD494" s="47">
        <v>46197.0</v>
      </c>
      <c r="DE494" s="43"/>
      <c r="DF494" s="43"/>
      <c r="DG494" s="48" t="s">
        <v>128</v>
      </c>
      <c r="DH494" s="48" t="s">
        <v>128</v>
      </c>
      <c r="DI494" s="48" t="s">
        <v>128</v>
      </c>
      <c r="DJ494" s="49">
        <v>1.0</v>
      </c>
      <c r="DK494" s="48" t="b">
        <v>0</v>
      </c>
      <c r="DL494" s="50" t="s">
        <v>329</v>
      </c>
      <c r="DM494" s="50" t="s">
        <v>131</v>
      </c>
      <c r="DN494" s="50" t="s">
        <v>330</v>
      </c>
      <c r="DO494" s="49">
        <v>0.8</v>
      </c>
      <c r="DP494" s="48" t="s">
        <v>128</v>
      </c>
      <c r="DQ494" s="48" t="s">
        <v>128</v>
      </c>
      <c r="DR494" s="51"/>
      <c r="DS494" s="48" t="s">
        <v>134</v>
      </c>
    </row>
    <row r="495">
      <c r="A495" s="52" t="s">
        <v>118</v>
      </c>
      <c r="B495" s="53">
        <v>4.0</v>
      </c>
      <c r="C495" s="52" t="s">
        <v>1123</v>
      </c>
      <c r="D495" s="53">
        <v>680909.0</v>
      </c>
      <c r="E495" s="52" t="s">
        <v>288</v>
      </c>
      <c r="F495" s="52" t="s">
        <v>1224</v>
      </c>
      <c r="G495" s="52" t="s">
        <v>1225</v>
      </c>
      <c r="H495" s="53">
        <v>45072.0</v>
      </c>
      <c r="I495" s="53">
        <v>1.0</v>
      </c>
      <c r="J495" s="53">
        <v>0.0</v>
      </c>
      <c r="K495" s="53">
        <v>0.0</v>
      </c>
      <c r="L495" s="53">
        <v>0.0</v>
      </c>
      <c r="M495" s="53">
        <v>0.0</v>
      </c>
      <c r="N495" s="53">
        <v>0.0</v>
      </c>
      <c r="O495" s="53">
        <v>0.0</v>
      </c>
      <c r="P495" s="53">
        <v>0.0</v>
      </c>
      <c r="Q495" s="53">
        <v>0.0</v>
      </c>
      <c r="R495" s="53">
        <v>0.0</v>
      </c>
      <c r="S495" s="53">
        <v>0.0</v>
      </c>
      <c r="T495" s="53">
        <v>0.0</v>
      </c>
      <c r="U495" s="53">
        <v>0.0</v>
      </c>
      <c r="V495" s="53">
        <v>0.0</v>
      </c>
      <c r="W495" s="53">
        <v>0.0</v>
      </c>
      <c r="X495" s="53">
        <v>0.0</v>
      </c>
      <c r="Y495" s="53">
        <v>0.0</v>
      </c>
      <c r="Z495" s="53">
        <v>0.0</v>
      </c>
      <c r="AA495" s="53">
        <v>0.0</v>
      </c>
      <c r="AB495" s="53">
        <v>0.0</v>
      </c>
      <c r="AC495" s="53">
        <v>0.0</v>
      </c>
      <c r="AD495" s="53">
        <v>0.0</v>
      </c>
      <c r="AE495" s="53">
        <v>0.0</v>
      </c>
      <c r="AF495" s="53">
        <v>0.0</v>
      </c>
      <c r="AG495" s="53">
        <v>1.0</v>
      </c>
      <c r="AH495" s="53">
        <v>0.0</v>
      </c>
      <c r="AI495" s="53">
        <v>0.0</v>
      </c>
      <c r="AJ495" s="53">
        <v>0.0</v>
      </c>
      <c r="AK495" s="53">
        <v>0.0</v>
      </c>
      <c r="AL495" s="53">
        <v>0.0</v>
      </c>
      <c r="AM495" s="53">
        <v>0.0</v>
      </c>
      <c r="AN495" s="53">
        <v>0.0</v>
      </c>
      <c r="AO495" s="25">
        <v>18.4</v>
      </c>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3">
        <v>18.4</v>
      </c>
      <c r="BN495" s="54"/>
      <c r="BO495" s="54"/>
      <c r="BP495" s="53">
        <v>7.35</v>
      </c>
      <c r="BQ495" s="53">
        <v>3.27</v>
      </c>
      <c r="BR495" s="53">
        <v>10.42</v>
      </c>
      <c r="BS495" s="57">
        <v>2.95</v>
      </c>
      <c r="BT495" s="81"/>
      <c r="BU495" s="54"/>
      <c r="BV495" s="54"/>
      <c r="BW495" s="54"/>
      <c r="BX495" s="53">
        <v>2700.0</v>
      </c>
      <c r="BY495" s="53" t="s">
        <v>123</v>
      </c>
      <c r="BZ495" s="58">
        <v>2700.0</v>
      </c>
      <c r="CA495" s="72"/>
      <c r="CB495" s="30">
        <v>2700.0</v>
      </c>
      <c r="CC495" s="31"/>
      <c r="CD495" s="58">
        <v>2700.0</v>
      </c>
      <c r="CE495" s="59" t="e">
        <v>#REF!</v>
      </c>
      <c r="CF495" s="60"/>
      <c r="CG495" s="61">
        <v>0.0</v>
      </c>
      <c r="CH495" s="62">
        <v>0.0</v>
      </c>
      <c r="CI495" s="63">
        <v>1.0</v>
      </c>
      <c r="CJ495" s="63">
        <v>3932.0</v>
      </c>
      <c r="CK495" s="64">
        <v>-91.0</v>
      </c>
      <c r="CL495" s="63">
        <v>3841.0</v>
      </c>
      <c r="CM495" s="65">
        <v>18.0</v>
      </c>
      <c r="CN495" s="63">
        <v>0.0</v>
      </c>
      <c r="CO495" s="66">
        <v>18.4</v>
      </c>
      <c r="CP495" s="67">
        <v>0.0</v>
      </c>
      <c r="CQ495" s="63">
        <v>7.0</v>
      </c>
      <c r="CR495" s="63">
        <v>7.0</v>
      </c>
      <c r="CS495" s="63">
        <v>3.0</v>
      </c>
      <c r="CT495" s="68"/>
      <c r="CU495" s="69"/>
      <c r="CV495" s="70"/>
      <c r="CW495" s="71">
        <v>9.0</v>
      </c>
      <c r="CX495" s="71" t="s">
        <v>143</v>
      </c>
      <c r="CY495" s="71" t="s">
        <v>144</v>
      </c>
      <c r="CZ495" s="45"/>
      <c r="DA495" s="44">
        <v>2700.0</v>
      </c>
      <c r="DB495" s="44">
        <v>0.0</v>
      </c>
      <c r="DC495" s="43"/>
      <c r="DD495" s="78"/>
      <c r="DE495" s="43"/>
      <c r="DF495" s="43"/>
      <c r="DG495" s="48" t="s">
        <v>128</v>
      </c>
      <c r="DH495" s="48" t="s">
        <v>128</v>
      </c>
      <c r="DI495" s="48" t="s">
        <v>129</v>
      </c>
      <c r="DJ495" s="49">
        <v>1.0</v>
      </c>
      <c r="DK495" s="48" t="b">
        <v>0</v>
      </c>
      <c r="DL495" s="50" t="s">
        <v>329</v>
      </c>
      <c r="DM495" s="50" t="s">
        <v>131</v>
      </c>
      <c r="DN495" s="50" t="s">
        <v>330</v>
      </c>
      <c r="DO495" s="49">
        <v>0.8</v>
      </c>
      <c r="DP495" s="48" t="s">
        <v>128</v>
      </c>
      <c r="DQ495" s="48" t="s">
        <v>133</v>
      </c>
      <c r="DR495" s="48" t="s">
        <v>526</v>
      </c>
      <c r="DS495" s="48" t="s">
        <v>134</v>
      </c>
    </row>
    <row r="496">
      <c r="A496" s="23" t="s">
        <v>118</v>
      </c>
      <c r="B496" s="24">
        <v>4.0</v>
      </c>
      <c r="C496" s="23" t="s">
        <v>1123</v>
      </c>
      <c r="D496" s="24">
        <v>648806.0</v>
      </c>
      <c r="E496" s="23" t="s">
        <v>179</v>
      </c>
      <c r="F496" s="23" t="s">
        <v>1226</v>
      </c>
      <c r="G496" s="23" t="s">
        <v>1227</v>
      </c>
      <c r="H496" s="24">
        <v>45072.0</v>
      </c>
      <c r="I496" s="24">
        <v>13.0</v>
      </c>
      <c r="J496" s="24">
        <v>0.0</v>
      </c>
      <c r="K496" s="24">
        <v>0.0</v>
      </c>
      <c r="L496" s="24">
        <v>0.0</v>
      </c>
      <c r="M496" s="24">
        <v>1.0</v>
      </c>
      <c r="N496" s="24">
        <v>1.0</v>
      </c>
      <c r="O496" s="24">
        <v>0.0</v>
      </c>
      <c r="P496" s="24">
        <v>0.0</v>
      </c>
      <c r="Q496" s="24">
        <v>0.0</v>
      </c>
      <c r="R496" s="24">
        <v>1.0</v>
      </c>
      <c r="S496" s="24">
        <v>0.0</v>
      </c>
      <c r="T496" s="24">
        <v>0.0</v>
      </c>
      <c r="U496" s="24">
        <v>0.0</v>
      </c>
      <c r="V496" s="24">
        <v>0.0</v>
      </c>
      <c r="W496" s="24">
        <v>0.0</v>
      </c>
      <c r="X496" s="24">
        <v>0.0</v>
      </c>
      <c r="Y496" s="24">
        <v>0.0</v>
      </c>
      <c r="Z496" s="24">
        <v>0.0</v>
      </c>
      <c r="AA496" s="24">
        <v>0.0</v>
      </c>
      <c r="AB496" s="24">
        <v>1.0</v>
      </c>
      <c r="AC496" s="24">
        <v>1.0</v>
      </c>
      <c r="AD496" s="24">
        <v>0.0</v>
      </c>
      <c r="AE496" s="24">
        <v>0.0</v>
      </c>
      <c r="AF496" s="24">
        <v>0.0</v>
      </c>
      <c r="AG496" s="24">
        <v>1.0</v>
      </c>
      <c r="AH496" s="24">
        <v>1.0</v>
      </c>
      <c r="AI496" s="24">
        <v>0.0</v>
      </c>
      <c r="AJ496" s="24">
        <v>1.0</v>
      </c>
      <c r="AK496" s="24">
        <v>1.0</v>
      </c>
      <c r="AL496" s="24">
        <v>2.0</v>
      </c>
      <c r="AM496" s="24">
        <v>1.0</v>
      </c>
      <c r="AN496" s="24">
        <v>1.0</v>
      </c>
      <c r="AO496" s="25">
        <v>22.3</v>
      </c>
      <c r="AP496" s="26"/>
      <c r="AQ496" s="26"/>
      <c r="AR496" s="26"/>
      <c r="AS496" s="24">
        <v>14.82</v>
      </c>
      <c r="AT496" s="24">
        <v>22.82</v>
      </c>
      <c r="AU496" s="26"/>
      <c r="AV496" s="26"/>
      <c r="AW496" s="26"/>
      <c r="AX496" s="24">
        <v>7.33</v>
      </c>
      <c r="AY496" s="26"/>
      <c r="AZ496" s="26"/>
      <c r="BA496" s="26"/>
      <c r="BB496" s="26"/>
      <c r="BC496" s="26"/>
      <c r="BD496" s="26"/>
      <c r="BE496" s="26"/>
      <c r="BF496" s="26"/>
      <c r="BG496" s="26"/>
      <c r="BH496" s="24">
        <v>15.88</v>
      </c>
      <c r="BI496" s="24">
        <v>15.7</v>
      </c>
      <c r="BJ496" s="26"/>
      <c r="BK496" s="26"/>
      <c r="BL496" s="26"/>
      <c r="BM496" s="24">
        <v>19.77</v>
      </c>
      <c r="BN496" s="24">
        <v>35.25</v>
      </c>
      <c r="BO496" s="24">
        <v>0.44</v>
      </c>
      <c r="BP496" s="24">
        <v>7.64</v>
      </c>
      <c r="BQ496" s="24">
        <v>6.2</v>
      </c>
      <c r="BR496" s="24">
        <v>13.63</v>
      </c>
      <c r="BS496" s="57">
        <v>2.85</v>
      </c>
      <c r="BT496" s="91">
        <v>15.0</v>
      </c>
      <c r="BU496" s="25">
        <v>4.4</v>
      </c>
      <c r="BV496" s="57">
        <v>5.04</v>
      </c>
      <c r="BW496" s="26"/>
      <c r="BX496" s="24">
        <v>3000.0</v>
      </c>
      <c r="BY496" s="24" t="s">
        <v>123</v>
      </c>
      <c r="BZ496" s="28">
        <v>2700.0</v>
      </c>
      <c r="CA496" s="29" t="s">
        <v>124</v>
      </c>
      <c r="CB496" s="30">
        <v>3000.0</v>
      </c>
      <c r="CC496" s="31"/>
      <c r="CD496" s="28">
        <v>3000.0</v>
      </c>
      <c r="CE496" s="32" t="e">
        <v>#REF!</v>
      </c>
      <c r="CF496" s="33"/>
      <c r="CG496" s="34">
        <v>0.0</v>
      </c>
      <c r="CH496" s="35">
        <v>0.0</v>
      </c>
      <c r="CI496" s="36">
        <v>13.0</v>
      </c>
      <c r="CJ496" s="36">
        <v>3932.0</v>
      </c>
      <c r="CK496" s="37">
        <v>-91.0</v>
      </c>
      <c r="CL496" s="36">
        <v>3841.0</v>
      </c>
      <c r="CM496" s="38">
        <v>290.0</v>
      </c>
      <c r="CN496" s="36">
        <v>0.0</v>
      </c>
      <c r="CO496" s="39">
        <v>22.3</v>
      </c>
      <c r="CP496" s="40">
        <v>0.0</v>
      </c>
      <c r="CQ496" s="36">
        <v>99.0</v>
      </c>
      <c r="CR496" s="36">
        <v>99.0</v>
      </c>
      <c r="CS496" s="36">
        <v>37.0</v>
      </c>
      <c r="CT496" s="41"/>
      <c r="CU496" s="42"/>
      <c r="CV496" s="43"/>
      <c r="CW496" s="44">
        <v>10.0</v>
      </c>
      <c r="CX496" s="44" t="s">
        <v>138</v>
      </c>
      <c r="CY496" s="44" t="s">
        <v>139</v>
      </c>
      <c r="CZ496" s="45"/>
      <c r="DA496" s="44">
        <v>3000.0</v>
      </c>
      <c r="DB496" s="44">
        <v>0.0</v>
      </c>
      <c r="DC496" s="46" t="s">
        <v>127</v>
      </c>
      <c r="DD496" s="47">
        <v>46218.0</v>
      </c>
      <c r="DE496" s="43"/>
      <c r="DF496" s="43"/>
      <c r="DG496" s="48" t="s">
        <v>128</v>
      </c>
      <c r="DH496" s="48" t="s">
        <v>128</v>
      </c>
      <c r="DI496" s="48" t="s">
        <v>128</v>
      </c>
      <c r="DJ496" s="49">
        <v>1.0</v>
      </c>
      <c r="DK496" s="48" t="b">
        <v>1</v>
      </c>
      <c r="DL496" s="50" t="s">
        <v>329</v>
      </c>
      <c r="DM496" s="50" t="s">
        <v>131</v>
      </c>
      <c r="DN496" s="50" t="s">
        <v>330</v>
      </c>
      <c r="DO496" s="49">
        <v>0.8</v>
      </c>
      <c r="DP496" s="48" t="s">
        <v>128</v>
      </c>
      <c r="DQ496" s="48" t="s">
        <v>128</v>
      </c>
      <c r="DR496" s="51"/>
      <c r="DS496" s="48" t="s">
        <v>134</v>
      </c>
    </row>
    <row r="497">
      <c r="A497" s="52" t="s">
        <v>118</v>
      </c>
      <c r="B497" s="53">
        <v>4.0</v>
      </c>
      <c r="C497" s="52" t="s">
        <v>1123</v>
      </c>
      <c r="D497" s="53">
        <v>588071.0</v>
      </c>
      <c r="E497" s="52" t="s">
        <v>152</v>
      </c>
      <c r="F497" s="52" t="s">
        <v>1228</v>
      </c>
      <c r="G497" s="52" t="s">
        <v>1229</v>
      </c>
      <c r="H497" s="53">
        <v>45072.0</v>
      </c>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81"/>
      <c r="BU497" s="54"/>
      <c r="BV497" s="54"/>
      <c r="BW497" s="54"/>
      <c r="BX497" s="53">
        <v>2400.0</v>
      </c>
      <c r="BY497" s="53" t="s">
        <v>123</v>
      </c>
      <c r="BZ497" s="58">
        <v>2400.0</v>
      </c>
      <c r="CA497" s="72"/>
      <c r="CB497" s="82"/>
      <c r="CC497" s="31"/>
      <c r="CD497" s="58">
        <v>2400.0</v>
      </c>
      <c r="CE497" s="83" t="s">
        <v>185</v>
      </c>
      <c r="CF497" s="60"/>
      <c r="CG497" s="61">
        <v>0.0</v>
      </c>
      <c r="CH497" s="84"/>
      <c r="CI497" s="63">
        <v>0.0</v>
      </c>
      <c r="CJ497" s="63">
        <v>3932.0</v>
      </c>
      <c r="CK497" s="64">
        <v>-91.0</v>
      </c>
      <c r="CL497" s="63">
        <v>3841.0</v>
      </c>
      <c r="CM497" s="65">
        <v>0.0</v>
      </c>
      <c r="CN497" s="63">
        <v>0.0</v>
      </c>
      <c r="CO497" s="66">
        <v>0.0</v>
      </c>
      <c r="CP497" s="67">
        <v>0.0</v>
      </c>
      <c r="CQ497" s="63">
        <v>0.0</v>
      </c>
      <c r="CR497" s="63">
        <v>0.0</v>
      </c>
      <c r="CS497" s="63">
        <v>0.0</v>
      </c>
      <c r="CT497" s="68"/>
      <c r="CU497" s="69"/>
      <c r="CV497" s="70"/>
      <c r="CW497" s="71">
        <v>8.0</v>
      </c>
      <c r="CX497" s="71" t="s">
        <v>125</v>
      </c>
      <c r="CY497" s="71" t="s">
        <v>126</v>
      </c>
      <c r="CZ497" s="45"/>
      <c r="DA497" s="43"/>
      <c r="DB497" s="44">
        <v>0.0</v>
      </c>
      <c r="DC497" s="43"/>
      <c r="DD497" s="78"/>
      <c r="DE497" s="43"/>
      <c r="DF497" s="43"/>
      <c r="DG497" s="48" t="s">
        <v>128</v>
      </c>
      <c r="DH497" s="48" t="s">
        <v>128</v>
      </c>
      <c r="DI497" s="48" t="s">
        <v>359</v>
      </c>
      <c r="DJ497" s="49">
        <v>1.0</v>
      </c>
      <c r="DK497" s="48" t="b">
        <v>0</v>
      </c>
      <c r="DL497" s="50" t="s">
        <v>329</v>
      </c>
      <c r="DM497" s="50" t="s">
        <v>131</v>
      </c>
      <c r="DN497" s="50" t="s">
        <v>330</v>
      </c>
      <c r="DO497" s="49">
        <v>0.8</v>
      </c>
      <c r="DP497" s="48" t="s">
        <v>359</v>
      </c>
      <c r="DQ497" s="48" t="s">
        <v>359</v>
      </c>
      <c r="DR497" s="51"/>
      <c r="DS497" s="48" t="s">
        <v>134</v>
      </c>
    </row>
    <row r="498">
      <c r="A498" s="23" t="s">
        <v>118</v>
      </c>
      <c r="B498" s="24">
        <v>4.0</v>
      </c>
      <c r="C498" s="23" t="s">
        <v>1123</v>
      </c>
      <c r="D498" s="24">
        <v>648803.0</v>
      </c>
      <c r="E498" s="23" t="s">
        <v>189</v>
      </c>
      <c r="F498" s="23" t="s">
        <v>1230</v>
      </c>
      <c r="G498" s="23" t="s">
        <v>1231</v>
      </c>
      <c r="H498" s="24">
        <v>45072.0</v>
      </c>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7"/>
      <c r="BU498" s="26"/>
      <c r="BV498" s="26"/>
      <c r="BW498" s="26"/>
      <c r="BX498" s="24">
        <v>1.0</v>
      </c>
      <c r="BY498" s="24" t="s">
        <v>123</v>
      </c>
      <c r="BZ498" s="87">
        <v>1.0</v>
      </c>
      <c r="CA498" s="72"/>
      <c r="CB498" s="82"/>
      <c r="CC498" s="31"/>
      <c r="CD498" s="28">
        <v>1.0</v>
      </c>
      <c r="CE498" s="88" t="s">
        <v>185</v>
      </c>
      <c r="CF498" s="33"/>
      <c r="CG498" s="34">
        <v>0.0</v>
      </c>
      <c r="CH498" s="89"/>
      <c r="CI498" s="36">
        <v>0.0</v>
      </c>
      <c r="CJ498" s="36">
        <v>3932.0</v>
      </c>
      <c r="CK498" s="37">
        <v>-91.0</v>
      </c>
      <c r="CL498" s="36">
        <v>3841.0</v>
      </c>
      <c r="CM498" s="38">
        <v>0.0</v>
      </c>
      <c r="CN498" s="36">
        <v>0.0</v>
      </c>
      <c r="CO498" s="39">
        <v>0.0</v>
      </c>
      <c r="CP498" s="40">
        <v>0.0</v>
      </c>
      <c r="CQ498" s="36">
        <v>0.0</v>
      </c>
      <c r="CR498" s="36">
        <v>0.0</v>
      </c>
      <c r="CS498" s="36">
        <v>0.0</v>
      </c>
      <c r="CT498" s="41"/>
      <c r="CU498" s="42"/>
      <c r="CV498" s="43"/>
      <c r="CW498" s="44">
        <v>1.0</v>
      </c>
      <c r="CX498" s="44">
        <v>1.0</v>
      </c>
      <c r="CY498" s="44">
        <v>0.1</v>
      </c>
      <c r="CZ498" s="45"/>
      <c r="DA498" s="43"/>
      <c r="DB498" s="44">
        <v>0.0</v>
      </c>
      <c r="DC498" s="43"/>
      <c r="DD498" s="78"/>
      <c r="DE498" s="43"/>
      <c r="DF498" s="43"/>
      <c r="DG498" s="48" t="s">
        <v>128</v>
      </c>
      <c r="DH498" s="48" t="s">
        <v>131</v>
      </c>
      <c r="DI498" s="48" t="s">
        <v>188</v>
      </c>
      <c r="DJ498" s="49">
        <v>1.0</v>
      </c>
      <c r="DK498" s="48" t="b">
        <v>0</v>
      </c>
      <c r="DL498" s="50" t="s">
        <v>329</v>
      </c>
      <c r="DM498" s="50" t="s">
        <v>131</v>
      </c>
      <c r="DN498" s="50" t="s">
        <v>330</v>
      </c>
      <c r="DO498" s="49">
        <v>0.8</v>
      </c>
      <c r="DP498" s="51"/>
      <c r="DQ498" s="48" t="s">
        <v>188</v>
      </c>
      <c r="DR498" s="51"/>
      <c r="DS498" s="48" t="s">
        <v>134</v>
      </c>
    </row>
    <row r="499">
      <c r="A499" s="52" t="s">
        <v>118</v>
      </c>
      <c r="B499" s="53">
        <v>4.0</v>
      </c>
      <c r="C499" s="52" t="s">
        <v>1123</v>
      </c>
      <c r="D499" s="53">
        <v>681287.0</v>
      </c>
      <c r="E499" s="52" t="s">
        <v>354</v>
      </c>
      <c r="F499" s="52" t="s">
        <v>1232</v>
      </c>
      <c r="G499" s="52" t="s">
        <v>1233</v>
      </c>
      <c r="H499" s="53">
        <v>45072.0</v>
      </c>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81"/>
      <c r="BU499" s="54"/>
      <c r="BV499" s="54"/>
      <c r="BW499" s="54"/>
      <c r="BX499" s="53">
        <v>2100.0</v>
      </c>
      <c r="BY499" s="53" t="s">
        <v>123</v>
      </c>
      <c r="BZ499" s="58">
        <v>2100.0</v>
      </c>
      <c r="CA499" s="72"/>
      <c r="CB499" s="82"/>
      <c r="CC499" s="31"/>
      <c r="CD499" s="58">
        <v>2100.0</v>
      </c>
      <c r="CE499" s="83" t="s">
        <v>185</v>
      </c>
      <c r="CF499" s="60"/>
      <c r="CG499" s="61">
        <v>0.0</v>
      </c>
      <c r="CH499" s="84"/>
      <c r="CI499" s="63">
        <v>0.0</v>
      </c>
      <c r="CJ499" s="63">
        <v>3932.0</v>
      </c>
      <c r="CK499" s="64">
        <v>-91.0</v>
      </c>
      <c r="CL499" s="63">
        <v>3841.0</v>
      </c>
      <c r="CM499" s="65">
        <v>0.0</v>
      </c>
      <c r="CN499" s="63">
        <v>0.0</v>
      </c>
      <c r="CO499" s="66">
        <v>0.0</v>
      </c>
      <c r="CP499" s="67">
        <v>0.0</v>
      </c>
      <c r="CQ499" s="63">
        <v>0.0</v>
      </c>
      <c r="CR499" s="63">
        <v>0.0</v>
      </c>
      <c r="CS499" s="63">
        <v>0.0</v>
      </c>
      <c r="CT499" s="68"/>
      <c r="CU499" s="69"/>
      <c r="CV499" s="70"/>
      <c r="CW499" s="71">
        <v>7.0</v>
      </c>
      <c r="CX499" s="71" t="s">
        <v>201</v>
      </c>
      <c r="CY499" s="71" t="s">
        <v>202</v>
      </c>
      <c r="CZ499" s="45"/>
      <c r="DA499" s="43"/>
      <c r="DB499" s="44">
        <v>0.0</v>
      </c>
      <c r="DC499" s="43"/>
      <c r="DD499" s="78"/>
      <c r="DE499" s="43"/>
      <c r="DF499" s="43"/>
      <c r="DG499" s="48" t="s">
        <v>128</v>
      </c>
      <c r="DH499" s="48" t="s">
        <v>128</v>
      </c>
      <c r="DI499" s="85" t="str">
        <f>+ OFF 30 DIAS SIN VENTA</f>
        <v>#ERROR!</v>
      </c>
      <c r="DJ499" s="49">
        <v>1.0</v>
      </c>
      <c r="DK499" s="48" t="b">
        <v>0</v>
      </c>
      <c r="DL499" s="50" t="s">
        <v>329</v>
      </c>
      <c r="DM499" s="50" t="s">
        <v>131</v>
      </c>
      <c r="DN499" s="50" t="s">
        <v>330</v>
      </c>
      <c r="DO499" s="49">
        <v>0.8</v>
      </c>
      <c r="DP499" s="48" t="s">
        <v>128</v>
      </c>
      <c r="DQ499" s="86" t="str">
        <f>+ OFF 30 DIAS SIN VENTA</f>
        <v>#ERROR!</v>
      </c>
      <c r="DR499" s="51"/>
      <c r="DS499" s="48" t="s">
        <v>134</v>
      </c>
    </row>
    <row r="500">
      <c r="A500" s="23" t="s">
        <v>118</v>
      </c>
      <c r="B500" s="24">
        <v>4.0</v>
      </c>
      <c r="C500" s="23" t="s">
        <v>1123</v>
      </c>
      <c r="D500" s="24">
        <v>610881.0</v>
      </c>
      <c r="E500" s="23" t="s">
        <v>167</v>
      </c>
      <c r="F500" s="23" t="s">
        <v>1234</v>
      </c>
      <c r="G500" s="23" t="s">
        <v>1235</v>
      </c>
      <c r="H500" s="24">
        <v>45072.0</v>
      </c>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7"/>
      <c r="BU500" s="26"/>
      <c r="BV500" s="26"/>
      <c r="BW500" s="26"/>
      <c r="BX500" s="24">
        <v>2400.0</v>
      </c>
      <c r="BY500" s="24" t="s">
        <v>123</v>
      </c>
      <c r="BZ500" s="28">
        <v>2400.0</v>
      </c>
      <c r="CA500" s="72"/>
      <c r="CB500" s="82"/>
      <c r="CC500" s="31"/>
      <c r="CD500" s="28">
        <v>2400.0</v>
      </c>
      <c r="CE500" s="88" t="s">
        <v>185</v>
      </c>
      <c r="CF500" s="33"/>
      <c r="CG500" s="34">
        <v>0.0</v>
      </c>
      <c r="CH500" s="89"/>
      <c r="CI500" s="36">
        <v>0.0</v>
      </c>
      <c r="CJ500" s="36">
        <v>3932.0</v>
      </c>
      <c r="CK500" s="37">
        <v>-91.0</v>
      </c>
      <c r="CL500" s="36">
        <v>3841.0</v>
      </c>
      <c r="CM500" s="38">
        <v>0.0</v>
      </c>
      <c r="CN500" s="36">
        <v>0.0</v>
      </c>
      <c r="CO500" s="39">
        <v>0.0</v>
      </c>
      <c r="CP500" s="40">
        <v>0.0</v>
      </c>
      <c r="CQ500" s="36">
        <v>0.0</v>
      </c>
      <c r="CR500" s="36">
        <v>0.0</v>
      </c>
      <c r="CS500" s="36">
        <v>0.0</v>
      </c>
      <c r="CT500" s="41"/>
      <c r="CU500" s="42"/>
      <c r="CV500" s="43"/>
      <c r="CW500" s="44">
        <v>8.0</v>
      </c>
      <c r="CX500" s="44" t="s">
        <v>125</v>
      </c>
      <c r="CY500" s="44" t="s">
        <v>126</v>
      </c>
      <c r="CZ500" s="45"/>
      <c r="DA500" s="43"/>
      <c r="DB500" s="44">
        <v>0.0</v>
      </c>
      <c r="DC500" s="43"/>
      <c r="DD500" s="78"/>
      <c r="DE500" s="43"/>
      <c r="DF500" s="43"/>
      <c r="DG500" s="48" t="s">
        <v>128</v>
      </c>
      <c r="DH500" s="48" t="s">
        <v>128</v>
      </c>
      <c r="DI500" s="48" t="s">
        <v>359</v>
      </c>
      <c r="DJ500" s="49">
        <v>1.0</v>
      </c>
      <c r="DK500" s="48" t="b">
        <v>0</v>
      </c>
      <c r="DL500" s="50" t="s">
        <v>329</v>
      </c>
      <c r="DM500" s="50" t="s">
        <v>131</v>
      </c>
      <c r="DN500" s="50" t="s">
        <v>330</v>
      </c>
      <c r="DO500" s="49">
        <v>0.8</v>
      </c>
      <c r="DP500" s="48" t="s">
        <v>359</v>
      </c>
      <c r="DQ500" s="48" t="s">
        <v>359</v>
      </c>
      <c r="DR500" s="51"/>
      <c r="DS500" s="48" t="s">
        <v>134</v>
      </c>
    </row>
    <row r="501">
      <c r="A501" s="52" t="s">
        <v>118</v>
      </c>
      <c r="B501" s="53">
        <v>4.0</v>
      </c>
      <c r="C501" s="52" t="s">
        <v>1123</v>
      </c>
      <c r="D501" s="53">
        <v>680603.0</v>
      </c>
      <c r="E501" s="52" t="s">
        <v>182</v>
      </c>
      <c r="F501" s="52" t="s">
        <v>1236</v>
      </c>
      <c r="G501" s="52" t="s">
        <v>1237</v>
      </c>
      <c r="H501" s="53">
        <v>45072.0</v>
      </c>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81"/>
      <c r="BU501" s="54"/>
      <c r="BV501" s="54"/>
      <c r="BW501" s="54"/>
      <c r="BX501" s="53">
        <v>2700.0</v>
      </c>
      <c r="BY501" s="53" t="s">
        <v>123</v>
      </c>
      <c r="BZ501" s="58">
        <v>2700.0</v>
      </c>
      <c r="CA501" s="72"/>
      <c r="CB501" s="82"/>
      <c r="CC501" s="31"/>
      <c r="CD501" s="58">
        <v>2700.0</v>
      </c>
      <c r="CE501" s="83" t="s">
        <v>185</v>
      </c>
      <c r="CF501" s="60"/>
      <c r="CG501" s="61">
        <v>0.0</v>
      </c>
      <c r="CH501" s="84"/>
      <c r="CI501" s="63">
        <v>0.0</v>
      </c>
      <c r="CJ501" s="63">
        <v>3932.0</v>
      </c>
      <c r="CK501" s="64">
        <v>-91.0</v>
      </c>
      <c r="CL501" s="63">
        <v>3841.0</v>
      </c>
      <c r="CM501" s="65">
        <v>0.0</v>
      </c>
      <c r="CN501" s="63">
        <v>0.0</v>
      </c>
      <c r="CO501" s="66">
        <v>0.0</v>
      </c>
      <c r="CP501" s="67">
        <v>0.0</v>
      </c>
      <c r="CQ501" s="63">
        <v>0.0</v>
      </c>
      <c r="CR501" s="63">
        <v>0.0</v>
      </c>
      <c r="CS501" s="63">
        <v>0.0</v>
      </c>
      <c r="CT501" s="68"/>
      <c r="CU501" s="69"/>
      <c r="CV501" s="70"/>
      <c r="CW501" s="71">
        <v>9.0</v>
      </c>
      <c r="CX501" s="71" t="s">
        <v>143</v>
      </c>
      <c r="CY501" s="71" t="s">
        <v>144</v>
      </c>
      <c r="CZ501" s="45"/>
      <c r="DA501" s="43"/>
      <c r="DB501" s="44">
        <v>0.0</v>
      </c>
      <c r="DC501" s="46" t="s">
        <v>127</v>
      </c>
      <c r="DD501" s="47">
        <v>46228.0</v>
      </c>
      <c r="DE501" s="43"/>
      <c r="DF501" s="43"/>
      <c r="DG501" s="48" t="s">
        <v>128</v>
      </c>
      <c r="DH501" s="48" t="s">
        <v>128</v>
      </c>
      <c r="DI501" s="85" t="str">
        <f>+ OFF 30 DIAS SIN VENTA</f>
        <v>#ERROR!</v>
      </c>
      <c r="DJ501" s="51"/>
      <c r="DK501" s="48" t="b">
        <v>0</v>
      </c>
      <c r="DL501" s="50" t="s">
        <v>329</v>
      </c>
      <c r="DM501" s="50" t="s">
        <v>131</v>
      </c>
      <c r="DN501" s="50" t="s">
        <v>330</v>
      </c>
      <c r="DO501" s="49">
        <v>0.8</v>
      </c>
      <c r="DP501" s="48" t="s">
        <v>128</v>
      </c>
      <c r="DQ501" s="86" t="str">
        <f>+ OFF 30 DIAS SIN VENTA</f>
        <v>#ERROR!</v>
      </c>
      <c r="DR501" s="51"/>
      <c r="DS501" s="48" t="s">
        <v>134</v>
      </c>
    </row>
    <row r="502">
      <c r="A502" s="23" t="s">
        <v>118</v>
      </c>
      <c r="B502" s="24">
        <v>4.0</v>
      </c>
      <c r="C502" s="23" t="s">
        <v>1123</v>
      </c>
      <c r="D502" s="24">
        <v>680588.0</v>
      </c>
      <c r="E502" s="23" t="s">
        <v>251</v>
      </c>
      <c r="F502" s="23" t="s">
        <v>1238</v>
      </c>
      <c r="G502" s="23" t="s">
        <v>1239</v>
      </c>
      <c r="H502" s="24">
        <v>45072.0</v>
      </c>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7"/>
      <c r="BU502" s="26"/>
      <c r="BV502" s="26"/>
      <c r="BW502" s="26"/>
      <c r="BX502" s="24">
        <v>1800.0</v>
      </c>
      <c r="BY502" s="24" t="s">
        <v>123</v>
      </c>
      <c r="BZ502" s="28">
        <v>1800.0</v>
      </c>
      <c r="CA502" s="72"/>
      <c r="CB502" s="82"/>
      <c r="CC502" s="31"/>
      <c r="CD502" s="28">
        <v>1800.0</v>
      </c>
      <c r="CE502" s="88" t="s">
        <v>185</v>
      </c>
      <c r="CF502" s="33"/>
      <c r="CG502" s="34">
        <v>0.0</v>
      </c>
      <c r="CH502" s="89"/>
      <c r="CI502" s="36">
        <v>0.0</v>
      </c>
      <c r="CJ502" s="36">
        <v>3932.0</v>
      </c>
      <c r="CK502" s="37">
        <v>-91.0</v>
      </c>
      <c r="CL502" s="36">
        <v>3841.0</v>
      </c>
      <c r="CM502" s="38">
        <v>0.0</v>
      </c>
      <c r="CN502" s="36">
        <v>0.0</v>
      </c>
      <c r="CO502" s="39">
        <v>0.0</v>
      </c>
      <c r="CP502" s="40">
        <v>0.0</v>
      </c>
      <c r="CQ502" s="36">
        <v>0.0</v>
      </c>
      <c r="CR502" s="36">
        <v>0.0</v>
      </c>
      <c r="CS502" s="36">
        <v>0.0</v>
      </c>
      <c r="CT502" s="41"/>
      <c r="CU502" s="42"/>
      <c r="CV502" s="43"/>
      <c r="CW502" s="44">
        <v>6.0</v>
      </c>
      <c r="CX502" s="44" t="s">
        <v>401</v>
      </c>
      <c r="CY502" s="44" t="s">
        <v>402</v>
      </c>
      <c r="CZ502" s="45"/>
      <c r="DA502" s="43"/>
      <c r="DB502" s="44">
        <v>0.0</v>
      </c>
      <c r="DC502" s="43"/>
      <c r="DD502" s="78"/>
      <c r="DE502" s="43"/>
      <c r="DF502" s="43"/>
      <c r="DG502" s="48" t="s">
        <v>128</v>
      </c>
      <c r="DH502" s="48" t="s">
        <v>128</v>
      </c>
      <c r="DI502" s="85" t="str">
        <f>+ OFF 30 DIAS SIN VENTA</f>
        <v>#ERROR!</v>
      </c>
      <c r="DJ502" s="49">
        <v>1.0</v>
      </c>
      <c r="DK502" s="48" t="b">
        <v>0</v>
      </c>
      <c r="DL502" s="50" t="s">
        <v>329</v>
      </c>
      <c r="DM502" s="50" t="s">
        <v>131</v>
      </c>
      <c r="DN502" s="50" t="s">
        <v>330</v>
      </c>
      <c r="DO502" s="49">
        <v>0.8</v>
      </c>
      <c r="DP502" s="48" t="s">
        <v>128</v>
      </c>
      <c r="DQ502" s="86" t="str">
        <f>+ OFF 30 DIAS SIN VENTA</f>
        <v>#ERROR!</v>
      </c>
      <c r="DR502" s="51"/>
      <c r="DS502" s="48" t="s">
        <v>134</v>
      </c>
    </row>
    <row r="503">
      <c r="A503" s="52" t="s">
        <v>118</v>
      </c>
      <c r="B503" s="53">
        <v>4.0</v>
      </c>
      <c r="C503" s="52" t="s">
        <v>1123</v>
      </c>
      <c r="D503" s="53">
        <v>680607.0</v>
      </c>
      <c r="E503" s="52" t="s">
        <v>246</v>
      </c>
      <c r="F503" s="52" t="s">
        <v>1240</v>
      </c>
      <c r="G503" s="52" t="s">
        <v>1241</v>
      </c>
      <c r="H503" s="53">
        <v>45072.0</v>
      </c>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81"/>
      <c r="BU503" s="54"/>
      <c r="BV503" s="54"/>
      <c r="BW503" s="54"/>
      <c r="BX503" s="53">
        <v>2100.0</v>
      </c>
      <c r="BY503" s="53" t="s">
        <v>123</v>
      </c>
      <c r="BZ503" s="58">
        <v>2100.0</v>
      </c>
      <c r="CA503" s="72"/>
      <c r="CB503" s="82"/>
      <c r="CC503" s="31"/>
      <c r="CD503" s="58">
        <v>2100.0</v>
      </c>
      <c r="CE503" s="83" t="s">
        <v>185</v>
      </c>
      <c r="CF503" s="60"/>
      <c r="CG503" s="61">
        <v>0.0</v>
      </c>
      <c r="CH503" s="84"/>
      <c r="CI503" s="63">
        <v>0.0</v>
      </c>
      <c r="CJ503" s="63">
        <v>3932.0</v>
      </c>
      <c r="CK503" s="64">
        <v>-91.0</v>
      </c>
      <c r="CL503" s="63">
        <v>3841.0</v>
      </c>
      <c r="CM503" s="65">
        <v>0.0</v>
      </c>
      <c r="CN503" s="63">
        <v>0.0</v>
      </c>
      <c r="CO503" s="66">
        <v>0.0</v>
      </c>
      <c r="CP503" s="67">
        <v>0.0</v>
      </c>
      <c r="CQ503" s="63">
        <v>0.0</v>
      </c>
      <c r="CR503" s="63">
        <v>0.0</v>
      </c>
      <c r="CS503" s="63">
        <v>0.0</v>
      </c>
      <c r="CT503" s="68"/>
      <c r="CU503" s="69"/>
      <c r="CV503" s="70"/>
      <c r="CW503" s="71">
        <v>7.0</v>
      </c>
      <c r="CX503" s="71" t="s">
        <v>201</v>
      </c>
      <c r="CY503" s="71" t="s">
        <v>202</v>
      </c>
      <c r="CZ503" s="45"/>
      <c r="DA503" s="43"/>
      <c r="DB503" s="44">
        <v>0.0</v>
      </c>
      <c r="DC503" s="43"/>
      <c r="DD503" s="78"/>
      <c r="DE503" s="43"/>
      <c r="DF503" s="43"/>
      <c r="DG503" s="48" t="s">
        <v>128</v>
      </c>
      <c r="DH503" s="48" t="s">
        <v>128</v>
      </c>
      <c r="DI503" s="85" t="str">
        <f>+ OFF 30 DIAS SIN VENTA</f>
        <v>#ERROR!</v>
      </c>
      <c r="DJ503" s="49">
        <v>1.0</v>
      </c>
      <c r="DK503" s="48" t="b">
        <v>0</v>
      </c>
      <c r="DL503" s="50" t="s">
        <v>329</v>
      </c>
      <c r="DM503" s="50" t="s">
        <v>131</v>
      </c>
      <c r="DN503" s="50" t="s">
        <v>330</v>
      </c>
      <c r="DO503" s="49">
        <v>0.8</v>
      </c>
      <c r="DP503" s="48" t="s">
        <v>128</v>
      </c>
      <c r="DQ503" s="86" t="str">
        <f>+ OFF 30 DIAS SIN VENTA</f>
        <v>#ERROR!</v>
      </c>
      <c r="DR503" s="51"/>
      <c r="DS503" s="48" t="s">
        <v>134</v>
      </c>
    </row>
    <row r="504">
      <c r="A504" s="23" t="s">
        <v>118</v>
      </c>
      <c r="B504" s="24">
        <v>4.0</v>
      </c>
      <c r="C504" s="23" t="s">
        <v>1123</v>
      </c>
      <c r="D504" s="24">
        <v>576393.0</v>
      </c>
      <c r="E504" s="23" t="s">
        <v>164</v>
      </c>
      <c r="F504" s="23" t="s">
        <v>1242</v>
      </c>
      <c r="G504" s="23" t="s">
        <v>1243</v>
      </c>
      <c r="H504" s="24">
        <v>77109.0</v>
      </c>
      <c r="I504" s="24">
        <v>3.0</v>
      </c>
      <c r="J504" s="24">
        <v>0.0</v>
      </c>
      <c r="K504" s="24">
        <v>0.0</v>
      </c>
      <c r="L504" s="24">
        <v>0.0</v>
      </c>
      <c r="M504" s="24">
        <v>0.0</v>
      </c>
      <c r="N504" s="24">
        <v>0.0</v>
      </c>
      <c r="O504" s="24">
        <v>0.0</v>
      </c>
      <c r="P504" s="24">
        <v>0.0</v>
      </c>
      <c r="Q504" s="24">
        <v>0.0</v>
      </c>
      <c r="R504" s="24">
        <v>0.0</v>
      </c>
      <c r="S504" s="24">
        <v>0.0</v>
      </c>
      <c r="T504" s="24">
        <v>0.0</v>
      </c>
      <c r="U504" s="24">
        <v>0.0</v>
      </c>
      <c r="V504" s="24">
        <v>0.0</v>
      </c>
      <c r="W504" s="24">
        <v>0.0</v>
      </c>
      <c r="X504" s="24">
        <v>0.0</v>
      </c>
      <c r="Y504" s="24">
        <v>0.0</v>
      </c>
      <c r="Z504" s="24">
        <v>0.0</v>
      </c>
      <c r="AA504" s="24">
        <v>0.0</v>
      </c>
      <c r="AB504" s="24">
        <v>0.0</v>
      </c>
      <c r="AC504" s="24">
        <v>0.0</v>
      </c>
      <c r="AD504" s="24">
        <v>3.0</v>
      </c>
      <c r="AE504" s="24">
        <v>0.0</v>
      </c>
      <c r="AF504" s="24">
        <v>0.0</v>
      </c>
      <c r="AG504" s="24">
        <v>0.0</v>
      </c>
      <c r="AH504" s="24">
        <v>0.0</v>
      </c>
      <c r="AI504" s="24">
        <v>0.0</v>
      </c>
      <c r="AJ504" s="24">
        <v>0.0</v>
      </c>
      <c r="AK504" s="24">
        <v>0.0</v>
      </c>
      <c r="AL504" s="24">
        <v>0.0</v>
      </c>
      <c r="AM504" s="24">
        <v>0.0</v>
      </c>
      <c r="AN504" s="24">
        <v>0.0</v>
      </c>
      <c r="AO504" s="25">
        <v>20.2</v>
      </c>
      <c r="AP504" s="26"/>
      <c r="AQ504" s="26"/>
      <c r="AR504" s="26"/>
      <c r="AS504" s="26"/>
      <c r="AT504" s="26"/>
      <c r="AU504" s="26"/>
      <c r="AV504" s="26"/>
      <c r="AW504" s="26"/>
      <c r="AX504" s="26"/>
      <c r="AY504" s="26"/>
      <c r="AZ504" s="26"/>
      <c r="BA504" s="26"/>
      <c r="BB504" s="26"/>
      <c r="BC504" s="26"/>
      <c r="BD504" s="26"/>
      <c r="BE504" s="26"/>
      <c r="BF504" s="26"/>
      <c r="BG504" s="26"/>
      <c r="BH504" s="26"/>
      <c r="BI504" s="26"/>
      <c r="BJ504" s="24">
        <v>20.16</v>
      </c>
      <c r="BK504" s="26"/>
      <c r="BL504" s="26"/>
      <c r="BM504" s="26"/>
      <c r="BN504" s="26"/>
      <c r="BO504" s="26"/>
      <c r="BP504" s="24">
        <v>3.65</v>
      </c>
      <c r="BQ504" s="24">
        <v>3.19</v>
      </c>
      <c r="BR504" s="24">
        <v>6.62</v>
      </c>
      <c r="BS504" s="25">
        <v>5.96</v>
      </c>
      <c r="BT504" s="56">
        <v>20.0</v>
      </c>
      <c r="BU504" s="25">
        <v>5.6</v>
      </c>
      <c r="BV504" s="25">
        <v>8.37</v>
      </c>
      <c r="BW504" s="26"/>
      <c r="BX504" s="24">
        <v>2100.0</v>
      </c>
      <c r="BY504" s="23" t="s">
        <v>123</v>
      </c>
      <c r="BZ504" s="28">
        <v>1800.0</v>
      </c>
      <c r="CA504" s="29" t="s">
        <v>124</v>
      </c>
      <c r="CB504" s="30">
        <v>2100.0</v>
      </c>
      <c r="CC504" s="31"/>
      <c r="CD504" s="28">
        <v>2100.0</v>
      </c>
      <c r="CE504" s="32" t="e">
        <v>#REF!</v>
      </c>
      <c r="CF504" s="33"/>
      <c r="CG504" s="34">
        <v>0.0</v>
      </c>
      <c r="CH504" s="35">
        <v>0.0</v>
      </c>
      <c r="CI504" s="36">
        <v>3.0</v>
      </c>
      <c r="CJ504" s="36">
        <v>164.0</v>
      </c>
      <c r="CK504" s="37">
        <v>-35.0</v>
      </c>
      <c r="CL504" s="36">
        <v>129.0</v>
      </c>
      <c r="CM504" s="38">
        <v>61.0</v>
      </c>
      <c r="CN504" s="36">
        <v>0.0</v>
      </c>
      <c r="CO504" s="39">
        <v>20.2</v>
      </c>
      <c r="CP504" s="40">
        <v>0.0</v>
      </c>
      <c r="CQ504" s="36">
        <v>11.0</v>
      </c>
      <c r="CR504" s="36">
        <v>11.0</v>
      </c>
      <c r="CS504" s="36">
        <v>18.0</v>
      </c>
      <c r="CT504" s="41"/>
      <c r="CU504" s="42"/>
      <c r="CV504" s="43"/>
      <c r="CW504" s="44">
        <v>7.0</v>
      </c>
      <c r="CX504" s="44" t="s">
        <v>201</v>
      </c>
      <c r="CY504" s="44" t="s">
        <v>202</v>
      </c>
      <c r="CZ504" s="45"/>
      <c r="DA504" s="44">
        <v>2100.0</v>
      </c>
      <c r="DB504" s="44">
        <v>0.0</v>
      </c>
      <c r="DC504" s="46" t="s">
        <v>127</v>
      </c>
      <c r="DD504" s="47">
        <v>46218.0</v>
      </c>
      <c r="DE504" s="43"/>
      <c r="DF504" s="43"/>
      <c r="DG504" s="48" t="s">
        <v>128</v>
      </c>
      <c r="DH504" s="48" t="s">
        <v>128</v>
      </c>
      <c r="DI504" s="48" t="s">
        <v>128</v>
      </c>
      <c r="DJ504" s="49">
        <v>1.0</v>
      </c>
      <c r="DK504" s="48" t="b">
        <v>0</v>
      </c>
      <c r="DL504" s="50" t="s">
        <v>1244</v>
      </c>
      <c r="DM504" s="50" t="s">
        <v>131</v>
      </c>
      <c r="DN504" s="50" t="s">
        <v>1245</v>
      </c>
      <c r="DO504" s="49">
        <v>0.07</v>
      </c>
      <c r="DP504" s="48" t="s">
        <v>128</v>
      </c>
      <c r="DQ504" s="48" t="s">
        <v>128</v>
      </c>
      <c r="DR504" s="51"/>
      <c r="DS504" s="48" t="s">
        <v>134</v>
      </c>
    </row>
    <row r="505">
      <c r="A505" s="52" t="s">
        <v>118</v>
      </c>
      <c r="B505" s="53">
        <v>4.0</v>
      </c>
      <c r="C505" s="52" t="s">
        <v>1123</v>
      </c>
      <c r="D505" s="53">
        <v>536832.0</v>
      </c>
      <c r="E505" s="52" t="s">
        <v>158</v>
      </c>
      <c r="F505" s="52" t="s">
        <v>1246</v>
      </c>
      <c r="G505" s="52" t="s">
        <v>1247</v>
      </c>
      <c r="H505" s="53">
        <v>77109.0</v>
      </c>
      <c r="I505" s="53">
        <v>8.0</v>
      </c>
      <c r="J505" s="53">
        <v>0.0</v>
      </c>
      <c r="K505" s="53">
        <v>0.0</v>
      </c>
      <c r="L505" s="53">
        <v>0.0</v>
      </c>
      <c r="M505" s="53">
        <v>1.0</v>
      </c>
      <c r="N505" s="53">
        <v>0.0</v>
      </c>
      <c r="O505" s="53">
        <v>0.0</v>
      </c>
      <c r="P505" s="53">
        <v>1.0</v>
      </c>
      <c r="Q505" s="53">
        <v>1.0</v>
      </c>
      <c r="R505" s="53">
        <v>0.0</v>
      </c>
      <c r="S505" s="53">
        <v>0.0</v>
      </c>
      <c r="T505" s="53">
        <v>0.0</v>
      </c>
      <c r="U505" s="53">
        <v>0.0</v>
      </c>
      <c r="V505" s="53">
        <v>0.0</v>
      </c>
      <c r="W505" s="53">
        <v>2.0</v>
      </c>
      <c r="X505" s="53">
        <v>0.0</v>
      </c>
      <c r="Y505" s="53">
        <v>2.0</v>
      </c>
      <c r="Z505" s="53">
        <v>0.0</v>
      </c>
      <c r="AA505" s="53">
        <v>1.0</v>
      </c>
      <c r="AB505" s="53">
        <v>0.0</v>
      </c>
      <c r="AC505" s="53">
        <v>0.0</v>
      </c>
      <c r="AD505" s="53">
        <v>0.0</v>
      </c>
      <c r="AE505" s="53">
        <v>0.0</v>
      </c>
      <c r="AF505" s="53">
        <v>0.0</v>
      </c>
      <c r="AG505" s="53">
        <v>0.0</v>
      </c>
      <c r="AH505" s="53">
        <v>0.0</v>
      </c>
      <c r="AI505" s="53">
        <v>0.0</v>
      </c>
      <c r="AJ505" s="53">
        <v>0.0</v>
      </c>
      <c r="AK505" s="53">
        <v>0.0</v>
      </c>
      <c r="AL505" s="53">
        <v>0.0</v>
      </c>
      <c r="AM505" s="53">
        <v>0.0</v>
      </c>
      <c r="AN505" s="53">
        <v>0.0</v>
      </c>
      <c r="AO505" s="25">
        <v>20.1</v>
      </c>
      <c r="AP505" s="54"/>
      <c r="AQ505" s="54"/>
      <c r="AR505" s="54"/>
      <c r="AS505" s="53">
        <v>18.5</v>
      </c>
      <c r="AT505" s="54"/>
      <c r="AU505" s="54"/>
      <c r="AV505" s="53">
        <v>29.17</v>
      </c>
      <c r="AW505" s="53">
        <v>17.83</v>
      </c>
      <c r="AX505" s="54"/>
      <c r="AY505" s="54"/>
      <c r="AZ505" s="54"/>
      <c r="BA505" s="54"/>
      <c r="BB505" s="54"/>
      <c r="BC505" s="53">
        <v>20.84</v>
      </c>
      <c r="BD505" s="54"/>
      <c r="BE505" s="53">
        <v>19.07</v>
      </c>
      <c r="BF505" s="54"/>
      <c r="BG505" s="53">
        <v>15.22</v>
      </c>
      <c r="BH505" s="54"/>
      <c r="BI505" s="54"/>
      <c r="BJ505" s="54"/>
      <c r="BK505" s="54"/>
      <c r="BL505" s="54"/>
      <c r="BM505" s="54"/>
      <c r="BN505" s="54"/>
      <c r="BO505" s="54"/>
      <c r="BP505" s="53">
        <v>2.53</v>
      </c>
      <c r="BQ505" s="53">
        <v>5.76</v>
      </c>
      <c r="BR505" s="53">
        <v>8.08</v>
      </c>
      <c r="BS505" s="25">
        <v>5.29</v>
      </c>
      <c r="BT505" s="56">
        <v>23.1</v>
      </c>
      <c r="BU505" s="25">
        <v>9.1</v>
      </c>
      <c r="BV505" s="25">
        <v>9.03</v>
      </c>
      <c r="BW505" s="54"/>
      <c r="BX505" s="53">
        <v>2700.0</v>
      </c>
      <c r="BY505" s="53" t="s">
        <v>123</v>
      </c>
      <c r="BZ505" s="58">
        <v>2400.0</v>
      </c>
      <c r="CA505" s="29" t="s">
        <v>124</v>
      </c>
      <c r="CB505" s="30">
        <v>2400.0</v>
      </c>
      <c r="CC505" s="31"/>
      <c r="CD505" s="58">
        <v>2400.0</v>
      </c>
      <c r="CE505" s="59" t="e">
        <v>#REF!</v>
      </c>
      <c r="CF505" s="105">
        <v>-300.0</v>
      </c>
      <c r="CG505" s="61">
        <v>0.0</v>
      </c>
      <c r="CH505" s="62">
        <v>0.0</v>
      </c>
      <c r="CI505" s="63">
        <v>8.0</v>
      </c>
      <c r="CJ505" s="63">
        <v>164.0</v>
      </c>
      <c r="CK505" s="64">
        <v>-35.0</v>
      </c>
      <c r="CL505" s="63">
        <v>129.0</v>
      </c>
      <c r="CM505" s="65">
        <v>161.0</v>
      </c>
      <c r="CN505" s="106"/>
      <c r="CO505" s="66">
        <v>20.1</v>
      </c>
      <c r="CP505" s="67">
        <v>0.0</v>
      </c>
      <c r="CQ505" s="63">
        <v>20.0</v>
      </c>
      <c r="CR505" s="63">
        <v>20.0</v>
      </c>
      <c r="CS505" s="63">
        <v>42.0</v>
      </c>
      <c r="CT505" s="68"/>
      <c r="CU505" s="69"/>
      <c r="CV505" s="70"/>
      <c r="CW505" s="71">
        <v>8.0</v>
      </c>
      <c r="CX505" s="71" t="s">
        <v>125</v>
      </c>
      <c r="CY505" s="71" t="s">
        <v>126</v>
      </c>
      <c r="CZ505" s="107" t="s">
        <v>124</v>
      </c>
      <c r="DA505" s="44">
        <v>2400.0</v>
      </c>
      <c r="DB505" s="44">
        <v>0.0</v>
      </c>
      <c r="DC505" s="46" t="s">
        <v>127</v>
      </c>
      <c r="DD505" s="47">
        <v>46228.0</v>
      </c>
      <c r="DE505" s="43"/>
      <c r="DF505" s="43"/>
      <c r="DG505" s="48" t="s">
        <v>128</v>
      </c>
      <c r="DH505" s="48" t="s">
        <v>128</v>
      </c>
      <c r="DI505" s="48" t="s">
        <v>128</v>
      </c>
      <c r="DJ505" s="49">
        <v>1.0</v>
      </c>
      <c r="DK505" s="48" t="b">
        <v>0</v>
      </c>
      <c r="DL505" s="50" t="s">
        <v>1244</v>
      </c>
      <c r="DM505" s="50" t="s">
        <v>131</v>
      </c>
      <c r="DN505" s="50" t="s">
        <v>1245</v>
      </c>
      <c r="DO505" s="49">
        <v>0.07</v>
      </c>
      <c r="DP505" s="48" t="s">
        <v>128</v>
      </c>
      <c r="DQ505" s="48" t="s">
        <v>128</v>
      </c>
      <c r="DR505" s="51"/>
      <c r="DS505" s="48" t="s">
        <v>134</v>
      </c>
    </row>
    <row r="506">
      <c r="A506" s="23" t="s">
        <v>118</v>
      </c>
      <c r="B506" s="24">
        <v>4.0</v>
      </c>
      <c r="C506" s="23" t="s">
        <v>1123</v>
      </c>
      <c r="D506" s="24">
        <v>641892.0</v>
      </c>
      <c r="E506" s="23" t="s">
        <v>170</v>
      </c>
      <c r="F506" s="23" t="s">
        <v>1248</v>
      </c>
      <c r="G506" s="23" t="s">
        <v>1249</v>
      </c>
      <c r="H506" s="24">
        <v>77109.0</v>
      </c>
      <c r="I506" s="24">
        <v>2.0</v>
      </c>
      <c r="J506" s="24">
        <v>0.0</v>
      </c>
      <c r="K506" s="24">
        <v>0.0</v>
      </c>
      <c r="L506" s="24">
        <v>0.0</v>
      </c>
      <c r="M506" s="24">
        <v>0.0</v>
      </c>
      <c r="N506" s="24">
        <v>0.0</v>
      </c>
      <c r="O506" s="24">
        <v>0.0</v>
      </c>
      <c r="P506" s="24">
        <v>0.0</v>
      </c>
      <c r="Q506" s="24">
        <v>0.0</v>
      </c>
      <c r="R506" s="24">
        <v>0.0</v>
      </c>
      <c r="S506" s="24">
        <v>0.0</v>
      </c>
      <c r="T506" s="24">
        <v>0.0</v>
      </c>
      <c r="U506" s="24">
        <v>0.0</v>
      </c>
      <c r="V506" s="24">
        <v>0.0</v>
      </c>
      <c r="W506" s="24">
        <v>0.0</v>
      </c>
      <c r="X506" s="24">
        <v>0.0</v>
      </c>
      <c r="Y506" s="24">
        <v>0.0</v>
      </c>
      <c r="Z506" s="24">
        <v>1.0</v>
      </c>
      <c r="AA506" s="24">
        <v>1.0</v>
      </c>
      <c r="AB506" s="24">
        <v>0.0</v>
      </c>
      <c r="AC506" s="24">
        <v>0.0</v>
      </c>
      <c r="AD506" s="24">
        <v>0.0</v>
      </c>
      <c r="AE506" s="24">
        <v>0.0</v>
      </c>
      <c r="AF506" s="24">
        <v>0.0</v>
      </c>
      <c r="AG506" s="24">
        <v>0.0</v>
      </c>
      <c r="AH506" s="24">
        <v>0.0</v>
      </c>
      <c r="AI506" s="24">
        <v>0.0</v>
      </c>
      <c r="AJ506" s="24">
        <v>0.0</v>
      </c>
      <c r="AK506" s="24">
        <v>0.0</v>
      </c>
      <c r="AL506" s="24">
        <v>0.0</v>
      </c>
      <c r="AM506" s="24">
        <v>0.0</v>
      </c>
      <c r="AN506" s="24">
        <v>0.0</v>
      </c>
      <c r="AO506" s="25">
        <v>17.6</v>
      </c>
      <c r="AP506" s="26"/>
      <c r="AQ506" s="26"/>
      <c r="AR506" s="26"/>
      <c r="AS506" s="26"/>
      <c r="AT506" s="26"/>
      <c r="AU506" s="26"/>
      <c r="AV506" s="26"/>
      <c r="AW506" s="26"/>
      <c r="AX506" s="26"/>
      <c r="AY506" s="26"/>
      <c r="AZ506" s="26"/>
      <c r="BA506" s="26"/>
      <c r="BB506" s="26"/>
      <c r="BC506" s="26"/>
      <c r="BD506" s="26"/>
      <c r="BE506" s="26"/>
      <c r="BF506" s="24">
        <v>17.28</v>
      </c>
      <c r="BG506" s="24">
        <v>17.82</v>
      </c>
      <c r="BH506" s="26"/>
      <c r="BI506" s="26"/>
      <c r="BJ506" s="26"/>
      <c r="BK506" s="26"/>
      <c r="BL506" s="26"/>
      <c r="BM506" s="26"/>
      <c r="BN506" s="26"/>
      <c r="BO506" s="26"/>
      <c r="BP506" s="24">
        <v>3.13</v>
      </c>
      <c r="BQ506" s="24">
        <v>4.48</v>
      </c>
      <c r="BR506" s="24">
        <v>7.39</v>
      </c>
      <c r="BS506" s="55">
        <v>3.54</v>
      </c>
      <c r="BT506" s="27"/>
      <c r="BU506" s="26"/>
      <c r="BV506" s="26"/>
      <c r="BW506" s="26"/>
      <c r="BX506" s="24">
        <v>2700.0</v>
      </c>
      <c r="BY506" s="24" t="s">
        <v>123</v>
      </c>
      <c r="BZ506" s="28">
        <v>2700.0</v>
      </c>
      <c r="CA506" s="72"/>
      <c r="CB506" s="30">
        <v>2700.0</v>
      </c>
      <c r="CC506" s="31"/>
      <c r="CD506" s="28">
        <v>2700.0</v>
      </c>
      <c r="CE506" s="32" t="e">
        <v>#REF!</v>
      </c>
      <c r="CF506" s="33"/>
      <c r="CG506" s="34">
        <v>0.0</v>
      </c>
      <c r="CH506" s="35">
        <v>0.0</v>
      </c>
      <c r="CI506" s="36">
        <v>2.0</v>
      </c>
      <c r="CJ506" s="36">
        <v>164.0</v>
      </c>
      <c r="CK506" s="37">
        <v>-35.0</v>
      </c>
      <c r="CL506" s="36">
        <v>129.0</v>
      </c>
      <c r="CM506" s="38">
        <v>35.0</v>
      </c>
      <c r="CN506" s="36">
        <v>0.0</v>
      </c>
      <c r="CO506" s="39">
        <v>17.6</v>
      </c>
      <c r="CP506" s="40">
        <v>0.0</v>
      </c>
      <c r="CQ506" s="36">
        <v>6.0</v>
      </c>
      <c r="CR506" s="36">
        <v>6.0</v>
      </c>
      <c r="CS506" s="36">
        <v>7.0</v>
      </c>
      <c r="CT506" s="41"/>
      <c r="CU506" s="42"/>
      <c r="CV506" s="43"/>
      <c r="CW506" s="44">
        <v>9.0</v>
      </c>
      <c r="CX506" s="44" t="s">
        <v>143</v>
      </c>
      <c r="CY506" s="44" t="s">
        <v>144</v>
      </c>
      <c r="CZ506" s="45"/>
      <c r="DA506" s="44">
        <v>2700.0</v>
      </c>
      <c r="DB506" s="44">
        <v>0.0</v>
      </c>
      <c r="DC506" s="43"/>
      <c r="DD506" s="78"/>
      <c r="DE506" s="43"/>
      <c r="DF506" s="43"/>
      <c r="DG506" s="48" t="s">
        <v>128</v>
      </c>
      <c r="DH506" s="48" t="s">
        <v>128</v>
      </c>
      <c r="DI506" s="48" t="s">
        <v>129</v>
      </c>
      <c r="DJ506" s="49">
        <v>1.0</v>
      </c>
      <c r="DK506" s="48" t="b">
        <v>0</v>
      </c>
      <c r="DL506" s="50" t="s">
        <v>1244</v>
      </c>
      <c r="DM506" s="50" t="s">
        <v>131</v>
      </c>
      <c r="DN506" s="50" t="s">
        <v>1245</v>
      </c>
      <c r="DO506" s="49">
        <v>0.07</v>
      </c>
      <c r="DP506" s="48" t="s">
        <v>128</v>
      </c>
      <c r="DQ506" s="48" t="s">
        <v>133</v>
      </c>
      <c r="DR506" s="51"/>
      <c r="DS506" s="48" t="s">
        <v>134</v>
      </c>
    </row>
    <row r="507">
      <c r="A507" s="52" t="s">
        <v>118</v>
      </c>
      <c r="B507" s="53">
        <v>4.0</v>
      </c>
      <c r="C507" s="52" t="s">
        <v>1123</v>
      </c>
      <c r="D507" s="53">
        <v>640888.0</v>
      </c>
      <c r="E507" s="52" t="s">
        <v>161</v>
      </c>
      <c r="F507" s="52" t="s">
        <v>1250</v>
      </c>
      <c r="G507" s="52" t="s">
        <v>1251</v>
      </c>
      <c r="H507" s="53">
        <v>77109.0</v>
      </c>
      <c r="I507" s="53">
        <v>8.0</v>
      </c>
      <c r="J507" s="53">
        <v>0.0</v>
      </c>
      <c r="K507" s="53">
        <v>0.0</v>
      </c>
      <c r="L507" s="53">
        <v>0.0</v>
      </c>
      <c r="M507" s="53">
        <v>0.0</v>
      </c>
      <c r="N507" s="53">
        <v>0.0</v>
      </c>
      <c r="O507" s="53">
        <v>0.0</v>
      </c>
      <c r="P507" s="53">
        <v>0.0</v>
      </c>
      <c r="Q507" s="53">
        <v>1.0</v>
      </c>
      <c r="R507" s="53">
        <v>0.0</v>
      </c>
      <c r="S507" s="53">
        <v>0.0</v>
      </c>
      <c r="T507" s="53">
        <v>0.0</v>
      </c>
      <c r="U507" s="53">
        <v>0.0</v>
      </c>
      <c r="V507" s="53">
        <v>0.0</v>
      </c>
      <c r="W507" s="53">
        <v>1.0</v>
      </c>
      <c r="X507" s="53">
        <v>0.0</v>
      </c>
      <c r="Y507" s="53">
        <v>1.0</v>
      </c>
      <c r="Z507" s="53">
        <v>1.0</v>
      </c>
      <c r="AA507" s="53">
        <v>0.0</v>
      </c>
      <c r="AB507" s="53">
        <v>0.0</v>
      </c>
      <c r="AC507" s="53">
        <v>0.0</v>
      </c>
      <c r="AD507" s="53">
        <v>0.0</v>
      </c>
      <c r="AE507" s="53">
        <v>0.0</v>
      </c>
      <c r="AF507" s="53">
        <v>0.0</v>
      </c>
      <c r="AG507" s="53">
        <v>0.0</v>
      </c>
      <c r="AH507" s="53">
        <v>1.0</v>
      </c>
      <c r="AI507" s="53">
        <v>2.0</v>
      </c>
      <c r="AJ507" s="53">
        <v>0.0</v>
      </c>
      <c r="AK507" s="53">
        <v>0.0</v>
      </c>
      <c r="AL507" s="53">
        <v>0.0</v>
      </c>
      <c r="AM507" s="53">
        <v>0.0</v>
      </c>
      <c r="AN507" s="53">
        <v>1.0</v>
      </c>
      <c r="AO507" s="25">
        <v>18.0</v>
      </c>
      <c r="AP507" s="54"/>
      <c r="AQ507" s="54"/>
      <c r="AR507" s="54"/>
      <c r="AS507" s="54"/>
      <c r="AT507" s="54"/>
      <c r="AU507" s="54"/>
      <c r="AV507" s="54"/>
      <c r="AW507" s="53">
        <v>18.77</v>
      </c>
      <c r="AX507" s="54"/>
      <c r="AY507" s="54"/>
      <c r="AZ507" s="54"/>
      <c r="BA507" s="54"/>
      <c r="BB507" s="54"/>
      <c r="BC507" s="53">
        <v>12.13</v>
      </c>
      <c r="BD507" s="54"/>
      <c r="BE507" s="53">
        <v>16.07</v>
      </c>
      <c r="BF507" s="53">
        <v>19.03</v>
      </c>
      <c r="BG507" s="54"/>
      <c r="BH507" s="54"/>
      <c r="BI507" s="54"/>
      <c r="BJ507" s="54"/>
      <c r="BK507" s="54"/>
      <c r="BL507" s="54"/>
      <c r="BM507" s="54"/>
      <c r="BN507" s="53">
        <v>21.85</v>
      </c>
      <c r="BO507" s="53">
        <v>0.31</v>
      </c>
      <c r="BP507" s="53">
        <v>3.84</v>
      </c>
      <c r="BQ507" s="53">
        <v>4.19</v>
      </c>
      <c r="BR507" s="53">
        <v>7.82</v>
      </c>
      <c r="BS507" s="55">
        <v>3.45</v>
      </c>
      <c r="BT507" s="56">
        <v>20.6</v>
      </c>
      <c r="BU507" s="57">
        <v>0.6</v>
      </c>
      <c r="BV507" s="25">
        <v>9.58</v>
      </c>
      <c r="BW507" s="54"/>
      <c r="BX507" s="53">
        <v>3000.0</v>
      </c>
      <c r="BY507" s="53" t="s">
        <v>123</v>
      </c>
      <c r="BZ507" s="58">
        <v>2700.0</v>
      </c>
      <c r="CA507" s="29" t="s">
        <v>124</v>
      </c>
      <c r="CB507" s="30">
        <v>3000.0</v>
      </c>
      <c r="CC507" s="31"/>
      <c r="CD507" s="58">
        <v>3000.0</v>
      </c>
      <c r="CE507" s="59" t="e">
        <v>#REF!</v>
      </c>
      <c r="CF507" s="60"/>
      <c r="CG507" s="61">
        <v>0.0</v>
      </c>
      <c r="CH507" s="62">
        <v>0.0</v>
      </c>
      <c r="CI507" s="63">
        <v>8.0</v>
      </c>
      <c r="CJ507" s="63">
        <v>164.0</v>
      </c>
      <c r="CK507" s="64">
        <v>-35.0</v>
      </c>
      <c r="CL507" s="63">
        <v>129.0</v>
      </c>
      <c r="CM507" s="65">
        <v>144.0</v>
      </c>
      <c r="CN507" s="63">
        <v>0.0</v>
      </c>
      <c r="CO507" s="66">
        <v>18.0</v>
      </c>
      <c r="CP507" s="67">
        <v>0.0</v>
      </c>
      <c r="CQ507" s="63">
        <v>31.0</v>
      </c>
      <c r="CR507" s="63">
        <v>31.0</v>
      </c>
      <c r="CS507" s="63">
        <v>28.0</v>
      </c>
      <c r="CT507" s="68"/>
      <c r="CU507" s="69"/>
      <c r="CV507" s="70"/>
      <c r="CW507" s="71">
        <v>10.0</v>
      </c>
      <c r="CX507" s="71" t="s">
        <v>138</v>
      </c>
      <c r="CY507" s="71" t="s">
        <v>139</v>
      </c>
      <c r="CZ507" s="45"/>
      <c r="DA507" s="44">
        <v>3000.0</v>
      </c>
      <c r="DB507" s="44">
        <v>0.0</v>
      </c>
      <c r="DC507" s="43"/>
      <c r="DD507" s="78"/>
      <c r="DE507" s="43"/>
      <c r="DF507" s="43"/>
      <c r="DG507" s="48" t="s">
        <v>128</v>
      </c>
      <c r="DH507" s="48" t="s">
        <v>128</v>
      </c>
      <c r="DI507" s="48" t="s">
        <v>128</v>
      </c>
      <c r="DJ507" s="49">
        <v>0.0</v>
      </c>
      <c r="DK507" s="48" t="b">
        <v>0</v>
      </c>
      <c r="DL507" s="50" t="s">
        <v>1244</v>
      </c>
      <c r="DM507" s="50" t="s">
        <v>131</v>
      </c>
      <c r="DN507" s="50" t="s">
        <v>1245</v>
      </c>
      <c r="DO507" s="49">
        <v>0.07</v>
      </c>
      <c r="DP507" s="48" t="s">
        <v>128</v>
      </c>
      <c r="DQ507" s="48" t="s">
        <v>128</v>
      </c>
      <c r="DR507" s="51"/>
      <c r="DS507" s="48" t="s">
        <v>134</v>
      </c>
    </row>
    <row r="508">
      <c r="A508" s="23" t="s">
        <v>118</v>
      </c>
      <c r="B508" s="24">
        <v>4.0</v>
      </c>
      <c r="C508" s="23" t="s">
        <v>1123</v>
      </c>
      <c r="D508" s="24">
        <v>639495.0</v>
      </c>
      <c r="E508" s="23" t="s">
        <v>155</v>
      </c>
      <c r="F508" s="23" t="s">
        <v>1252</v>
      </c>
      <c r="G508" s="23" t="s">
        <v>1253</v>
      </c>
      <c r="H508" s="24">
        <v>77109.0</v>
      </c>
      <c r="I508" s="24">
        <v>5.0</v>
      </c>
      <c r="J508" s="24">
        <v>0.0</v>
      </c>
      <c r="K508" s="24">
        <v>0.0</v>
      </c>
      <c r="L508" s="24">
        <v>0.0</v>
      </c>
      <c r="M508" s="24">
        <v>0.0</v>
      </c>
      <c r="N508" s="24">
        <v>0.0</v>
      </c>
      <c r="O508" s="24">
        <v>0.0</v>
      </c>
      <c r="P508" s="24">
        <v>0.0</v>
      </c>
      <c r="Q508" s="24">
        <v>0.0</v>
      </c>
      <c r="R508" s="24">
        <v>0.0</v>
      </c>
      <c r="S508" s="24">
        <v>0.0</v>
      </c>
      <c r="T508" s="24">
        <v>0.0</v>
      </c>
      <c r="U508" s="24">
        <v>0.0</v>
      </c>
      <c r="V508" s="24">
        <v>0.0</v>
      </c>
      <c r="W508" s="24">
        <v>0.0</v>
      </c>
      <c r="X508" s="24">
        <v>0.0</v>
      </c>
      <c r="Y508" s="24">
        <v>0.0</v>
      </c>
      <c r="Z508" s="24">
        <v>0.0</v>
      </c>
      <c r="AA508" s="24">
        <v>0.0</v>
      </c>
      <c r="AB508" s="24">
        <v>1.0</v>
      </c>
      <c r="AC508" s="24">
        <v>0.0</v>
      </c>
      <c r="AD508" s="24">
        <v>1.0</v>
      </c>
      <c r="AE508" s="24">
        <v>1.0</v>
      </c>
      <c r="AF508" s="24">
        <v>2.0</v>
      </c>
      <c r="AG508" s="24">
        <v>0.0</v>
      </c>
      <c r="AH508" s="24">
        <v>0.0</v>
      </c>
      <c r="AI508" s="24">
        <v>0.0</v>
      </c>
      <c r="AJ508" s="24">
        <v>0.0</v>
      </c>
      <c r="AK508" s="24">
        <v>0.0</v>
      </c>
      <c r="AL508" s="24">
        <v>0.0</v>
      </c>
      <c r="AM508" s="24">
        <v>0.0</v>
      </c>
      <c r="AN508" s="24">
        <v>0.0</v>
      </c>
      <c r="AO508" s="25">
        <v>18.0</v>
      </c>
      <c r="AP508" s="26"/>
      <c r="AQ508" s="26"/>
      <c r="AR508" s="26"/>
      <c r="AS508" s="26"/>
      <c r="AT508" s="26"/>
      <c r="AU508" s="26"/>
      <c r="AV508" s="26"/>
      <c r="AW508" s="26"/>
      <c r="AX508" s="26"/>
      <c r="AY508" s="26"/>
      <c r="AZ508" s="26"/>
      <c r="BA508" s="26"/>
      <c r="BB508" s="26"/>
      <c r="BC508" s="26"/>
      <c r="BD508" s="26"/>
      <c r="BE508" s="26"/>
      <c r="BF508" s="26"/>
      <c r="BG508" s="26"/>
      <c r="BH508" s="24">
        <v>14.4</v>
      </c>
      <c r="BI508" s="26"/>
      <c r="BJ508" s="24">
        <v>21.78</v>
      </c>
      <c r="BK508" s="24">
        <v>13.43</v>
      </c>
      <c r="BL508" s="24">
        <v>20.28</v>
      </c>
      <c r="BM508" s="26"/>
      <c r="BN508" s="26"/>
      <c r="BO508" s="26"/>
      <c r="BP508" s="24">
        <v>4.79</v>
      </c>
      <c r="BQ508" s="24">
        <v>4.42</v>
      </c>
      <c r="BR508" s="24">
        <v>9.01</v>
      </c>
      <c r="BS508" s="55">
        <v>3.11</v>
      </c>
      <c r="BT508" s="77">
        <v>13.9</v>
      </c>
      <c r="BU508" s="57">
        <v>0.4</v>
      </c>
      <c r="BV508" s="57">
        <v>4.87</v>
      </c>
      <c r="BW508" s="26"/>
      <c r="BX508" s="24">
        <v>2400.0</v>
      </c>
      <c r="BY508" s="24" t="s">
        <v>123</v>
      </c>
      <c r="BZ508" s="28">
        <v>2400.0</v>
      </c>
      <c r="CA508" s="72"/>
      <c r="CB508" s="30">
        <v>2700.0</v>
      </c>
      <c r="CC508" s="31"/>
      <c r="CD508" s="28">
        <v>2700.0</v>
      </c>
      <c r="CE508" s="32" t="e">
        <v>#REF!</v>
      </c>
      <c r="CF508" s="73">
        <f>+300</f>
        <v>300</v>
      </c>
      <c r="CG508" s="74">
        <f>+1</f>
        <v>1</v>
      </c>
      <c r="CH508" s="35">
        <v>0.2</v>
      </c>
      <c r="CI508" s="36">
        <v>6.0</v>
      </c>
      <c r="CJ508" s="36">
        <v>164.0</v>
      </c>
      <c r="CK508" s="37">
        <v>-35.0</v>
      </c>
      <c r="CL508" s="36">
        <v>129.0</v>
      </c>
      <c r="CM508" s="38">
        <v>90.0</v>
      </c>
      <c r="CN508" s="36">
        <v>-16.0</v>
      </c>
      <c r="CO508" s="39">
        <v>17.7</v>
      </c>
      <c r="CP508" s="40">
        <v>-0.3</v>
      </c>
      <c r="CQ508" s="36">
        <v>24.0</v>
      </c>
      <c r="CR508" s="36">
        <v>29.0</v>
      </c>
      <c r="CS508" s="36">
        <v>19.0</v>
      </c>
      <c r="CT508" s="41"/>
      <c r="CU508" s="42"/>
      <c r="CV508" s="43"/>
      <c r="CW508" s="44">
        <v>9.0</v>
      </c>
      <c r="CX508" s="44" t="s">
        <v>143</v>
      </c>
      <c r="CY508" s="44" t="s">
        <v>144</v>
      </c>
      <c r="CZ508" s="76" t="s">
        <v>151</v>
      </c>
      <c r="DA508" s="44">
        <v>2700.0</v>
      </c>
      <c r="DB508" s="44">
        <v>0.0</v>
      </c>
      <c r="DC508" s="46" t="s">
        <v>127</v>
      </c>
      <c r="DD508" s="47">
        <v>46213.0</v>
      </c>
      <c r="DE508" s="43"/>
      <c r="DF508" s="43"/>
      <c r="DG508" s="48" t="s">
        <v>128</v>
      </c>
      <c r="DH508" s="48" t="s">
        <v>128</v>
      </c>
      <c r="DI508" s="48" t="s">
        <v>128</v>
      </c>
      <c r="DJ508" s="49">
        <v>1.0</v>
      </c>
      <c r="DK508" s="48" t="b">
        <v>1</v>
      </c>
      <c r="DL508" s="50" t="s">
        <v>1244</v>
      </c>
      <c r="DM508" s="50" t="s">
        <v>131</v>
      </c>
      <c r="DN508" s="50" t="s">
        <v>1245</v>
      </c>
      <c r="DO508" s="49">
        <v>0.07</v>
      </c>
      <c r="DP508" s="48" t="s">
        <v>128</v>
      </c>
      <c r="DQ508" s="48" t="s">
        <v>128</v>
      </c>
      <c r="DR508" s="51"/>
      <c r="DS508" s="48" t="s">
        <v>134</v>
      </c>
    </row>
    <row r="509">
      <c r="A509" s="52" t="s">
        <v>118</v>
      </c>
      <c r="B509" s="53">
        <v>4.0</v>
      </c>
      <c r="C509" s="52" t="s">
        <v>1123</v>
      </c>
      <c r="D509" s="53">
        <v>641645.0</v>
      </c>
      <c r="E509" s="52" t="s">
        <v>145</v>
      </c>
      <c r="F509" s="52" t="s">
        <v>1254</v>
      </c>
      <c r="G509" s="52" t="s">
        <v>1255</v>
      </c>
      <c r="H509" s="53">
        <v>77109.0</v>
      </c>
      <c r="I509" s="53">
        <v>4.0</v>
      </c>
      <c r="J509" s="53">
        <v>0.0</v>
      </c>
      <c r="K509" s="53">
        <v>0.0</v>
      </c>
      <c r="L509" s="53">
        <v>0.0</v>
      </c>
      <c r="M509" s="53">
        <v>0.0</v>
      </c>
      <c r="N509" s="53">
        <v>0.0</v>
      </c>
      <c r="O509" s="53">
        <v>0.0</v>
      </c>
      <c r="P509" s="53">
        <v>0.0</v>
      </c>
      <c r="Q509" s="53">
        <v>0.0</v>
      </c>
      <c r="R509" s="53">
        <v>0.0</v>
      </c>
      <c r="S509" s="53">
        <v>0.0</v>
      </c>
      <c r="T509" s="53">
        <v>0.0</v>
      </c>
      <c r="U509" s="53">
        <v>0.0</v>
      </c>
      <c r="V509" s="53">
        <v>0.0</v>
      </c>
      <c r="W509" s="53">
        <v>0.0</v>
      </c>
      <c r="X509" s="53">
        <v>0.0</v>
      </c>
      <c r="Y509" s="53">
        <v>1.0</v>
      </c>
      <c r="Z509" s="53">
        <v>1.0</v>
      </c>
      <c r="AA509" s="53">
        <v>0.0</v>
      </c>
      <c r="AB509" s="53">
        <v>0.0</v>
      </c>
      <c r="AC509" s="53">
        <v>0.0</v>
      </c>
      <c r="AD509" s="53">
        <v>1.0</v>
      </c>
      <c r="AE509" s="53">
        <v>0.0</v>
      </c>
      <c r="AF509" s="53">
        <v>0.0</v>
      </c>
      <c r="AG509" s="53">
        <v>1.0</v>
      </c>
      <c r="AH509" s="53">
        <v>0.0</v>
      </c>
      <c r="AI509" s="53">
        <v>0.0</v>
      </c>
      <c r="AJ509" s="53">
        <v>0.0</v>
      </c>
      <c r="AK509" s="53">
        <v>0.0</v>
      </c>
      <c r="AL509" s="53">
        <v>0.0</v>
      </c>
      <c r="AM509" s="53">
        <v>0.0</v>
      </c>
      <c r="AN509" s="53">
        <v>0.0</v>
      </c>
      <c r="AO509" s="25">
        <v>33.9</v>
      </c>
      <c r="AP509" s="54"/>
      <c r="AQ509" s="54"/>
      <c r="AR509" s="54"/>
      <c r="AS509" s="54"/>
      <c r="AT509" s="54"/>
      <c r="AU509" s="54"/>
      <c r="AV509" s="54"/>
      <c r="AW509" s="54"/>
      <c r="AX509" s="54"/>
      <c r="AY509" s="54"/>
      <c r="AZ509" s="54"/>
      <c r="BA509" s="54"/>
      <c r="BB509" s="54"/>
      <c r="BC509" s="54"/>
      <c r="BD509" s="54"/>
      <c r="BE509" s="53">
        <v>17.38</v>
      </c>
      <c r="BF509" s="53">
        <v>16.62</v>
      </c>
      <c r="BG509" s="54"/>
      <c r="BH509" s="54"/>
      <c r="BI509" s="54"/>
      <c r="BJ509" s="53">
        <v>21.92</v>
      </c>
      <c r="BK509" s="54"/>
      <c r="BL509" s="54"/>
      <c r="BM509" s="53">
        <v>79.62</v>
      </c>
      <c r="BN509" s="54"/>
      <c r="BO509" s="54"/>
      <c r="BP509" s="53">
        <v>18.04</v>
      </c>
      <c r="BQ509" s="53">
        <v>4.78</v>
      </c>
      <c r="BR509" s="53">
        <v>22.63</v>
      </c>
      <c r="BS509" s="57">
        <v>2.56</v>
      </c>
      <c r="BT509" s="56">
        <v>48.5</v>
      </c>
      <c r="BU509" s="55">
        <v>3.0</v>
      </c>
      <c r="BV509" s="25">
        <v>7.18</v>
      </c>
      <c r="BW509" s="54"/>
      <c r="BX509" s="53">
        <v>2400.0</v>
      </c>
      <c r="BY509" s="53" t="s">
        <v>123</v>
      </c>
      <c r="BZ509" s="58">
        <v>2100.0</v>
      </c>
      <c r="CA509" s="29" t="s">
        <v>124</v>
      </c>
      <c r="CB509" s="30">
        <v>2400.0</v>
      </c>
      <c r="CC509" s="31"/>
      <c r="CD509" s="58">
        <v>2400.0</v>
      </c>
      <c r="CE509" s="59" t="e">
        <v>#REF!</v>
      </c>
      <c r="CF509" s="60"/>
      <c r="CG509" s="61">
        <v>0.0</v>
      </c>
      <c r="CH509" s="62">
        <v>0.0</v>
      </c>
      <c r="CI509" s="63">
        <v>4.0</v>
      </c>
      <c r="CJ509" s="63">
        <v>164.0</v>
      </c>
      <c r="CK509" s="64">
        <v>-35.0</v>
      </c>
      <c r="CL509" s="63">
        <v>129.0</v>
      </c>
      <c r="CM509" s="65">
        <v>136.0</v>
      </c>
      <c r="CN509" s="63">
        <v>0.0</v>
      </c>
      <c r="CO509" s="66">
        <v>33.9</v>
      </c>
      <c r="CP509" s="67">
        <v>0.0</v>
      </c>
      <c r="CQ509" s="63">
        <v>72.0</v>
      </c>
      <c r="CR509" s="63">
        <v>72.0</v>
      </c>
      <c r="CS509" s="63">
        <v>10.0</v>
      </c>
      <c r="CT509" s="68"/>
      <c r="CU509" s="69"/>
      <c r="CV509" s="70"/>
      <c r="CW509" s="71">
        <v>8.0</v>
      </c>
      <c r="CX509" s="71" t="s">
        <v>125</v>
      </c>
      <c r="CY509" s="71" t="s">
        <v>126</v>
      </c>
      <c r="CZ509" s="45"/>
      <c r="DA509" s="44">
        <v>2400.0</v>
      </c>
      <c r="DB509" s="44">
        <v>0.0</v>
      </c>
      <c r="DC509" s="43"/>
      <c r="DD509" s="78"/>
      <c r="DE509" s="43"/>
      <c r="DF509" s="43"/>
      <c r="DG509" s="48" t="s">
        <v>128</v>
      </c>
      <c r="DH509" s="48" t="s">
        <v>128</v>
      </c>
      <c r="DI509" s="48" t="s">
        <v>128</v>
      </c>
      <c r="DJ509" s="49">
        <v>0.0</v>
      </c>
      <c r="DK509" s="48" t="b">
        <v>0</v>
      </c>
      <c r="DL509" s="50" t="s">
        <v>1244</v>
      </c>
      <c r="DM509" s="50" t="s">
        <v>131</v>
      </c>
      <c r="DN509" s="50" t="s">
        <v>1245</v>
      </c>
      <c r="DO509" s="49">
        <v>0.07</v>
      </c>
      <c r="DP509" s="48" t="s">
        <v>128</v>
      </c>
      <c r="DQ509" s="48" t="s">
        <v>128</v>
      </c>
      <c r="DR509" s="51"/>
      <c r="DS509" s="48" t="s">
        <v>134</v>
      </c>
    </row>
    <row r="510">
      <c r="A510" s="23" t="s">
        <v>118</v>
      </c>
      <c r="B510" s="24">
        <v>4.0</v>
      </c>
      <c r="C510" s="23" t="s">
        <v>1123</v>
      </c>
      <c r="D510" s="24">
        <v>627274.0</v>
      </c>
      <c r="E510" s="23" t="s">
        <v>173</v>
      </c>
      <c r="F510" s="23" t="s">
        <v>1256</v>
      </c>
      <c r="G510" s="23" t="s">
        <v>1257</v>
      </c>
      <c r="H510" s="24">
        <v>77109.0</v>
      </c>
      <c r="I510" s="24">
        <v>3.0</v>
      </c>
      <c r="J510" s="24">
        <v>0.0</v>
      </c>
      <c r="K510" s="24">
        <v>0.0</v>
      </c>
      <c r="L510" s="24">
        <v>0.0</v>
      </c>
      <c r="M510" s="24">
        <v>0.0</v>
      </c>
      <c r="N510" s="24">
        <v>0.0</v>
      </c>
      <c r="O510" s="24">
        <v>0.0</v>
      </c>
      <c r="P510" s="24">
        <v>0.0</v>
      </c>
      <c r="Q510" s="24">
        <v>0.0</v>
      </c>
      <c r="R510" s="24">
        <v>0.0</v>
      </c>
      <c r="S510" s="24">
        <v>0.0</v>
      </c>
      <c r="T510" s="24">
        <v>1.0</v>
      </c>
      <c r="U510" s="24">
        <v>0.0</v>
      </c>
      <c r="V510" s="24">
        <v>0.0</v>
      </c>
      <c r="W510" s="24">
        <v>0.0</v>
      </c>
      <c r="X510" s="24">
        <v>0.0</v>
      </c>
      <c r="Y510" s="24">
        <v>0.0</v>
      </c>
      <c r="Z510" s="24">
        <v>0.0</v>
      </c>
      <c r="AA510" s="24">
        <v>1.0</v>
      </c>
      <c r="AB510" s="24">
        <v>0.0</v>
      </c>
      <c r="AC510" s="24">
        <v>1.0</v>
      </c>
      <c r="AD510" s="24">
        <v>0.0</v>
      </c>
      <c r="AE510" s="24">
        <v>0.0</v>
      </c>
      <c r="AF510" s="24">
        <v>0.0</v>
      </c>
      <c r="AG510" s="24">
        <v>0.0</v>
      </c>
      <c r="AH510" s="24">
        <v>0.0</v>
      </c>
      <c r="AI510" s="24">
        <v>0.0</v>
      </c>
      <c r="AJ510" s="24">
        <v>0.0</v>
      </c>
      <c r="AK510" s="24">
        <v>0.0</v>
      </c>
      <c r="AL510" s="24">
        <v>0.0</v>
      </c>
      <c r="AM510" s="24">
        <v>0.0</v>
      </c>
      <c r="AN510" s="24">
        <v>0.0</v>
      </c>
      <c r="AO510" s="55">
        <v>15.9</v>
      </c>
      <c r="AP510" s="26"/>
      <c r="AQ510" s="26"/>
      <c r="AR510" s="26"/>
      <c r="AS510" s="26"/>
      <c r="AT510" s="26"/>
      <c r="AU510" s="26"/>
      <c r="AV510" s="26"/>
      <c r="AW510" s="26"/>
      <c r="AX510" s="26"/>
      <c r="AY510" s="26"/>
      <c r="AZ510" s="24">
        <v>13.95</v>
      </c>
      <c r="BA510" s="26"/>
      <c r="BB510" s="26"/>
      <c r="BC510" s="26"/>
      <c r="BD510" s="26"/>
      <c r="BE510" s="26"/>
      <c r="BF510" s="26"/>
      <c r="BG510" s="24">
        <v>13.62</v>
      </c>
      <c r="BH510" s="26"/>
      <c r="BI510" s="24">
        <v>20.22</v>
      </c>
      <c r="BJ510" s="26"/>
      <c r="BK510" s="26"/>
      <c r="BL510" s="26"/>
      <c r="BM510" s="26"/>
      <c r="BN510" s="26"/>
      <c r="BO510" s="26"/>
      <c r="BP510" s="24">
        <v>3.81</v>
      </c>
      <c r="BQ510" s="24">
        <v>5.2</v>
      </c>
      <c r="BR510" s="24">
        <v>8.81</v>
      </c>
      <c r="BS510" s="57">
        <v>1.94</v>
      </c>
      <c r="BT510" s="27"/>
      <c r="BU510" s="26"/>
      <c r="BV510" s="26"/>
      <c r="BW510" s="26"/>
      <c r="BX510" s="24">
        <v>2700.0</v>
      </c>
      <c r="BY510" s="23" t="s">
        <v>123</v>
      </c>
      <c r="BZ510" s="28">
        <v>3000.0</v>
      </c>
      <c r="CA510" s="92" t="s">
        <v>151</v>
      </c>
      <c r="CB510" s="30">
        <v>3000.0</v>
      </c>
      <c r="CC510" s="31"/>
      <c r="CD510" s="28">
        <v>3000.0</v>
      </c>
      <c r="CE510" s="32" t="e">
        <v>#REF!</v>
      </c>
      <c r="CF510" s="73">
        <f>+300</f>
        <v>300</v>
      </c>
      <c r="CG510" s="74">
        <f>+1</f>
        <v>1</v>
      </c>
      <c r="CH510" s="35">
        <v>0.33</v>
      </c>
      <c r="CI510" s="36">
        <v>4.0</v>
      </c>
      <c r="CJ510" s="36">
        <v>164.0</v>
      </c>
      <c r="CK510" s="37">
        <v>-35.0</v>
      </c>
      <c r="CL510" s="36">
        <v>129.0</v>
      </c>
      <c r="CM510" s="38">
        <v>48.0</v>
      </c>
      <c r="CN510" s="36">
        <v>-9.0</v>
      </c>
      <c r="CO510" s="39">
        <v>14.2</v>
      </c>
      <c r="CP510" s="40">
        <v>-1.7</v>
      </c>
      <c r="CQ510" s="36">
        <v>11.0</v>
      </c>
      <c r="CR510" s="36">
        <v>15.0</v>
      </c>
      <c r="CS510" s="36">
        <v>8.0</v>
      </c>
      <c r="CT510" s="41"/>
      <c r="CU510" s="42"/>
      <c r="CV510" s="43"/>
      <c r="CW510" s="44">
        <v>10.0</v>
      </c>
      <c r="CX510" s="44" t="s">
        <v>138</v>
      </c>
      <c r="CY510" s="44" t="s">
        <v>139</v>
      </c>
      <c r="CZ510" s="76" t="s">
        <v>151</v>
      </c>
      <c r="DA510" s="44">
        <v>3000.0</v>
      </c>
      <c r="DB510" s="44">
        <v>0.0</v>
      </c>
      <c r="DC510" s="46" t="s">
        <v>127</v>
      </c>
      <c r="DD510" s="47">
        <v>46240.0</v>
      </c>
      <c r="DE510" s="43"/>
      <c r="DF510" s="43"/>
      <c r="DG510" s="48" t="s">
        <v>128</v>
      </c>
      <c r="DH510" s="48" t="s">
        <v>128</v>
      </c>
      <c r="DI510" s="48" t="s">
        <v>129</v>
      </c>
      <c r="DJ510" s="49">
        <v>1.0</v>
      </c>
      <c r="DK510" s="48" t="b">
        <v>0</v>
      </c>
      <c r="DL510" s="50" t="s">
        <v>1244</v>
      </c>
      <c r="DM510" s="50" t="s">
        <v>131</v>
      </c>
      <c r="DN510" s="50" t="s">
        <v>1245</v>
      </c>
      <c r="DO510" s="49">
        <v>0.07</v>
      </c>
      <c r="DP510" s="48" t="s">
        <v>128</v>
      </c>
      <c r="DQ510" s="48" t="s">
        <v>133</v>
      </c>
      <c r="DR510" s="51"/>
      <c r="DS510" s="48" t="s">
        <v>134</v>
      </c>
    </row>
    <row r="511">
      <c r="A511" s="52" t="s">
        <v>118</v>
      </c>
      <c r="B511" s="53">
        <v>4.0</v>
      </c>
      <c r="C511" s="52" t="s">
        <v>1123</v>
      </c>
      <c r="D511" s="53">
        <v>558730.0</v>
      </c>
      <c r="E511" s="52" t="s">
        <v>148</v>
      </c>
      <c r="F511" s="52" t="s">
        <v>1258</v>
      </c>
      <c r="G511" s="52" t="s">
        <v>1259</v>
      </c>
      <c r="H511" s="53">
        <v>77109.0</v>
      </c>
      <c r="I511" s="53">
        <v>1.0</v>
      </c>
      <c r="J511" s="53">
        <v>0.0</v>
      </c>
      <c r="K511" s="53">
        <v>0.0</v>
      </c>
      <c r="L511" s="53">
        <v>0.0</v>
      </c>
      <c r="M511" s="53">
        <v>0.0</v>
      </c>
      <c r="N511" s="53">
        <v>0.0</v>
      </c>
      <c r="O511" s="53">
        <v>0.0</v>
      </c>
      <c r="P511" s="53">
        <v>0.0</v>
      </c>
      <c r="Q511" s="53">
        <v>0.0</v>
      </c>
      <c r="R511" s="53">
        <v>0.0</v>
      </c>
      <c r="S511" s="53">
        <v>0.0</v>
      </c>
      <c r="T511" s="53">
        <v>0.0</v>
      </c>
      <c r="U511" s="53">
        <v>0.0</v>
      </c>
      <c r="V511" s="53">
        <v>0.0</v>
      </c>
      <c r="W511" s="53">
        <v>0.0</v>
      </c>
      <c r="X511" s="53">
        <v>0.0</v>
      </c>
      <c r="Y511" s="53">
        <v>0.0</v>
      </c>
      <c r="Z511" s="53">
        <v>0.0</v>
      </c>
      <c r="AA511" s="53">
        <v>0.0</v>
      </c>
      <c r="AB511" s="53">
        <v>0.0</v>
      </c>
      <c r="AC511" s="53">
        <v>0.0</v>
      </c>
      <c r="AD511" s="53">
        <v>0.0</v>
      </c>
      <c r="AE511" s="53">
        <v>0.0</v>
      </c>
      <c r="AF511" s="53">
        <v>0.0</v>
      </c>
      <c r="AG511" s="53">
        <v>0.0</v>
      </c>
      <c r="AH511" s="53">
        <v>0.0</v>
      </c>
      <c r="AI511" s="53">
        <v>0.0</v>
      </c>
      <c r="AJ511" s="53">
        <v>0.0</v>
      </c>
      <c r="AK511" s="53">
        <v>0.0</v>
      </c>
      <c r="AL511" s="53">
        <v>0.0</v>
      </c>
      <c r="AM511" s="53">
        <v>1.0</v>
      </c>
      <c r="AN511" s="53">
        <v>0.0</v>
      </c>
      <c r="AO511" s="25">
        <v>19.4</v>
      </c>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3">
        <v>0.32</v>
      </c>
      <c r="BP511" s="53">
        <v>0.92</v>
      </c>
      <c r="BQ511" s="53">
        <v>5.88</v>
      </c>
      <c r="BR511" s="53">
        <v>6.6</v>
      </c>
      <c r="BS511" s="57">
        <v>1.85</v>
      </c>
      <c r="BT511" s="81"/>
      <c r="BU511" s="54"/>
      <c r="BV511" s="54"/>
      <c r="BW511" s="54"/>
      <c r="BX511" s="53">
        <v>3000.0</v>
      </c>
      <c r="BY511" s="53" t="s">
        <v>123</v>
      </c>
      <c r="BZ511" s="58">
        <v>3000.0</v>
      </c>
      <c r="CA511" s="72"/>
      <c r="CB511" s="30">
        <v>3000.0</v>
      </c>
      <c r="CC511" s="31"/>
      <c r="CD511" s="58">
        <v>3000.0</v>
      </c>
      <c r="CE511" s="59" t="e">
        <v>#REF!</v>
      </c>
      <c r="CF511" s="60"/>
      <c r="CG511" s="61">
        <v>0.0</v>
      </c>
      <c r="CH511" s="62">
        <v>0.0</v>
      </c>
      <c r="CI511" s="63">
        <v>1.0</v>
      </c>
      <c r="CJ511" s="63">
        <v>164.0</v>
      </c>
      <c r="CK511" s="64">
        <v>-35.0</v>
      </c>
      <c r="CL511" s="63">
        <v>129.0</v>
      </c>
      <c r="CM511" s="65">
        <v>19.0</v>
      </c>
      <c r="CN511" s="63">
        <v>0.0</v>
      </c>
      <c r="CO511" s="66">
        <v>19.4</v>
      </c>
      <c r="CP511" s="67">
        <v>0.0</v>
      </c>
      <c r="CQ511" s="63">
        <v>1.0</v>
      </c>
      <c r="CR511" s="63">
        <v>1.0</v>
      </c>
      <c r="CS511" s="63">
        <v>2.0</v>
      </c>
      <c r="CT511" s="68"/>
      <c r="CU511" s="69"/>
      <c r="CV511" s="70"/>
      <c r="CW511" s="71">
        <v>10.0</v>
      </c>
      <c r="CX511" s="71" t="s">
        <v>138</v>
      </c>
      <c r="CY511" s="71" t="s">
        <v>139</v>
      </c>
      <c r="CZ511" s="45"/>
      <c r="DA511" s="44">
        <v>3000.0</v>
      </c>
      <c r="DB511" s="44">
        <v>0.0</v>
      </c>
      <c r="DC511" s="46" t="s">
        <v>127</v>
      </c>
      <c r="DD511" s="47">
        <v>46228.0</v>
      </c>
      <c r="DE511" s="43"/>
      <c r="DF511" s="43"/>
      <c r="DG511" s="48" t="s">
        <v>128</v>
      </c>
      <c r="DH511" s="48" t="s">
        <v>128</v>
      </c>
      <c r="DI511" s="48" t="s">
        <v>129</v>
      </c>
      <c r="DJ511" s="49">
        <v>0.0</v>
      </c>
      <c r="DK511" s="48" t="b">
        <v>0</v>
      </c>
      <c r="DL511" s="50" t="s">
        <v>1244</v>
      </c>
      <c r="DM511" s="50" t="s">
        <v>131</v>
      </c>
      <c r="DN511" s="50" t="s">
        <v>1245</v>
      </c>
      <c r="DO511" s="49">
        <v>0.07</v>
      </c>
      <c r="DP511" s="48" t="s">
        <v>128</v>
      </c>
      <c r="DQ511" s="48" t="s">
        <v>133</v>
      </c>
      <c r="DR511" s="51"/>
      <c r="DS511" s="48" t="s">
        <v>134</v>
      </c>
    </row>
    <row r="512">
      <c r="A512" s="23" t="s">
        <v>118</v>
      </c>
      <c r="B512" s="24">
        <v>4.0</v>
      </c>
      <c r="C512" s="23" t="s">
        <v>1123</v>
      </c>
      <c r="D512" s="24">
        <v>588071.0</v>
      </c>
      <c r="E512" s="23" t="s">
        <v>152</v>
      </c>
      <c r="F512" s="23" t="s">
        <v>1260</v>
      </c>
      <c r="G512" s="23" t="s">
        <v>1261</v>
      </c>
      <c r="H512" s="24">
        <v>77109.0</v>
      </c>
      <c r="I512" s="24">
        <v>1.0</v>
      </c>
      <c r="J512" s="24">
        <v>0.0</v>
      </c>
      <c r="K512" s="24">
        <v>0.0</v>
      </c>
      <c r="L512" s="24">
        <v>0.0</v>
      </c>
      <c r="M512" s="24">
        <v>0.0</v>
      </c>
      <c r="N512" s="24">
        <v>0.0</v>
      </c>
      <c r="O512" s="24">
        <v>0.0</v>
      </c>
      <c r="P512" s="24">
        <v>0.0</v>
      </c>
      <c r="Q512" s="24">
        <v>0.0</v>
      </c>
      <c r="R512" s="24">
        <v>0.0</v>
      </c>
      <c r="S512" s="24">
        <v>0.0</v>
      </c>
      <c r="T512" s="24">
        <v>0.0</v>
      </c>
      <c r="U512" s="24">
        <v>0.0</v>
      </c>
      <c r="V512" s="24">
        <v>0.0</v>
      </c>
      <c r="W512" s="24">
        <v>0.0</v>
      </c>
      <c r="X512" s="24">
        <v>0.0</v>
      </c>
      <c r="Y512" s="24">
        <v>1.0</v>
      </c>
      <c r="Z512" s="24">
        <v>0.0</v>
      </c>
      <c r="AA512" s="24">
        <v>0.0</v>
      </c>
      <c r="AB512" s="24">
        <v>0.0</v>
      </c>
      <c r="AC512" s="24">
        <v>0.0</v>
      </c>
      <c r="AD512" s="24">
        <v>0.0</v>
      </c>
      <c r="AE512" s="24">
        <v>0.0</v>
      </c>
      <c r="AF512" s="24">
        <v>0.0</v>
      </c>
      <c r="AG512" s="24">
        <v>0.0</v>
      </c>
      <c r="AH512" s="24">
        <v>0.0</v>
      </c>
      <c r="AI512" s="24">
        <v>0.0</v>
      </c>
      <c r="AJ512" s="24">
        <v>0.0</v>
      </c>
      <c r="AK512" s="24">
        <v>0.0</v>
      </c>
      <c r="AL512" s="24">
        <v>0.0</v>
      </c>
      <c r="AM512" s="24">
        <v>0.0</v>
      </c>
      <c r="AN512" s="24">
        <v>0.0</v>
      </c>
      <c r="AO512" s="25">
        <v>18.8</v>
      </c>
      <c r="AP512" s="26"/>
      <c r="AQ512" s="26"/>
      <c r="AR512" s="26"/>
      <c r="AS512" s="26"/>
      <c r="AT512" s="26"/>
      <c r="AU512" s="26"/>
      <c r="AV512" s="26"/>
      <c r="AW512" s="26"/>
      <c r="AX512" s="26"/>
      <c r="AY512" s="26"/>
      <c r="AZ512" s="26"/>
      <c r="BA512" s="26"/>
      <c r="BB512" s="26"/>
      <c r="BC512" s="26"/>
      <c r="BD512" s="26"/>
      <c r="BE512" s="24">
        <v>18.8</v>
      </c>
      <c r="BF512" s="26"/>
      <c r="BG512" s="26"/>
      <c r="BH512" s="26"/>
      <c r="BI512" s="26"/>
      <c r="BJ512" s="26"/>
      <c r="BK512" s="26"/>
      <c r="BL512" s="26"/>
      <c r="BM512" s="26"/>
      <c r="BN512" s="26"/>
      <c r="BO512" s="26"/>
      <c r="BP512" s="24">
        <v>0.7</v>
      </c>
      <c r="BQ512" s="24">
        <v>12.37</v>
      </c>
      <c r="BR512" s="24">
        <v>12.87</v>
      </c>
      <c r="BS512" s="57">
        <v>0.58</v>
      </c>
      <c r="BT512" s="27"/>
      <c r="BU512" s="26"/>
      <c r="BV512" s="26"/>
      <c r="BW512" s="26"/>
      <c r="BX512" s="24">
        <v>2700.0</v>
      </c>
      <c r="BY512" s="24" t="s">
        <v>123</v>
      </c>
      <c r="BZ512" s="28">
        <v>2700.0</v>
      </c>
      <c r="CA512" s="72"/>
      <c r="CB512" s="30">
        <v>2700.0</v>
      </c>
      <c r="CC512" s="31"/>
      <c r="CD512" s="28">
        <v>2700.0</v>
      </c>
      <c r="CE512" s="32" t="e">
        <v>#REF!</v>
      </c>
      <c r="CF512" s="33"/>
      <c r="CG512" s="34">
        <v>0.0</v>
      </c>
      <c r="CH512" s="35">
        <v>0.0</v>
      </c>
      <c r="CI512" s="36">
        <v>1.0</v>
      </c>
      <c r="CJ512" s="36">
        <v>164.0</v>
      </c>
      <c r="CK512" s="37">
        <v>-35.0</v>
      </c>
      <c r="CL512" s="36">
        <v>129.0</v>
      </c>
      <c r="CM512" s="38">
        <v>19.0</v>
      </c>
      <c r="CN512" s="36">
        <v>0.0</v>
      </c>
      <c r="CO512" s="39">
        <v>18.8</v>
      </c>
      <c r="CP512" s="40">
        <v>0.0</v>
      </c>
      <c r="CQ512" s="36">
        <v>1.0</v>
      </c>
      <c r="CR512" s="36">
        <v>1.0</v>
      </c>
      <c r="CS512" s="36">
        <v>1.0</v>
      </c>
      <c r="CT512" s="41"/>
      <c r="CU512" s="42"/>
      <c r="CV512" s="43"/>
      <c r="CW512" s="44">
        <v>9.0</v>
      </c>
      <c r="CX512" s="44" t="s">
        <v>143</v>
      </c>
      <c r="CY512" s="44" t="s">
        <v>144</v>
      </c>
      <c r="CZ512" s="45"/>
      <c r="DA512" s="44">
        <v>2700.0</v>
      </c>
      <c r="DB512" s="44">
        <v>0.0</v>
      </c>
      <c r="DC512" s="43"/>
      <c r="DD512" s="78"/>
      <c r="DE512" s="43"/>
      <c r="DF512" s="43"/>
      <c r="DG512" s="48" t="s">
        <v>128</v>
      </c>
      <c r="DH512" s="48" t="s">
        <v>128</v>
      </c>
      <c r="DI512" s="48" t="s">
        <v>129</v>
      </c>
      <c r="DJ512" s="49">
        <v>1.0</v>
      </c>
      <c r="DK512" s="48" t="b">
        <v>0</v>
      </c>
      <c r="DL512" s="50" t="s">
        <v>1244</v>
      </c>
      <c r="DM512" s="50" t="s">
        <v>131</v>
      </c>
      <c r="DN512" s="50" t="s">
        <v>1245</v>
      </c>
      <c r="DO512" s="49">
        <v>0.07</v>
      </c>
      <c r="DP512" s="48" t="s">
        <v>128</v>
      </c>
      <c r="DQ512" s="48" t="s">
        <v>133</v>
      </c>
      <c r="DR512" s="51"/>
      <c r="DS512" s="48" t="s">
        <v>134</v>
      </c>
    </row>
    <row r="513">
      <c r="A513" s="52" t="s">
        <v>118</v>
      </c>
      <c r="B513" s="53">
        <v>4.0</v>
      </c>
      <c r="C513" s="52" t="s">
        <v>1123</v>
      </c>
      <c r="D513" s="53">
        <v>648801.0</v>
      </c>
      <c r="E513" s="52" t="s">
        <v>198</v>
      </c>
      <c r="F513" s="52" t="s">
        <v>1262</v>
      </c>
      <c r="G513" s="52" t="s">
        <v>1263</v>
      </c>
      <c r="H513" s="53">
        <v>77109.0</v>
      </c>
      <c r="I513" s="53">
        <v>1.0</v>
      </c>
      <c r="J513" s="53">
        <v>0.0</v>
      </c>
      <c r="K513" s="53">
        <v>0.0</v>
      </c>
      <c r="L513" s="53">
        <v>0.0</v>
      </c>
      <c r="M513" s="53">
        <v>0.0</v>
      </c>
      <c r="N513" s="53">
        <v>0.0</v>
      </c>
      <c r="O513" s="53">
        <v>0.0</v>
      </c>
      <c r="P513" s="53">
        <v>0.0</v>
      </c>
      <c r="Q513" s="53">
        <v>0.0</v>
      </c>
      <c r="R513" s="53">
        <v>0.0</v>
      </c>
      <c r="S513" s="53">
        <v>0.0</v>
      </c>
      <c r="T513" s="53">
        <v>0.0</v>
      </c>
      <c r="U513" s="53">
        <v>0.0</v>
      </c>
      <c r="V513" s="53">
        <v>0.0</v>
      </c>
      <c r="W513" s="53">
        <v>0.0</v>
      </c>
      <c r="X513" s="53">
        <v>0.0</v>
      </c>
      <c r="Y513" s="53">
        <v>0.0</v>
      </c>
      <c r="Z513" s="53">
        <v>0.0</v>
      </c>
      <c r="AA513" s="53">
        <v>0.0</v>
      </c>
      <c r="AB513" s="53">
        <v>0.0</v>
      </c>
      <c r="AC513" s="53">
        <v>1.0</v>
      </c>
      <c r="AD513" s="53">
        <v>0.0</v>
      </c>
      <c r="AE513" s="53">
        <v>0.0</v>
      </c>
      <c r="AF513" s="53">
        <v>0.0</v>
      </c>
      <c r="AG513" s="53">
        <v>0.0</v>
      </c>
      <c r="AH513" s="53">
        <v>0.0</v>
      </c>
      <c r="AI513" s="53">
        <v>0.0</v>
      </c>
      <c r="AJ513" s="53">
        <v>0.0</v>
      </c>
      <c r="AK513" s="53">
        <v>0.0</v>
      </c>
      <c r="AL513" s="53">
        <v>0.0</v>
      </c>
      <c r="AM513" s="53">
        <v>0.0</v>
      </c>
      <c r="AN513" s="53">
        <v>0.0</v>
      </c>
      <c r="AO513" s="25">
        <v>22.0</v>
      </c>
      <c r="AP513" s="54"/>
      <c r="AQ513" s="54"/>
      <c r="AR513" s="54"/>
      <c r="AS513" s="54"/>
      <c r="AT513" s="54"/>
      <c r="AU513" s="54"/>
      <c r="AV513" s="54"/>
      <c r="AW513" s="54"/>
      <c r="AX513" s="54"/>
      <c r="AY513" s="54"/>
      <c r="AZ513" s="54"/>
      <c r="BA513" s="54"/>
      <c r="BB513" s="54"/>
      <c r="BC513" s="54"/>
      <c r="BD513" s="54"/>
      <c r="BE513" s="54"/>
      <c r="BF513" s="54"/>
      <c r="BG513" s="54"/>
      <c r="BH513" s="54"/>
      <c r="BI513" s="53">
        <v>21.98</v>
      </c>
      <c r="BJ513" s="54"/>
      <c r="BK513" s="54"/>
      <c r="BL513" s="54"/>
      <c r="BM513" s="54"/>
      <c r="BN513" s="54"/>
      <c r="BO513" s="54"/>
      <c r="BP513" s="53">
        <v>2.33</v>
      </c>
      <c r="BQ513" s="53">
        <v>8.67</v>
      </c>
      <c r="BR513" s="53">
        <v>10.8</v>
      </c>
      <c r="BS513" s="57">
        <v>0.4</v>
      </c>
      <c r="BT513" s="81"/>
      <c r="BU513" s="54"/>
      <c r="BV513" s="54"/>
      <c r="BW513" s="54"/>
      <c r="BX513" s="53">
        <v>2400.0</v>
      </c>
      <c r="BY513" s="53" t="s">
        <v>123</v>
      </c>
      <c r="BZ513" s="58">
        <v>2100.0</v>
      </c>
      <c r="CA513" s="29" t="s">
        <v>124</v>
      </c>
      <c r="CB513" s="30">
        <v>2400.0</v>
      </c>
      <c r="CC513" s="31"/>
      <c r="CD513" s="58">
        <v>2400.0</v>
      </c>
      <c r="CE513" s="59" t="e">
        <v>#REF!</v>
      </c>
      <c r="CF513" s="60"/>
      <c r="CG513" s="61">
        <v>0.0</v>
      </c>
      <c r="CH513" s="62">
        <v>0.0</v>
      </c>
      <c r="CI513" s="63">
        <v>1.0</v>
      </c>
      <c r="CJ513" s="63">
        <v>164.0</v>
      </c>
      <c r="CK513" s="64">
        <v>-35.0</v>
      </c>
      <c r="CL513" s="63">
        <v>129.0</v>
      </c>
      <c r="CM513" s="65">
        <v>22.0</v>
      </c>
      <c r="CN513" s="63">
        <v>0.0</v>
      </c>
      <c r="CO513" s="66">
        <v>22.0</v>
      </c>
      <c r="CP513" s="67">
        <v>0.0</v>
      </c>
      <c r="CQ513" s="63">
        <v>2.0</v>
      </c>
      <c r="CR513" s="63">
        <v>2.0</v>
      </c>
      <c r="CS513" s="63">
        <v>0.0</v>
      </c>
      <c r="CT513" s="68"/>
      <c r="CU513" s="69"/>
      <c r="CV513" s="70"/>
      <c r="CW513" s="71">
        <v>8.0</v>
      </c>
      <c r="CX513" s="71" t="s">
        <v>125</v>
      </c>
      <c r="CY513" s="71" t="s">
        <v>126</v>
      </c>
      <c r="CZ513" s="45"/>
      <c r="DA513" s="44">
        <v>2400.0</v>
      </c>
      <c r="DB513" s="44">
        <v>0.0</v>
      </c>
      <c r="DC513" s="43"/>
      <c r="DD513" s="78"/>
      <c r="DE513" s="43"/>
      <c r="DF513" s="43"/>
      <c r="DG513" s="48" t="s">
        <v>128</v>
      </c>
      <c r="DH513" s="48" t="s">
        <v>128</v>
      </c>
      <c r="DI513" s="48" t="s">
        <v>129</v>
      </c>
      <c r="DJ513" s="49">
        <v>1.0</v>
      </c>
      <c r="DK513" s="48" t="b">
        <v>0</v>
      </c>
      <c r="DL513" s="50" t="s">
        <v>1244</v>
      </c>
      <c r="DM513" s="50" t="s">
        <v>131</v>
      </c>
      <c r="DN513" s="50" t="s">
        <v>1245</v>
      </c>
      <c r="DO513" s="49">
        <v>0.07</v>
      </c>
      <c r="DP513" s="48" t="s">
        <v>128</v>
      </c>
      <c r="DQ513" s="48" t="s">
        <v>133</v>
      </c>
      <c r="DR513" s="51"/>
      <c r="DS513" s="48" t="s">
        <v>134</v>
      </c>
    </row>
    <row r="514">
      <c r="A514" s="23" t="s">
        <v>118</v>
      </c>
      <c r="B514" s="24">
        <v>4.0</v>
      </c>
      <c r="C514" s="23" t="s">
        <v>1123</v>
      </c>
      <c r="D514" s="24">
        <v>680603.0</v>
      </c>
      <c r="E514" s="23" t="s">
        <v>182</v>
      </c>
      <c r="F514" s="23" t="s">
        <v>1264</v>
      </c>
      <c r="G514" s="23" t="s">
        <v>1265</v>
      </c>
      <c r="H514" s="24">
        <v>77109.0</v>
      </c>
      <c r="I514" s="24">
        <v>1.0</v>
      </c>
      <c r="J514" s="24">
        <v>0.0</v>
      </c>
      <c r="K514" s="24">
        <v>0.0</v>
      </c>
      <c r="L514" s="24">
        <v>0.0</v>
      </c>
      <c r="M514" s="24">
        <v>0.0</v>
      </c>
      <c r="N514" s="24">
        <v>0.0</v>
      </c>
      <c r="O514" s="24">
        <v>0.0</v>
      </c>
      <c r="P514" s="24">
        <v>0.0</v>
      </c>
      <c r="Q514" s="24">
        <v>0.0</v>
      </c>
      <c r="R514" s="24">
        <v>0.0</v>
      </c>
      <c r="S514" s="24">
        <v>0.0</v>
      </c>
      <c r="T514" s="24">
        <v>0.0</v>
      </c>
      <c r="U514" s="24">
        <v>0.0</v>
      </c>
      <c r="V514" s="24">
        <v>0.0</v>
      </c>
      <c r="W514" s="24">
        <v>0.0</v>
      </c>
      <c r="X514" s="24">
        <v>0.0</v>
      </c>
      <c r="Y514" s="24">
        <v>1.0</v>
      </c>
      <c r="Z514" s="24">
        <v>0.0</v>
      </c>
      <c r="AA514" s="24">
        <v>0.0</v>
      </c>
      <c r="AB514" s="24">
        <v>0.0</v>
      </c>
      <c r="AC514" s="24">
        <v>0.0</v>
      </c>
      <c r="AD514" s="24">
        <v>0.0</v>
      </c>
      <c r="AE514" s="24">
        <v>0.0</v>
      </c>
      <c r="AF514" s="24">
        <v>0.0</v>
      </c>
      <c r="AG514" s="24">
        <v>0.0</v>
      </c>
      <c r="AH514" s="24">
        <v>0.0</v>
      </c>
      <c r="AI514" s="24">
        <v>0.0</v>
      </c>
      <c r="AJ514" s="24">
        <v>0.0</v>
      </c>
      <c r="AK514" s="24">
        <v>0.0</v>
      </c>
      <c r="AL514" s="24">
        <v>0.0</v>
      </c>
      <c r="AM514" s="24">
        <v>0.0</v>
      </c>
      <c r="AN514" s="24">
        <v>0.0</v>
      </c>
      <c r="AO514" s="25">
        <v>27.1</v>
      </c>
      <c r="AP514" s="26"/>
      <c r="AQ514" s="26"/>
      <c r="AR514" s="26"/>
      <c r="AS514" s="26"/>
      <c r="AT514" s="26"/>
      <c r="AU514" s="26"/>
      <c r="AV514" s="26"/>
      <c r="AW514" s="26"/>
      <c r="AX514" s="26"/>
      <c r="AY514" s="26"/>
      <c r="AZ514" s="26"/>
      <c r="BA514" s="26"/>
      <c r="BB514" s="26"/>
      <c r="BC514" s="26"/>
      <c r="BD514" s="26"/>
      <c r="BE514" s="24">
        <v>27.12</v>
      </c>
      <c r="BF514" s="26"/>
      <c r="BG514" s="26"/>
      <c r="BH514" s="26"/>
      <c r="BI514" s="26"/>
      <c r="BJ514" s="26"/>
      <c r="BK514" s="26"/>
      <c r="BL514" s="26"/>
      <c r="BM514" s="26"/>
      <c r="BN514" s="26"/>
      <c r="BO514" s="26"/>
      <c r="BP514" s="24">
        <v>14.83</v>
      </c>
      <c r="BQ514" s="24">
        <v>3.13</v>
      </c>
      <c r="BR514" s="24">
        <v>17.75</v>
      </c>
      <c r="BS514" s="57">
        <v>0.2</v>
      </c>
      <c r="BT514" s="27"/>
      <c r="BU514" s="26"/>
      <c r="BV514" s="26"/>
      <c r="BW514" s="26"/>
      <c r="BX514" s="24">
        <v>2400.0</v>
      </c>
      <c r="BY514" s="24" t="s">
        <v>123</v>
      </c>
      <c r="BZ514" s="28">
        <v>2100.0</v>
      </c>
      <c r="CA514" s="29" t="s">
        <v>124</v>
      </c>
      <c r="CB514" s="30">
        <v>2400.0</v>
      </c>
      <c r="CC514" s="31"/>
      <c r="CD514" s="28">
        <v>2400.0</v>
      </c>
      <c r="CE514" s="32" t="e">
        <v>#REF!</v>
      </c>
      <c r="CF514" s="33"/>
      <c r="CG514" s="34">
        <v>0.0</v>
      </c>
      <c r="CH514" s="35">
        <v>0.0</v>
      </c>
      <c r="CI514" s="36">
        <v>1.0</v>
      </c>
      <c r="CJ514" s="36">
        <v>164.0</v>
      </c>
      <c r="CK514" s="37">
        <v>-35.0</v>
      </c>
      <c r="CL514" s="36">
        <v>129.0</v>
      </c>
      <c r="CM514" s="38">
        <v>27.0</v>
      </c>
      <c r="CN514" s="36">
        <v>0.0</v>
      </c>
      <c r="CO514" s="39">
        <v>27.1</v>
      </c>
      <c r="CP514" s="40">
        <v>0.0</v>
      </c>
      <c r="CQ514" s="36">
        <v>15.0</v>
      </c>
      <c r="CR514" s="36">
        <v>15.0</v>
      </c>
      <c r="CS514" s="36">
        <v>0.0</v>
      </c>
      <c r="CT514" s="41"/>
      <c r="CU514" s="42"/>
      <c r="CV514" s="43"/>
      <c r="CW514" s="44">
        <v>8.0</v>
      </c>
      <c r="CX514" s="44" t="s">
        <v>125</v>
      </c>
      <c r="CY514" s="44" t="s">
        <v>126</v>
      </c>
      <c r="CZ514" s="45"/>
      <c r="DA514" s="44">
        <v>2400.0</v>
      </c>
      <c r="DB514" s="44">
        <v>0.0</v>
      </c>
      <c r="DC514" s="43"/>
      <c r="DD514" s="78"/>
      <c r="DE514" s="43"/>
      <c r="DF514" s="43"/>
      <c r="DG514" s="48" t="s">
        <v>128</v>
      </c>
      <c r="DH514" s="48" t="s">
        <v>128</v>
      </c>
      <c r="DI514" s="48" t="s">
        <v>129</v>
      </c>
      <c r="DJ514" s="49">
        <v>1.0</v>
      </c>
      <c r="DK514" s="48" t="b">
        <v>0</v>
      </c>
      <c r="DL514" s="50" t="s">
        <v>1244</v>
      </c>
      <c r="DM514" s="50" t="s">
        <v>131</v>
      </c>
      <c r="DN514" s="50" t="s">
        <v>1245</v>
      </c>
      <c r="DO514" s="49">
        <v>0.07</v>
      </c>
      <c r="DP514" s="48" t="s">
        <v>128</v>
      </c>
      <c r="DQ514" s="48" t="s">
        <v>133</v>
      </c>
      <c r="DR514" s="51"/>
      <c r="DS514" s="48" t="s">
        <v>134</v>
      </c>
    </row>
    <row r="515">
      <c r="A515" s="52" t="s">
        <v>118</v>
      </c>
      <c r="B515" s="53">
        <v>4.0</v>
      </c>
      <c r="C515" s="52" t="s">
        <v>1123</v>
      </c>
      <c r="D515" s="53">
        <v>642178.0</v>
      </c>
      <c r="E515" s="52" t="s">
        <v>205</v>
      </c>
      <c r="F515" s="52" t="s">
        <v>1266</v>
      </c>
      <c r="G515" s="52" t="s">
        <v>1267</v>
      </c>
      <c r="H515" s="53">
        <v>77109.0</v>
      </c>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81"/>
      <c r="BU515" s="54"/>
      <c r="BV515" s="54"/>
      <c r="BW515" s="54"/>
      <c r="BX515" s="53">
        <v>1500.0</v>
      </c>
      <c r="BY515" s="53" t="s">
        <v>123</v>
      </c>
      <c r="BZ515" s="58">
        <v>1500.0</v>
      </c>
      <c r="CA515" s="72"/>
      <c r="CB515" s="82"/>
      <c r="CC515" s="31"/>
      <c r="CD515" s="58">
        <v>1500.0</v>
      </c>
      <c r="CE515" s="83" t="s">
        <v>185</v>
      </c>
      <c r="CF515" s="60"/>
      <c r="CG515" s="61">
        <v>0.0</v>
      </c>
      <c r="CH515" s="84"/>
      <c r="CI515" s="63">
        <v>0.0</v>
      </c>
      <c r="CJ515" s="63">
        <v>164.0</v>
      </c>
      <c r="CK515" s="64">
        <v>-35.0</v>
      </c>
      <c r="CL515" s="63">
        <v>129.0</v>
      </c>
      <c r="CM515" s="65">
        <v>0.0</v>
      </c>
      <c r="CN515" s="63">
        <v>0.0</v>
      </c>
      <c r="CO515" s="66">
        <v>0.0</v>
      </c>
      <c r="CP515" s="67">
        <v>0.0</v>
      </c>
      <c r="CQ515" s="63">
        <v>0.0</v>
      </c>
      <c r="CR515" s="63">
        <v>0.0</v>
      </c>
      <c r="CS515" s="63">
        <v>0.0</v>
      </c>
      <c r="CT515" s="68"/>
      <c r="CU515" s="69"/>
      <c r="CV515" s="70"/>
      <c r="CW515" s="71">
        <v>5.0</v>
      </c>
      <c r="CX515" s="71" t="s">
        <v>450</v>
      </c>
      <c r="CY515" s="71" t="s">
        <v>451</v>
      </c>
      <c r="CZ515" s="45"/>
      <c r="DA515" s="43"/>
      <c r="DB515" s="44">
        <v>0.0</v>
      </c>
      <c r="DC515" s="43"/>
      <c r="DD515" s="78"/>
      <c r="DE515" s="43"/>
      <c r="DF515" s="43"/>
      <c r="DG515" s="48" t="s">
        <v>128</v>
      </c>
      <c r="DH515" s="48" t="s">
        <v>128</v>
      </c>
      <c r="DI515" s="85" t="str">
        <f>+ OFF 30 DIAS SIN VENTA</f>
        <v>#ERROR!</v>
      </c>
      <c r="DJ515" s="49">
        <v>0.0</v>
      </c>
      <c r="DK515" s="48" t="b">
        <v>0</v>
      </c>
      <c r="DL515" s="50" t="s">
        <v>1244</v>
      </c>
      <c r="DM515" s="50" t="s">
        <v>131</v>
      </c>
      <c r="DN515" s="50" t="s">
        <v>1245</v>
      </c>
      <c r="DO515" s="49">
        <v>0.07</v>
      </c>
      <c r="DP515" s="48" t="s">
        <v>128</v>
      </c>
      <c r="DQ515" s="86" t="str">
        <f>+ OFF 30 DIAS SIN VENTA</f>
        <v>#ERROR!</v>
      </c>
      <c r="DR515" s="51"/>
      <c r="DS515" s="48" t="s">
        <v>134</v>
      </c>
    </row>
    <row r="516">
      <c r="A516" s="23" t="s">
        <v>118</v>
      </c>
      <c r="B516" s="24">
        <v>4.0</v>
      </c>
      <c r="C516" s="23" t="s">
        <v>1123</v>
      </c>
      <c r="D516" s="24">
        <v>604008.0</v>
      </c>
      <c r="E516" s="23" t="s">
        <v>176</v>
      </c>
      <c r="F516" s="23" t="s">
        <v>1268</v>
      </c>
      <c r="G516" s="23" t="s">
        <v>1269</v>
      </c>
      <c r="H516" s="24">
        <v>77109.0</v>
      </c>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7"/>
      <c r="BU516" s="26"/>
      <c r="BV516" s="26"/>
      <c r="BW516" s="26"/>
      <c r="BX516" s="24">
        <v>2400.0</v>
      </c>
      <c r="BY516" s="24" t="s">
        <v>123</v>
      </c>
      <c r="BZ516" s="28">
        <v>2400.0</v>
      </c>
      <c r="CA516" s="72"/>
      <c r="CB516" s="82"/>
      <c r="CC516" s="31"/>
      <c r="CD516" s="28">
        <v>2400.0</v>
      </c>
      <c r="CE516" s="88" t="s">
        <v>185</v>
      </c>
      <c r="CF516" s="33"/>
      <c r="CG516" s="34">
        <v>0.0</v>
      </c>
      <c r="CH516" s="89"/>
      <c r="CI516" s="36">
        <v>0.0</v>
      </c>
      <c r="CJ516" s="36">
        <v>164.0</v>
      </c>
      <c r="CK516" s="37">
        <v>-35.0</v>
      </c>
      <c r="CL516" s="36">
        <v>129.0</v>
      </c>
      <c r="CM516" s="38">
        <v>0.0</v>
      </c>
      <c r="CN516" s="36">
        <v>0.0</v>
      </c>
      <c r="CO516" s="39">
        <v>0.0</v>
      </c>
      <c r="CP516" s="40">
        <v>0.0</v>
      </c>
      <c r="CQ516" s="36">
        <v>0.0</v>
      </c>
      <c r="CR516" s="36">
        <v>0.0</v>
      </c>
      <c r="CS516" s="36">
        <v>0.0</v>
      </c>
      <c r="CT516" s="41"/>
      <c r="CU516" s="42"/>
      <c r="CV516" s="43"/>
      <c r="CW516" s="44">
        <v>8.0</v>
      </c>
      <c r="CX516" s="44" t="s">
        <v>125</v>
      </c>
      <c r="CY516" s="44" t="s">
        <v>126</v>
      </c>
      <c r="CZ516" s="45"/>
      <c r="DA516" s="43"/>
      <c r="DB516" s="44">
        <v>0.0</v>
      </c>
      <c r="DC516" s="43"/>
      <c r="DD516" s="78"/>
      <c r="DE516" s="43"/>
      <c r="DF516" s="43"/>
      <c r="DG516" s="48" t="s">
        <v>128</v>
      </c>
      <c r="DH516" s="48" t="s">
        <v>128</v>
      </c>
      <c r="DI516" s="85" t="str">
        <f>+ OFF 30 DIAS SIN VENTA</f>
        <v>#ERROR!</v>
      </c>
      <c r="DJ516" s="49">
        <v>1.0</v>
      </c>
      <c r="DK516" s="48" t="b">
        <v>0</v>
      </c>
      <c r="DL516" s="50" t="s">
        <v>1244</v>
      </c>
      <c r="DM516" s="50" t="s">
        <v>131</v>
      </c>
      <c r="DN516" s="50" t="s">
        <v>1245</v>
      </c>
      <c r="DO516" s="49">
        <v>0.07</v>
      </c>
      <c r="DP516" s="48" t="s">
        <v>128</v>
      </c>
      <c r="DQ516" s="86" t="str">
        <f>+ OFF 30 DIAS SIN VENTA</f>
        <v>#ERROR!</v>
      </c>
      <c r="DR516" s="51"/>
      <c r="DS516" s="48" t="s">
        <v>134</v>
      </c>
    </row>
    <row r="517">
      <c r="A517" s="52" t="s">
        <v>118</v>
      </c>
      <c r="B517" s="53">
        <v>4.0</v>
      </c>
      <c r="C517" s="52" t="s">
        <v>1123</v>
      </c>
      <c r="D517" s="53">
        <v>610881.0</v>
      </c>
      <c r="E517" s="52" t="s">
        <v>167</v>
      </c>
      <c r="F517" s="52" t="s">
        <v>1270</v>
      </c>
      <c r="G517" s="52" t="s">
        <v>1271</v>
      </c>
      <c r="H517" s="53">
        <v>77109.0</v>
      </c>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81"/>
      <c r="BU517" s="54"/>
      <c r="BV517" s="54"/>
      <c r="BW517" s="54"/>
      <c r="BX517" s="53">
        <v>2400.0</v>
      </c>
      <c r="BY517" s="53" t="s">
        <v>123</v>
      </c>
      <c r="BZ517" s="58">
        <v>2400.0</v>
      </c>
      <c r="CA517" s="72"/>
      <c r="CB517" s="82"/>
      <c r="CC517" s="31"/>
      <c r="CD517" s="58">
        <v>2400.0</v>
      </c>
      <c r="CE517" s="83" t="s">
        <v>185</v>
      </c>
      <c r="CF517" s="60"/>
      <c r="CG517" s="61">
        <v>0.0</v>
      </c>
      <c r="CH517" s="84"/>
      <c r="CI517" s="63">
        <v>0.0</v>
      </c>
      <c r="CJ517" s="63">
        <v>164.0</v>
      </c>
      <c r="CK517" s="64">
        <v>-35.0</v>
      </c>
      <c r="CL517" s="63">
        <v>129.0</v>
      </c>
      <c r="CM517" s="65">
        <v>0.0</v>
      </c>
      <c r="CN517" s="63">
        <v>0.0</v>
      </c>
      <c r="CO517" s="66">
        <v>0.0</v>
      </c>
      <c r="CP517" s="67">
        <v>0.0</v>
      </c>
      <c r="CQ517" s="63">
        <v>0.0</v>
      </c>
      <c r="CR517" s="63">
        <v>0.0</v>
      </c>
      <c r="CS517" s="63">
        <v>0.0</v>
      </c>
      <c r="CT517" s="68"/>
      <c r="CU517" s="69"/>
      <c r="CV517" s="70"/>
      <c r="CW517" s="71">
        <v>8.0</v>
      </c>
      <c r="CX517" s="71" t="s">
        <v>125</v>
      </c>
      <c r="CY517" s="71" t="s">
        <v>126</v>
      </c>
      <c r="CZ517" s="45"/>
      <c r="DA517" s="43"/>
      <c r="DB517" s="44">
        <v>0.0</v>
      </c>
      <c r="DC517" s="43"/>
      <c r="DD517" s="78"/>
      <c r="DE517" s="43"/>
      <c r="DF517" s="43"/>
      <c r="DG517" s="48" t="s">
        <v>128</v>
      </c>
      <c r="DH517" s="48" t="s">
        <v>128</v>
      </c>
      <c r="DI517" s="85" t="str">
        <f>+ OFF 30 DIAS SIN VENTA</f>
        <v>#ERROR!</v>
      </c>
      <c r="DJ517" s="49">
        <v>1.0</v>
      </c>
      <c r="DK517" s="48" t="b">
        <v>0</v>
      </c>
      <c r="DL517" s="50" t="s">
        <v>1244</v>
      </c>
      <c r="DM517" s="50" t="s">
        <v>131</v>
      </c>
      <c r="DN517" s="50" t="s">
        <v>1245</v>
      </c>
      <c r="DO517" s="49">
        <v>0.07</v>
      </c>
      <c r="DP517" s="48" t="s">
        <v>128</v>
      </c>
      <c r="DQ517" s="86" t="str">
        <f>+ OFF 30 DIAS SIN VENTA</f>
        <v>#ERROR!</v>
      </c>
      <c r="DR517" s="51"/>
      <c r="DS517" s="48" t="s">
        <v>134</v>
      </c>
    </row>
    <row r="518">
      <c r="A518" s="23" t="s">
        <v>118</v>
      </c>
      <c r="B518" s="24">
        <v>4.0</v>
      </c>
      <c r="C518" s="23" t="s">
        <v>1123</v>
      </c>
      <c r="D518" s="24">
        <v>669823.0</v>
      </c>
      <c r="E518" s="23" t="s">
        <v>214</v>
      </c>
      <c r="F518" s="23" t="s">
        <v>1272</v>
      </c>
      <c r="G518" s="23" t="s">
        <v>1273</v>
      </c>
      <c r="H518" s="24">
        <v>77109.0</v>
      </c>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7"/>
      <c r="BU518" s="26"/>
      <c r="BV518" s="26"/>
      <c r="BW518" s="26"/>
      <c r="BX518" s="24">
        <v>2100.0</v>
      </c>
      <c r="BY518" s="24" t="s">
        <v>123</v>
      </c>
      <c r="BZ518" s="28">
        <v>2100.0</v>
      </c>
      <c r="CA518" s="72"/>
      <c r="CB518" s="82"/>
      <c r="CC518" s="31"/>
      <c r="CD518" s="28">
        <v>2100.0</v>
      </c>
      <c r="CE518" s="88" t="s">
        <v>185</v>
      </c>
      <c r="CF518" s="33"/>
      <c r="CG518" s="34">
        <v>0.0</v>
      </c>
      <c r="CH518" s="89"/>
      <c r="CI518" s="36">
        <v>0.0</v>
      </c>
      <c r="CJ518" s="36">
        <v>164.0</v>
      </c>
      <c r="CK518" s="37">
        <v>-35.0</v>
      </c>
      <c r="CL518" s="36">
        <v>129.0</v>
      </c>
      <c r="CM518" s="38">
        <v>0.0</v>
      </c>
      <c r="CN518" s="36">
        <v>0.0</v>
      </c>
      <c r="CO518" s="39">
        <v>0.0</v>
      </c>
      <c r="CP518" s="40">
        <v>0.0</v>
      </c>
      <c r="CQ518" s="36">
        <v>0.0</v>
      </c>
      <c r="CR518" s="36">
        <v>0.0</v>
      </c>
      <c r="CS518" s="36">
        <v>0.0</v>
      </c>
      <c r="CT518" s="41"/>
      <c r="CU518" s="42"/>
      <c r="CV518" s="43"/>
      <c r="CW518" s="44">
        <v>7.0</v>
      </c>
      <c r="CX518" s="44" t="s">
        <v>201</v>
      </c>
      <c r="CY518" s="44" t="s">
        <v>202</v>
      </c>
      <c r="CZ518" s="45"/>
      <c r="DA518" s="43"/>
      <c r="DB518" s="44">
        <v>0.0</v>
      </c>
      <c r="DC518" s="43"/>
      <c r="DD518" s="78"/>
      <c r="DE518" s="43"/>
      <c r="DF518" s="43"/>
      <c r="DG518" s="48" t="s">
        <v>128</v>
      </c>
      <c r="DH518" s="48" t="s">
        <v>128</v>
      </c>
      <c r="DI518" s="85" t="str">
        <f>+ OFF 30 DIAS SIN VENTA</f>
        <v>#ERROR!</v>
      </c>
      <c r="DJ518" s="49">
        <v>0.0</v>
      </c>
      <c r="DK518" s="48" t="b">
        <v>0</v>
      </c>
      <c r="DL518" s="50" t="s">
        <v>1244</v>
      </c>
      <c r="DM518" s="50" t="s">
        <v>131</v>
      </c>
      <c r="DN518" s="50" t="s">
        <v>1245</v>
      </c>
      <c r="DO518" s="49">
        <v>0.07</v>
      </c>
      <c r="DP518" s="48" t="s">
        <v>128</v>
      </c>
      <c r="DQ518" s="86" t="str">
        <f>+ OFF 30 DIAS SIN VENTA</f>
        <v>#ERROR!</v>
      </c>
      <c r="DR518" s="51"/>
      <c r="DS518" s="48" t="s">
        <v>134</v>
      </c>
    </row>
    <row r="519">
      <c r="A519" s="52" t="s">
        <v>118</v>
      </c>
      <c r="B519" s="53">
        <v>4.0</v>
      </c>
      <c r="C519" s="52" t="s">
        <v>1123</v>
      </c>
      <c r="D519" s="53">
        <v>680909.0</v>
      </c>
      <c r="E519" s="52" t="s">
        <v>288</v>
      </c>
      <c r="F519" s="52" t="s">
        <v>1274</v>
      </c>
      <c r="G519" s="52" t="s">
        <v>1275</v>
      </c>
      <c r="H519" s="53">
        <v>77109.0</v>
      </c>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81"/>
      <c r="BU519" s="54"/>
      <c r="BV519" s="54"/>
      <c r="BW519" s="54"/>
      <c r="BX519" s="53">
        <v>3000.0</v>
      </c>
      <c r="BY519" s="53" t="s">
        <v>123</v>
      </c>
      <c r="BZ519" s="58">
        <v>3000.0</v>
      </c>
      <c r="CA519" s="72"/>
      <c r="CB519" s="82"/>
      <c r="CC519" s="31"/>
      <c r="CD519" s="58">
        <v>3000.0</v>
      </c>
      <c r="CE519" s="83" t="s">
        <v>185</v>
      </c>
      <c r="CF519" s="60"/>
      <c r="CG519" s="61">
        <v>0.0</v>
      </c>
      <c r="CH519" s="84"/>
      <c r="CI519" s="63">
        <v>0.0</v>
      </c>
      <c r="CJ519" s="63">
        <v>164.0</v>
      </c>
      <c r="CK519" s="64">
        <v>-35.0</v>
      </c>
      <c r="CL519" s="63">
        <v>129.0</v>
      </c>
      <c r="CM519" s="65">
        <v>0.0</v>
      </c>
      <c r="CN519" s="63">
        <v>0.0</v>
      </c>
      <c r="CO519" s="66">
        <v>0.0</v>
      </c>
      <c r="CP519" s="67">
        <v>0.0</v>
      </c>
      <c r="CQ519" s="63">
        <v>0.0</v>
      </c>
      <c r="CR519" s="63">
        <v>0.0</v>
      </c>
      <c r="CS519" s="63">
        <v>0.0</v>
      </c>
      <c r="CT519" s="68"/>
      <c r="CU519" s="69"/>
      <c r="CV519" s="70"/>
      <c r="CW519" s="71">
        <v>10.0</v>
      </c>
      <c r="CX519" s="71" t="s">
        <v>138</v>
      </c>
      <c r="CY519" s="71" t="s">
        <v>139</v>
      </c>
      <c r="CZ519" s="45"/>
      <c r="DA519" s="43"/>
      <c r="DB519" s="44">
        <v>0.0</v>
      </c>
      <c r="DC519" s="43"/>
      <c r="DD519" s="78"/>
      <c r="DE519" s="43"/>
      <c r="DF519" s="43"/>
      <c r="DG519" s="48" t="s">
        <v>128</v>
      </c>
      <c r="DH519" s="48" t="s">
        <v>128</v>
      </c>
      <c r="DI519" s="85" t="str">
        <f>+ OFF 30 DIAS SIN VENTA</f>
        <v>#ERROR!</v>
      </c>
      <c r="DJ519" s="49">
        <v>1.0</v>
      </c>
      <c r="DK519" s="48" t="b">
        <v>0</v>
      </c>
      <c r="DL519" s="50" t="s">
        <v>1244</v>
      </c>
      <c r="DM519" s="50" t="s">
        <v>131</v>
      </c>
      <c r="DN519" s="50" t="s">
        <v>1245</v>
      </c>
      <c r="DO519" s="49">
        <v>0.07</v>
      </c>
      <c r="DP519" s="48" t="s">
        <v>128</v>
      </c>
      <c r="DQ519" s="86" t="str">
        <f>+ OFF 30 DIAS SIN VENTA</f>
        <v>#ERROR!</v>
      </c>
      <c r="DR519" s="51"/>
      <c r="DS519" s="48" t="s">
        <v>134</v>
      </c>
    </row>
    <row r="520">
      <c r="A520" s="23" t="s">
        <v>118</v>
      </c>
      <c r="B520" s="24">
        <v>4.0</v>
      </c>
      <c r="C520" s="23" t="s">
        <v>1123</v>
      </c>
      <c r="D520" s="24">
        <v>680588.0</v>
      </c>
      <c r="E520" s="23" t="s">
        <v>251</v>
      </c>
      <c r="F520" s="23" t="s">
        <v>1276</v>
      </c>
      <c r="G520" s="23" t="s">
        <v>1277</v>
      </c>
      <c r="H520" s="24">
        <v>77109.0</v>
      </c>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7"/>
      <c r="BU520" s="26"/>
      <c r="BV520" s="26"/>
      <c r="BW520" s="26"/>
      <c r="BX520" s="24">
        <v>2400.0</v>
      </c>
      <c r="BY520" s="24" t="s">
        <v>123</v>
      </c>
      <c r="BZ520" s="28">
        <v>2400.0</v>
      </c>
      <c r="CA520" s="72"/>
      <c r="CB520" s="82"/>
      <c r="CC520" s="31"/>
      <c r="CD520" s="28">
        <v>2400.0</v>
      </c>
      <c r="CE520" s="88" t="s">
        <v>185</v>
      </c>
      <c r="CF520" s="33"/>
      <c r="CG520" s="34">
        <v>0.0</v>
      </c>
      <c r="CH520" s="89"/>
      <c r="CI520" s="36">
        <v>0.0</v>
      </c>
      <c r="CJ520" s="36">
        <v>164.0</v>
      </c>
      <c r="CK520" s="37">
        <v>-35.0</v>
      </c>
      <c r="CL520" s="36">
        <v>129.0</v>
      </c>
      <c r="CM520" s="38">
        <v>0.0</v>
      </c>
      <c r="CN520" s="36">
        <v>0.0</v>
      </c>
      <c r="CO520" s="39">
        <v>0.0</v>
      </c>
      <c r="CP520" s="40">
        <v>0.0</v>
      </c>
      <c r="CQ520" s="36">
        <v>0.0</v>
      </c>
      <c r="CR520" s="36">
        <v>0.0</v>
      </c>
      <c r="CS520" s="36">
        <v>0.0</v>
      </c>
      <c r="CT520" s="41"/>
      <c r="CU520" s="42"/>
      <c r="CV520" s="43"/>
      <c r="CW520" s="44">
        <v>8.0</v>
      </c>
      <c r="CX520" s="44" t="s">
        <v>125</v>
      </c>
      <c r="CY520" s="44" t="s">
        <v>126</v>
      </c>
      <c r="CZ520" s="45"/>
      <c r="DA520" s="43"/>
      <c r="DB520" s="44">
        <v>0.0</v>
      </c>
      <c r="DC520" s="43"/>
      <c r="DD520" s="78"/>
      <c r="DE520" s="43"/>
      <c r="DF520" s="43"/>
      <c r="DG520" s="48" t="s">
        <v>128</v>
      </c>
      <c r="DH520" s="48" t="s">
        <v>128</v>
      </c>
      <c r="DI520" s="85" t="str">
        <f>+ OFF 30 DIAS SIN VENTA</f>
        <v>#ERROR!</v>
      </c>
      <c r="DJ520" s="49">
        <v>1.0</v>
      </c>
      <c r="DK520" s="48" t="b">
        <v>0</v>
      </c>
      <c r="DL520" s="50" t="s">
        <v>1244</v>
      </c>
      <c r="DM520" s="50" t="s">
        <v>131</v>
      </c>
      <c r="DN520" s="50" t="s">
        <v>1245</v>
      </c>
      <c r="DO520" s="49">
        <v>0.07</v>
      </c>
      <c r="DP520" s="48" t="s">
        <v>128</v>
      </c>
      <c r="DQ520" s="86" t="str">
        <f>+ OFF 30 DIAS SIN VENTA</f>
        <v>#ERROR!</v>
      </c>
      <c r="DR520" s="51"/>
      <c r="DS520" s="48" t="s">
        <v>134</v>
      </c>
    </row>
    <row r="521">
      <c r="A521" s="52" t="s">
        <v>118</v>
      </c>
      <c r="B521" s="53">
        <v>4.0</v>
      </c>
      <c r="C521" s="52" t="s">
        <v>1123</v>
      </c>
      <c r="D521" s="53">
        <v>648806.0</v>
      </c>
      <c r="E521" s="52" t="s">
        <v>179</v>
      </c>
      <c r="F521" s="52" t="s">
        <v>1278</v>
      </c>
      <c r="G521" s="52" t="s">
        <v>1279</v>
      </c>
      <c r="H521" s="53">
        <v>77109.0</v>
      </c>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81"/>
      <c r="BU521" s="54"/>
      <c r="BV521" s="54"/>
      <c r="BW521" s="54"/>
      <c r="BX521" s="53">
        <v>2400.0</v>
      </c>
      <c r="BY521" s="53" t="s">
        <v>123</v>
      </c>
      <c r="BZ521" s="58">
        <v>2400.0</v>
      </c>
      <c r="CA521" s="72"/>
      <c r="CB521" s="82"/>
      <c r="CC521" s="31"/>
      <c r="CD521" s="58">
        <v>2400.0</v>
      </c>
      <c r="CE521" s="83" t="s">
        <v>185</v>
      </c>
      <c r="CF521" s="60"/>
      <c r="CG521" s="61">
        <v>0.0</v>
      </c>
      <c r="CH521" s="84"/>
      <c r="CI521" s="63">
        <v>0.0</v>
      </c>
      <c r="CJ521" s="63">
        <v>164.0</v>
      </c>
      <c r="CK521" s="64">
        <v>-35.0</v>
      </c>
      <c r="CL521" s="63">
        <v>129.0</v>
      </c>
      <c r="CM521" s="65">
        <v>0.0</v>
      </c>
      <c r="CN521" s="63">
        <v>0.0</v>
      </c>
      <c r="CO521" s="66">
        <v>0.0</v>
      </c>
      <c r="CP521" s="67">
        <v>0.0</v>
      </c>
      <c r="CQ521" s="63">
        <v>0.0</v>
      </c>
      <c r="CR521" s="63">
        <v>0.0</v>
      </c>
      <c r="CS521" s="63">
        <v>0.0</v>
      </c>
      <c r="CT521" s="68"/>
      <c r="CU521" s="69"/>
      <c r="CV521" s="70"/>
      <c r="CW521" s="71">
        <v>8.0</v>
      </c>
      <c r="CX521" s="71" t="s">
        <v>125</v>
      </c>
      <c r="CY521" s="71" t="s">
        <v>126</v>
      </c>
      <c r="CZ521" s="45"/>
      <c r="DA521" s="43"/>
      <c r="DB521" s="44">
        <v>0.0</v>
      </c>
      <c r="DC521" s="43"/>
      <c r="DD521" s="78"/>
      <c r="DE521" s="43"/>
      <c r="DF521" s="43"/>
      <c r="DG521" s="48" t="s">
        <v>128</v>
      </c>
      <c r="DH521" s="48" t="s">
        <v>128</v>
      </c>
      <c r="DI521" s="85" t="str">
        <f>+ OFF 30 DIAS SIN VENTA</f>
        <v>#ERROR!</v>
      </c>
      <c r="DJ521" s="49">
        <v>1.0</v>
      </c>
      <c r="DK521" s="48" t="b">
        <v>0</v>
      </c>
      <c r="DL521" s="50" t="s">
        <v>1244</v>
      </c>
      <c r="DM521" s="50" t="s">
        <v>131</v>
      </c>
      <c r="DN521" s="50" t="s">
        <v>1245</v>
      </c>
      <c r="DO521" s="49">
        <v>0.07</v>
      </c>
      <c r="DP521" s="48" t="s">
        <v>128</v>
      </c>
      <c r="DQ521" s="86" t="str">
        <f>+ OFF 30 DIAS SIN VENTA</f>
        <v>#ERROR!</v>
      </c>
      <c r="DR521" s="51"/>
      <c r="DS521" s="48" t="s">
        <v>134</v>
      </c>
    </row>
    <row r="522">
      <c r="A522" s="23" t="s">
        <v>118</v>
      </c>
      <c r="B522" s="24">
        <v>4.0</v>
      </c>
      <c r="C522" s="23" t="s">
        <v>1123</v>
      </c>
      <c r="D522" s="24">
        <v>631195.0</v>
      </c>
      <c r="E522" s="23" t="s">
        <v>140</v>
      </c>
      <c r="F522" s="23" t="s">
        <v>1280</v>
      </c>
      <c r="G522" s="23" t="s">
        <v>1281</v>
      </c>
      <c r="H522" s="24">
        <v>77109.0</v>
      </c>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7"/>
      <c r="BU522" s="26"/>
      <c r="BV522" s="26"/>
      <c r="BW522" s="26"/>
      <c r="BX522" s="24">
        <v>1500.0</v>
      </c>
      <c r="BY522" s="24" t="s">
        <v>123</v>
      </c>
      <c r="BZ522" s="28">
        <v>1500.0</v>
      </c>
      <c r="CA522" s="72"/>
      <c r="CB522" s="82"/>
      <c r="CC522" s="31"/>
      <c r="CD522" s="28">
        <v>1500.0</v>
      </c>
      <c r="CE522" s="88" t="s">
        <v>185</v>
      </c>
      <c r="CF522" s="33"/>
      <c r="CG522" s="34">
        <v>0.0</v>
      </c>
      <c r="CH522" s="89"/>
      <c r="CI522" s="36">
        <v>0.0</v>
      </c>
      <c r="CJ522" s="36">
        <v>164.0</v>
      </c>
      <c r="CK522" s="37">
        <v>-35.0</v>
      </c>
      <c r="CL522" s="36">
        <v>129.0</v>
      </c>
      <c r="CM522" s="38">
        <v>0.0</v>
      </c>
      <c r="CN522" s="36">
        <v>0.0</v>
      </c>
      <c r="CO522" s="39">
        <v>0.0</v>
      </c>
      <c r="CP522" s="40">
        <v>0.0</v>
      </c>
      <c r="CQ522" s="36">
        <v>0.0</v>
      </c>
      <c r="CR522" s="36">
        <v>0.0</v>
      </c>
      <c r="CS522" s="36">
        <v>0.0</v>
      </c>
      <c r="CT522" s="41"/>
      <c r="CU522" s="42"/>
      <c r="CV522" s="43"/>
      <c r="CW522" s="44">
        <v>5.0</v>
      </c>
      <c r="CX522" s="44" t="s">
        <v>450</v>
      </c>
      <c r="CY522" s="44" t="s">
        <v>451</v>
      </c>
      <c r="CZ522" s="45"/>
      <c r="DA522" s="43"/>
      <c r="DB522" s="44">
        <v>0.0</v>
      </c>
      <c r="DC522" s="43"/>
      <c r="DD522" s="78"/>
      <c r="DE522" s="43"/>
      <c r="DF522" s="43"/>
      <c r="DG522" s="48" t="s">
        <v>128</v>
      </c>
      <c r="DH522" s="48" t="s">
        <v>128</v>
      </c>
      <c r="DI522" s="85" t="str">
        <f>+ OFF 30 DIAS SIN VENTA</f>
        <v>#ERROR!</v>
      </c>
      <c r="DJ522" s="49">
        <v>0.0</v>
      </c>
      <c r="DK522" s="48" t="b">
        <v>0</v>
      </c>
      <c r="DL522" s="50" t="s">
        <v>1244</v>
      </c>
      <c r="DM522" s="50" t="s">
        <v>131</v>
      </c>
      <c r="DN522" s="50" t="s">
        <v>1245</v>
      </c>
      <c r="DO522" s="49">
        <v>0.07</v>
      </c>
      <c r="DP522" s="48" t="s">
        <v>128</v>
      </c>
      <c r="DQ522" s="86" t="str">
        <f>+ OFF 30 DIAS SIN VENTA</f>
        <v>#ERROR!</v>
      </c>
      <c r="DR522" s="51"/>
      <c r="DS522" s="48" t="s">
        <v>134</v>
      </c>
    </row>
    <row r="523">
      <c r="A523" s="52" t="s">
        <v>118</v>
      </c>
      <c r="B523" s="53">
        <v>4.0</v>
      </c>
      <c r="C523" s="52" t="s">
        <v>1123</v>
      </c>
      <c r="D523" s="53">
        <v>681287.0</v>
      </c>
      <c r="E523" s="52" t="s">
        <v>354</v>
      </c>
      <c r="F523" s="52" t="s">
        <v>1282</v>
      </c>
      <c r="G523" s="52" t="s">
        <v>1283</v>
      </c>
      <c r="H523" s="53">
        <v>77109.0</v>
      </c>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81"/>
      <c r="BU523" s="54"/>
      <c r="BV523" s="54"/>
      <c r="BW523" s="54"/>
      <c r="BX523" s="53">
        <v>3000.0</v>
      </c>
      <c r="BY523" s="53" t="s">
        <v>123</v>
      </c>
      <c r="BZ523" s="58">
        <v>3000.0</v>
      </c>
      <c r="CA523" s="72"/>
      <c r="CB523" s="82"/>
      <c r="CC523" s="31"/>
      <c r="CD523" s="58">
        <v>3000.0</v>
      </c>
      <c r="CE523" s="83" t="s">
        <v>185</v>
      </c>
      <c r="CF523" s="60"/>
      <c r="CG523" s="61">
        <v>0.0</v>
      </c>
      <c r="CH523" s="84"/>
      <c r="CI523" s="63">
        <v>0.0</v>
      </c>
      <c r="CJ523" s="63">
        <v>164.0</v>
      </c>
      <c r="CK523" s="64">
        <v>-35.0</v>
      </c>
      <c r="CL523" s="63">
        <v>129.0</v>
      </c>
      <c r="CM523" s="65">
        <v>0.0</v>
      </c>
      <c r="CN523" s="63">
        <v>0.0</v>
      </c>
      <c r="CO523" s="66">
        <v>0.0</v>
      </c>
      <c r="CP523" s="67">
        <v>0.0</v>
      </c>
      <c r="CQ523" s="63">
        <v>0.0</v>
      </c>
      <c r="CR523" s="63">
        <v>0.0</v>
      </c>
      <c r="CS523" s="63">
        <v>0.0</v>
      </c>
      <c r="CT523" s="68"/>
      <c r="CU523" s="69"/>
      <c r="CV523" s="70"/>
      <c r="CW523" s="71">
        <v>10.0</v>
      </c>
      <c r="CX523" s="71" t="s">
        <v>138</v>
      </c>
      <c r="CY523" s="71" t="s">
        <v>139</v>
      </c>
      <c r="CZ523" s="45"/>
      <c r="DA523" s="43"/>
      <c r="DB523" s="44">
        <v>0.0</v>
      </c>
      <c r="DC523" s="43"/>
      <c r="DD523" s="78"/>
      <c r="DE523" s="43"/>
      <c r="DF523" s="43"/>
      <c r="DG523" s="48" t="s">
        <v>128</v>
      </c>
      <c r="DH523" s="48" t="s">
        <v>128</v>
      </c>
      <c r="DI523" s="85" t="str">
        <f>+ OFF 30 DIAS SIN VENTA</f>
        <v>#ERROR!</v>
      </c>
      <c r="DJ523" s="49">
        <v>1.0</v>
      </c>
      <c r="DK523" s="48" t="b">
        <v>0</v>
      </c>
      <c r="DL523" s="50" t="s">
        <v>1244</v>
      </c>
      <c r="DM523" s="50" t="s">
        <v>131</v>
      </c>
      <c r="DN523" s="50" t="s">
        <v>1245</v>
      </c>
      <c r="DO523" s="49">
        <v>0.07</v>
      </c>
      <c r="DP523" s="48" t="s">
        <v>128</v>
      </c>
      <c r="DQ523" s="86" t="str">
        <f>+ OFF 30 DIAS SIN VENTA</f>
        <v>#ERROR!</v>
      </c>
      <c r="DR523" s="51"/>
      <c r="DS523" s="48" t="s">
        <v>134</v>
      </c>
    </row>
    <row r="524">
      <c r="A524" s="23" t="s">
        <v>118</v>
      </c>
      <c r="B524" s="24">
        <v>4.0</v>
      </c>
      <c r="C524" s="23" t="s">
        <v>1123</v>
      </c>
      <c r="D524" s="24">
        <v>680607.0</v>
      </c>
      <c r="E524" s="23" t="s">
        <v>246</v>
      </c>
      <c r="F524" s="23" t="s">
        <v>1284</v>
      </c>
      <c r="G524" s="23" t="s">
        <v>1285</v>
      </c>
      <c r="H524" s="24">
        <v>77109.0</v>
      </c>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7"/>
      <c r="BU524" s="26"/>
      <c r="BV524" s="26"/>
      <c r="BW524" s="26"/>
      <c r="BX524" s="24">
        <v>1800.0</v>
      </c>
      <c r="BY524" s="24" t="s">
        <v>123</v>
      </c>
      <c r="BZ524" s="28">
        <v>1800.0</v>
      </c>
      <c r="CA524" s="72"/>
      <c r="CB524" s="82"/>
      <c r="CC524" s="31"/>
      <c r="CD524" s="28">
        <v>1800.0</v>
      </c>
      <c r="CE524" s="88" t="s">
        <v>185</v>
      </c>
      <c r="CF524" s="33"/>
      <c r="CG524" s="34">
        <v>0.0</v>
      </c>
      <c r="CH524" s="89"/>
      <c r="CI524" s="36">
        <v>0.0</v>
      </c>
      <c r="CJ524" s="36">
        <v>164.0</v>
      </c>
      <c r="CK524" s="37">
        <v>-35.0</v>
      </c>
      <c r="CL524" s="36">
        <v>129.0</v>
      </c>
      <c r="CM524" s="38">
        <v>0.0</v>
      </c>
      <c r="CN524" s="36">
        <v>0.0</v>
      </c>
      <c r="CO524" s="39">
        <v>0.0</v>
      </c>
      <c r="CP524" s="40">
        <v>0.0</v>
      </c>
      <c r="CQ524" s="36">
        <v>0.0</v>
      </c>
      <c r="CR524" s="36">
        <v>0.0</v>
      </c>
      <c r="CS524" s="36">
        <v>0.0</v>
      </c>
      <c r="CT524" s="41"/>
      <c r="CU524" s="42"/>
      <c r="CV524" s="43"/>
      <c r="CW524" s="44">
        <v>6.0</v>
      </c>
      <c r="CX524" s="44" t="s">
        <v>401</v>
      </c>
      <c r="CY524" s="44" t="s">
        <v>402</v>
      </c>
      <c r="CZ524" s="45"/>
      <c r="DA524" s="43"/>
      <c r="DB524" s="44">
        <v>0.0</v>
      </c>
      <c r="DC524" s="43"/>
      <c r="DD524" s="78"/>
      <c r="DE524" s="43"/>
      <c r="DF524" s="43"/>
      <c r="DG524" s="48" t="s">
        <v>128</v>
      </c>
      <c r="DH524" s="48" t="s">
        <v>128</v>
      </c>
      <c r="DI524" s="85" t="str">
        <f>+ OFF 30 DIAS SIN VENTA</f>
        <v>#ERROR!</v>
      </c>
      <c r="DJ524" s="49">
        <v>1.0</v>
      </c>
      <c r="DK524" s="48" t="b">
        <v>0</v>
      </c>
      <c r="DL524" s="50" t="s">
        <v>1244</v>
      </c>
      <c r="DM524" s="50" t="s">
        <v>131</v>
      </c>
      <c r="DN524" s="50" t="s">
        <v>1245</v>
      </c>
      <c r="DO524" s="49">
        <v>0.07</v>
      </c>
      <c r="DP524" s="48" t="s">
        <v>128</v>
      </c>
      <c r="DQ524" s="86" t="str">
        <f>+ OFF 30 DIAS SIN VENTA</f>
        <v>#ERROR!</v>
      </c>
      <c r="DR524" s="51"/>
      <c r="DS524" s="48" t="s">
        <v>134</v>
      </c>
    </row>
    <row r="525">
      <c r="A525" s="52" t="s">
        <v>118</v>
      </c>
      <c r="B525" s="53">
        <v>4.0</v>
      </c>
      <c r="C525" s="52" t="s">
        <v>1123</v>
      </c>
      <c r="D525" s="53">
        <v>643373.0</v>
      </c>
      <c r="E525" s="52" t="s">
        <v>120</v>
      </c>
      <c r="F525" s="52" t="s">
        <v>1286</v>
      </c>
      <c r="G525" s="52" t="s">
        <v>1287</v>
      </c>
      <c r="H525" s="53">
        <v>77109.0</v>
      </c>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c r="BS525" s="54"/>
      <c r="BT525" s="81"/>
      <c r="BU525" s="54"/>
      <c r="BV525" s="54"/>
      <c r="BW525" s="54"/>
      <c r="BX525" s="53">
        <v>1800.0</v>
      </c>
      <c r="BY525" s="53" t="s">
        <v>123</v>
      </c>
      <c r="BZ525" s="58">
        <v>1800.0</v>
      </c>
      <c r="CA525" s="72"/>
      <c r="CB525" s="82"/>
      <c r="CC525" s="31"/>
      <c r="CD525" s="58">
        <v>1800.0</v>
      </c>
      <c r="CE525" s="83" t="s">
        <v>185</v>
      </c>
      <c r="CF525" s="60"/>
      <c r="CG525" s="61">
        <v>0.0</v>
      </c>
      <c r="CH525" s="84"/>
      <c r="CI525" s="63">
        <v>0.0</v>
      </c>
      <c r="CJ525" s="63">
        <v>164.0</v>
      </c>
      <c r="CK525" s="64">
        <v>-35.0</v>
      </c>
      <c r="CL525" s="63">
        <v>129.0</v>
      </c>
      <c r="CM525" s="65">
        <v>0.0</v>
      </c>
      <c r="CN525" s="63">
        <v>0.0</v>
      </c>
      <c r="CO525" s="66">
        <v>0.0</v>
      </c>
      <c r="CP525" s="67">
        <v>0.0</v>
      </c>
      <c r="CQ525" s="63">
        <v>0.0</v>
      </c>
      <c r="CR525" s="63">
        <v>0.0</v>
      </c>
      <c r="CS525" s="63">
        <v>0.0</v>
      </c>
      <c r="CT525" s="68"/>
      <c r="CU525" s="69"/>
      <c r="CV525" s="70"/>
      <c r="CW525" s="71">
        <v>6.0</v>
      </c>
      <c r="CX525" s="71" t="s">
        <v>401</v>
      </c>
      <c r="CY525" s="71" t="s">
        <v>402</v>
      </c>
      <c r="CZ525" s="45"/>
      <c r="DA525" s="43"/>
      <c r="DB525" s="44">
        <v>0.0</v>
      </c>
      <c r="DC525" s="43"/>
      <c r="DD525" s="78"/>
      <c r="DE525" s="43"/>
      <c r="DF525" s="43"/>
      <c r="DG525" s="48" t="s">
        <v>128</v>
      </c>
      <c r="DH525" s="48" t="s">
        <v>128</v>
      </c>
      <c r="DI525" s="85" t="str">
        <f>+ OFF 30 DIAS SIN VENTA</f>
        <v>#ERROR!</v>
      </c>
      <c r="DJ525" s="49">
        <v>1.0</v>
      </c>
      <c r="DK525" s="48" t="b">
        <v>0</v>
      </c>
      <c r="DL525" s="50" t="s">
        <v>1244</v>
      </c>
      <c r="DM525" s="50" t="s">
        <v>131</v>
      </c>
      <c r="DN525" s="50" t="s">
        <v>1245</v>
      </c>
      <c r="DO525" s="49">
        <v>0.07</v>
      </c>
      <c r="DP525" s="48" t="s">
        <v>128</v>
      </c>
      <c r="DQ525" s="86" t="str">
        <f>+ OFF 30 DIAS SIN VENTA</f>
        <v>#ERROR!</v>
      </c>
      <c r="DR525" s="51"/>
      <c r="DS525" s="48" t="s">
        <v>134</v>
      </c>
    </row>
    <row r="526">
      <c r="A526" s="23" t="s">
        <v>118</v>
      </c>
      <c r="B526" s="24">
        <v>4.0</v>
      </c>
      <c r="C526" s="23" t="s">
        <v>1123</v>
      </c>
      <c r="D526" s="24">
        <v>648803.0</v>
      </c>
      <c r="E526" s="23" t="s">
        <v>189</v>
      </c>
      <c r="F526" s="23" t="s">
        <v>1288</v>
      </c>
      <c r="G526" s="23" t="s">
        <v>1289</v>
      </c>
      <c r="H526" s="24">
        <v>77109.0</v>
      </c>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7"/>
      <c r="BU526" s="26"/>
      <c r="BV526" s="26"/>
      <c r="BW526" s="26"/>
      <c r="BX526" s="24">
        <v>2400.0</v>
      </c>
      <c r="BY526" s="24" t="s">
        <v>123</v>
      </c>
      <c r="BZ526" s="28">
        <v>2400.0</v>
      </c>
      <c r="CA526" s="72"/>
      <c r="CB526" s="82"/>
      <c r="CC526" s="31"/>
      <c r="CD526" s="28">
        <v>2400.0</v>
      </c>
      <c r="CE526" s="88" t="s">
        <v>185</v>
      </c>
      <c r="CF526" s="33"/>
      <c r="CG526" s="34">
        <v>0.0</v>
      </c>
      <c r="CH526" s="89"/>
      <c r="CI526" s="36">
        <v>0.0</v>
      </c>
      <c r="CJ526" s="36">
        <v>164.0</v>
      </c>
      <c r="CK526" s="37">
        <v>-35.0</v>
      </c>
      <c r="CL526" s="36">
        <v>129.0</v>
      </c>
      <c r="CM526" s="38">
        <v>0.0</v>
      </c>
      <c r="CN526" s="36">
        <v>0.0</v>
      </c>
      <c r="CO526" s="39">
        <v>0.0</v>
      </c>
      <c r="CP526" s="40">
        <v>0.0</v>
      </c>
      <c r="CQ526" s="36">
        <v>0.0</v>
      </c>
      <c r="CR526" s="36">
        <v>0.0</v>
      </c>
      <c r="CS526" s="36">
        <v>0.0</v>
      </c>
      <c r="CT526" s="41"/>
      <c r="CU526" s="42"/>
      <c r="CV526" s="43"/>
      <c r="CW526" s="44">
        <v>8.0</v>
      </c>
      <c r="CX526" s="44" t="s">
        <v>125</v>
      </c>
      <c r="CY526" s="44" t="s">
        <v>126</v>
      </c>
      <c r="CZ526" s="45"/>
      <c r="DA526" s="43"/>
      <c r="DB526" s="44">
        <v>0.0</v>
      </c>
      <c r="DC526" s="43"/>
      <c r="DD526" s="78"/>
      <c r="DE526" s="43"/>
      <c r="DF526" s="43"/>
      <c r="DG526" s="48" t="s">
        <v>128</v>
      </c>
      <c r="DH526" s="48" t="s">
        <v>128</v>
      </c>
      <c r="DI526" s="85" t="str">
        <f>+ OFF 30 DIAS SIN VENTA</f>
        <v>#ERROR!</v>
      </c>
      <c r="DJ526" s="49">
        <v>1.0</v>
      </c>
      <c r="DK526" s="48" t="b">
        <v>0</v>
      </c>
      <c r="DL526" s="50" t="s">
        <v>1244</v>
      </c>
      <c r="DM526" s="50" t="s">
        <v>131</v>
      </c>
      <c r="DN526" s="50" t="s">
        <v>1245</v>
      </c>
      <c r="DO526" s="49">
        <v>0.07</v>
      </c>
      <c r="DP526" s="48" t="s">
        <v>128</v>
      </c>
      <c r="DQ526" s="86" t="str">
        <f>+ OFF 30 DIAS SIN VENTA</f>
        <v>#ERROR!</v>
      </c>
      <c r="DR526" s="51"/>
      <c r="DS526" s="48" t="s">
        <v>134</v>
      </c>
    </row>
    <row r="527">
      <c r="A527" s="52" t="s">
        <v>118</v>
      </c>
      <c r="B527" s="53">
        <v>4.0</v>
      </c>
      <c r="C527" s="52" t="s">
        <v>1123</v>
      </c>
      <c r="D527" s="53">
        <v>626041.0</v>
      </c>
      <c r="E527" s="52" t="s">
        <v>135</v>
      </c>
      <c r="F527" s="52" t="s">
        <v>1290</v>
      </c>
      <c r="G527" s="52" t="s">
        <v>1291</v>
      </c>
      <c r="H527" s="53">
        <v>77109.0</v>
      </c>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81"/>
      <c r="BU527" s="54"/>
      <c r="BV527" s="54"/>
      <c r="BW527" s="54"/>
      <c r="BX527" s="53">
        <v>2100.0</v>
      </c>
      <c r="BY527" s="53" t="s">
        <v>123</v>
      </c>
      <c r="BZ527" s="58">
        <v>2100.0</v>
      </c>
      <c r="CA527" s="72"/>
      <c r="CB527" s="82"/>
      <c r="CC527" s="31"/>
      <c r="CD527" s="58">
        <v>2100.0</v>
      </c>
      <c r="CE527" s="83" t="s">
        <v>185</v>
      </c>
      <c r="CF527" s="60"/>
      <c r="CG527" s="61">
        <v>0.0</v>
      </c>
      <c r="CH527" s="84"/>
      <c r="CI527" s="63">
        <v>0.0</v>
      </c>
      <c r="CJ527" s="63">
        <v>164.0</v>
      </c>
      <c r="CK527" s="64">
        <v>-35.0</v>
      </c>
      <c r="CL527" s="63">
        <v>129.0</v>
      </c>
      <c r="CM527" s="65">
        <v>0.0</v>
      </c>
      <c r="CN527" s="63">
        <v>0.0</v>
      </c>
      <c r="CO527" s="66">
        <v>0.0</v>
      </c>
      <c r="CP527" s="67">
        <v>0.0</v>
      </c>
      <c r="CQ527" s="63">
        <v>0.0</v>
      </c>
      <c r="CR527" s="63">
        <v>0.0</v>
      </c>
      <c r="CS527" s="63">
        <v>0.0</v>
      </c>
      <c r="CT527" s="68"/>
      <c r="CU527" s="69"/>
      <c r="CV527" s="70"/>
      <c r="CW527" s="71">
        <v>7.0</v>
      </c>
      <c r="CX527" s="71" t="s">
        <v>201</v>
      </c>
      <c r="CY527" s="71" t="s">
        <v>202</v>
      </c>
      <c r="CZ527" s="45"/>
      <c r="DA527" s="43"/>
      <c r="DB527" s="44">
        <v>0.0</v>
      </c>
      <c r="DC527" s="43"/>
      <c r="DD527" s="78"/>
      <c r="DE527" s="43"/>
      <c r="DF527" s="43"/>
      <c r="DG527" s="48" t="s">
        <v>128</v>
      </c>
      <c r="DH527" s="48" t="s">
        <v>128</v>
      </c>
      <c r="DI527" s="85" t="str">
        <f>+ OFF 30 DIAS SIN VENTA</f>
        <v>#ERROR!</v>
      </c>
      <c r="DJ527" s="49">
        <v>1.0</v>
      </c>
      <c r="DK527" s="48" t="b">
        <v>0</v>
      </c>
      <c r="DL527" s="50" t="s">
        <v>1244</v>
      </c>
      <c r="DM527" s="50" t="s">
        <v>131</v>
      </c>
      <c r="DN527" s="50" t="s">
        <v>1245</v>
      </c>
      <c r="DO527" s="49">
        <v>0.07</v>
      </c>
      <c r="DP527" s="48" t="s">
        <v>128</v>
      </c>
      <c r="DQ527" s="86" t="str">
        <f>+ OFF 30 DIAS SIN VENTA</f>
        <v>#ERROR!</v>
      </c>
      <c r="DR527" s="51"/>
      <c r="DS527" s="48" t="s">
        <v>134</v>
      </c>
    </row>
    <row r="528">
      <c r="A528" s="23" t="s">
        <v>118</v>
      </c>
      <c r="B528" s="24">
        <v>4.0</v>
      </c>
      <c r="C528" s="23" t="s">
        <v>1123</v>
      </c>
      <c r="D528" s="24">
        <v>536832.0</v>
      </c>
      <c r="E528" s="23" t="s">
        <v>158</v>
      </c>
      <c r="F528" s="23" t="s">
        <v>1292</v>
      </c>
      <c r="G528" s="23" t="s">
        <v>1293</v>
      </c>
      <c r="H528" s="24">
        <v>77109.0</v>
      </c>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7"/>
      <c r="BU528" s="26"/>
      <c r="BV528" s="26"/>
      <c r="BW528" s="26"/>
      <c r="BX528" s="24">
        <v>1.0</v>
      </c>
      <c r="BY528" s="23" t="s">
        <v>123</v>
      </c>
      <c r="BZ528" s="87">
        <v>1.0</v>
      </c>
      <c r="CA528" s="72"/>
      <c r="CB528" s="82"/>
      <c r="CC528" s="31"/>
      <c r="CD528" s="28">
        <v>1.0</v>
      </c>
      <c r="CE528" s="88" t="s">
        <v>185</v>
      </c>
      <c r="CF528" s="33"/>
      <c r="CG528" s="34">
        <v>0.0</v>
      </c>
      <c r="CH528" s="89"/>
      <c r="CI528" s="36">
        <v>0.0</v>
      </c>
      <c r="CJ528" s="36">
        <v>164.0</v>
      </c>
      <c r="CK528" s="37">
        <v>-35.0</v>
      </c>
      <c r="CL528" s="36">
        <v>129.0</v>
      </c>
      <c r="CM528" s="38">
        <v>0.0</v>
      </c>
      <c r="CN528" s="36">
        <v>0.0</v>
      </c>
      <c r="CO528" s="39">
        <v>0.0</v>
      </c>
      <c r="CP528" s="40">
        <v>0.0</v>
      </c>
      <c r="CQ528" s="36">
        <v>0.0</v>
      </c>
      <c r="CR528" s="36">
        <v>0.0</v>
      </c>
      <c r="CS528" s="36">
        <v>0.0</v>
      </c>
      <c r="CT528" s="41"/>
      <c r="CU528" s="42"/>
      <c r="CV528" s="43"/>
      <c r="CW528" s="44">
        <v>1.0</v>
      </c>
      <c r="CX528" s="44">
        <v>1.0</v>
      </c>
      <c r="CY528" s="44">
        <v>0.1</v>
      </c>
      <c r="CZ528" s="45"/>
      <c r="DA528" s="43"/>
      <c r="DB528" s="44">
        <v>0.0</v>
      </c>
      <c r="DC528" s="43"/>
      <c r="DD528" s="78"/>
      <c r="DE528" s="43"/>
      <c r="DF528" s="43"/>
      <c r="DG528" s="48" t="s">
        <v>128</v>
      </c>
      <c r="DH528" s="48" t="s">
        <v>131</v>
      </c>
      <c r="DI528" s="48" t="s">
        <v>188</v>
      </c>
      <c r="DJ528" s="49">
        <v>1.0</v>
      </c>
      <c r="DK528" s="48" t="b">
        <v>0</v>
      </c>
      <c r="DL528" s="50" t="s">
        <v>1244</v>
      </c>
      <c r="DM528" s="50" t="s">
        <v>131</v>
      </c>
      <c r="DN528" s="50" t="s">
        <v>1245</v>
      </c>
      <c r="DO528" s="49">
        <v>0.07</v>
      </c>
      <c r="DP528" s="51"/>
      <c r="DQ528" s="48" t="s">
        <v>188</v>
      </c>
      <c r="DR528" s="51"/>
      <c r="DS528" s="48" t="s">
        <v>134</v>
      </c>
    </row>
    <row r="529">
      <c r="A529" s="52" t="s">
        <v>118</v>
      </c>
      <c r="B529" s="53">
        <v>4.0</v>
      </c>
      <c r="C529" s="52" t="s">
        <v>1123</v>
      </c>
      <c r="D529" s="53">
        <v>643373.0</v>
      </c>
      <c r="E529" s="52" t="s">
        <v>120</v>
      </c>
      <c r="F529" s="52" t="s">
        <v>1294</v>
      </c>
      <c r="G529" s="52" t="s">
        <v>1295</v>
      </c>
      <c r="H529" s="53">
        <v>77699.0</v>
      </c>
      <c r="I529" s="53">
        <v>1.0</v>
      </c>
      <c r="J529" s="53">
        <v>0.0</v>
      </c>
      <c r="K529" s="53">
        <v>0.0</v>
      </c>
      <c r="L529" s="53">
        <v>0.0</v>
      </c>
      <c r="M529" s="53">
        <v>0.0</v>
      </c>
      <c r="N529" s="53">
        <v>0.0</v>
      </c>
      <c r="O529" s="53">
        <v>0.0</v>
      </c>
      <c r="P529" s="53">
        <v>0.0</v>
      </c>
      <c r="Q529" s="53">
        <v>0.0</v>
      </c>
      <c r="R529" s="53">
        <v>0.0</v>
      </c>
      <c r="S529" s="53">
        <v>0.0</v>
      </c>
      <c r="T529" s="53">
        <v>0.0</v>
      </c>
      <c r="U529" s="53">
        <v>0.0</v>
      </c>
      <c r="V529" s="53">
        <v>0.0</v>
      </c>
      <c r="W529" s="53">
        <v>0.0</v>
      </c>
      <c r="X529" s="53">
        <v>0.0</v>
      </c>
      <c r="Y529" s="53">
        <v>0.0</v>
      </c>
      <c r="Z529" s="53">
        <v>0.0</v>
      </c>
      <c r="AA529" s="53">
        <v>1.0</v>
      </c>
      <c r="AB529" s="53">
        <v>0.0</v>
      </c>
      <c r="AC529" s="53">
        <v>0.0</v>
      </c>
      <c r="AD529" s="53">
        <v>0.0</v>
      </c>
      <c r="AE529" s="53">
        <v>0.0</v>
      </c>
      <c r="AF529" s="53">
        <v>0.0</v>
      </c>
      <c r="AG529" s="53">
        <v>0.0</v>
      </c>
      <c r="AH529" s="53">
        <v>0.0</v>
      </c>
      <c r="AI529" s="53">
        <v>0.0</v>
      </c>
      <c r="AJ529" s="53">
        <v>0.0</v>
      </c>
      <c r="AK529" s="53">
        <v>0.0</v>
      </c>
      <c r="AL529" s="53">
        <v>0.0</v>
      </c>
      <c r="AM529" s="53">
        <v>0.0</v>
      </c>
      <c r="AN529" s="53">
        <v>0.0</v>
      </c>
      <c r="AO529" s="25">
        <v>44.9</v>
      </c>
      <c r="AP529" s="54"/>
      <c r="AQ529" s="54"/>
      <c r="AR529" s="54"/>
      <c r="AS529" s="54"/>
      <c r="AT529" s="54"/>
      <c r="AU529" s="54"/>
      <c r="AV529" s="54"/>
      <c r="AW529" s="54"/>
      <c r="AX529" s="54"/>
      <c r="AY529" s="54"/>
      <c r="AZ529" s="54"/>
      <c r="BA529" s="54"/>
      <c r="BB529" s="54"/>
      <c r="BC529" s="54"/>
      <c r="BD529" s="54"/>
      <c r="BE529" s="54"/>
      <c r="BF529" s="54"/>
      <c r="BG529" s="53">
        <v>44.93</v>
      </c>
      <c r="BH529" s="54"/>
      <c r="BI529" s="54"/>
      <c r="BJ529" s="54"/>
      <c r="BK529" s="54"/>
      <c r="BL529" s="54"/>
      <c r="BM529" s="54"/>
      <c r="BN529" s="54"/>
      <c r="BO529" s="54"/>
      <c r="BP529" s="53">
        <v>1.47</v>
      </c>
      <c r="BQ529" s="53">
        <v>2.82</v>
      </c>
      <c r="BR529" s="53">
        <v>4.08</v>
      </c>
      <c r="BS529" s="25">
        <v>26.15</v>
      </c>
      <c r="BT529" s="81"/>
      <c r="BU529" s="54"/>
      <c r="BV529" s="54"/>
      <c r="BW529" s="54"/>
      <c r="BX529" s="53">
        <v>1.0</v>
      </c>
      <c r="BY529" s="53" t="s">
        <v>123</v>
      </c>
      <c r="BZ529" s="108">
        <v>1.0</v>
      </c>
      <c r="CA529" s="72"/>
      <c r="CB529" s="30">
        <v>2200.0</v>
      </c>
      <c r="CC529" s="31"/>
      <c r="CD529" s="58">
        <v>2200.0</v>
      </c>
      <c r="CE529" s="59" t="e">
        <v>#REF!</v>
      </c>
      <c r="CF529" s="79" t="str">
        <f>+2,199</f>
        <v>#ERROR!</v>
      </c>
      <c r="CG529" s="61">
        <v>0.0</v>
      </c>
      <c r="CH529" s="62">
        <v>0.0</v>
      </c>
      <c r="CI529" s="63">
        <v>1.0</v>
      </c>
      <c r="CJ529" s="63">
        <v>2453.0</v>
      </c>
      <c r="CK529" s="94">
        <f t="shared" ref="CK529:CK554" si="12">+167</f>
        <v>167</v>
      </c>
      <c r="CL529" s="63">
        <v>2620.0</v>
      </c>
      <c r="CM529" s="65">
        <v>45.0</v>
      </c>
      <c r="CN529" s="63">
        <v>-98878.0</v>
      </c>
      <c r="CO529" s="66">
        <v>98922.9</v>
      </c>
      <c r="CP529" s="90" t="str">
        <f>+98,878.0</f>
        <v>#ERROR!</v>
      </c>
      <c r="CQ529" s="63">
        <v>1.0</v>
      </c>
      <c r="CR529" s="63">
        <v>1.0</v>
      </c>
      <c r="CS529" s="63">
        <v>26.0</v>
      </c>
      <c r="CT529" s="68"/>
      <c r="CU529" s="69"/>
      <c r="CV529" s="70"/>
      <c r="CW529" s="71">
        <v>8.0</v>
      </c>
      <c r="CX529" s="71" t="s">
        <v>125</v>
      </c>
      <c r="CY529" s="71" t="s">
        <v>529</v>
      </c>
      <c r="CZ529" s="76" t="s">
        <v>151</v>
      </c>
      <c r="DA529" s="44">
        <v>1.0</v>
      </c>
      <c r="DB529" s="44">
        <v>0.0</v>
      </c>
      <c r="DC529" s="43"/>
      <c r="DD529" s="78"/>
      <c r="DE529" s="43"/>
      <c r="DF529" s="43"/>
      <c r="DG529" s="48" t="s">
        <v>128</v>
      </c>
      <c r="DH529" s="48" t="s">
        <v>128</v>
      </c>
      <c r="DI529" s="48" t="s">
        <v>129</v>
      </c>
      <c r="DJ529" s="49">
        <v>0.0</v>
      </c>
      <c r="DK529" s="48" t="b">
        <v>0</v>
      </c>
      <c r="DL529" s="50" t="s">
        <v>1296</v>
      </c>
      <c r="DM529" s="50" t="s">
        <v>128</v>
      </c>
      <c r="DN529" s="50" t="s">
        <v>952</v>
      </c>
      <c r="DO529" s="49">
        <v>0.89</v>
      </c>
      <c r="DP529" s="48" t="s">
        <v>128</v>
      </c>
      <c r="DQ529" s="48" t="s">
        <v>417</v>
      </c>
      <c r="DR529" s="48" t="s">
        <v>392</v>
      </c>
      <c r="DS529" s="48" t="s">
        <v>134</v>
      </c>
    </row>
    <row r="530">
      <c r="A530" s="23" t="s">
        <v>118</v>
      </c>
      <c r="B530" s="24">
        <v>4.0</v>
      </c>
      <c r="C530" s="23" t="s">
        <v>1123</v>
      </c>
      <c r="D530" s="24">
        <v>680909.0</v>
      </c>
      <c r="E530" s="23" t="s">
        <v>288</v>
      </c>
      <c r="F530" s="23" t="s">
        <v>1297</v>
      </c>
      <c r="G530" s="23" t="s">
        <v>1298</v>
      </c>
      <c r="H530" s="24">
        <v>77699.0</v>
      </c>
      <c r="I530" s="24">
        <v>1.0</v>
      </c>
      <c r="J530" s="24">
        <v>0.0</v>
      </c>
      <c r="K530" s="24">
        <v>0.0</v>
      </c>
      <c r="L530" s="24">
        <v>0.0</v>
      </c>
      <c r="M530" s="24">
        <v>0.0</v>
      </c>
      <c r="N530" s="24">
        <v>0.0</v>
      </c>
      <c r="O530" s="24">
        <v>0.0</v>
      </c>
      <c r="P530" s="24">
        <v>0.0</v>
      </c>
      <c r="Q530" s="24">
        <v>0.0</v>
      </c>
      <c r="R530" s="24">
        <v>0.0</v>
      </c>
      <c r="S530" s="24">
        <v>0.0</v>
      </c>
      <c r="T530" s="24">
        <v>0.0</v>
      </c>
      <c r="U530" s="24">
        <v>0.0</v>
      </c>
      <c r="V530" s="24">
        <v>0.0</v>
      </c>
      <c r="W530" s="24">
        <v>0.0</v>
      </c>
      <c r="X530" s="24">
        <v>1.0</v>
      </c>
      <c r="Y530" s="24">
        <v>0.0</v>
      </c>
      <c r="Z530" s="24">
        <v>0.0</v>
      </c>
      <c r="AA530" s="24">
        <v>0.0</v>
      </c>
      <c r="AB530" s="24">
        <v>0.0</v>
      </c>
      <c r="AC530" s="24">
        <v>0.0</v>
      </c>
      <c r="AD530" s="24">
        <v>0.0</v>
      </c>
      <c r="AE530" s="24">
        <v>0.0</v>
      </c>
      <c r="AF530" s="24">
        <v>0.0</v>
      </c>
      <c r="AG530" s="24">
        <v>0.0</v>
      </c>
      <c r="AH530" s="24">
        <v>0.0</v>
      </c>
      <c r="AI530" s="24">
        <v>0.0</v>
      </c>
      <c r="AJ530" s="24">
        <v>0.0</v>
      </c>
      <c r="AK530" s="24">
        <v>0.0</v>
      </c>
      <c r="AL530" s="24">
        <v>0.0</v>
      </c>
      <c r="AM530" s="24">
        <v>0.0</v>
      </c>
      <c r="AN530" s="24">
        <v>0.0</v>
      </c>
      <c r="AO530" s="25">
        <v>22.6</v>
      </c>
      <c r="AP530" s="26"/>
      <c r="AQ530" s="26"/>
      <c r="AR530" s="26"/>
      <c r="AS530" s="26"/>
      <c r="AT530" s="26"/>
      <c r="AU530" s="26"/>
      <c r="AV530" s="26"/>
      <c r="AW530" s="26"/>
      <c r="AX530" s="26"/>
      <c r="AY530" s="26"/>
      <c r="AZ530" s="26"/>
      <c r="BA530" s="26"/>
      <c r="BB530" s="26"/>
      <c r="BC530" s="26"/>
      <c r="BD530" s="24">
        <v>22.63</v>
      </c>
      <c r="BE530" s="26"/>
      <c r="BF530" s="26"/>
      <c r="BG530" s="26"/>
      <c r="BH530" s="26"/>
      <c r="BI530" s="26"/>
      <c r="BJ530" s="26"/>
      <c r="BK530" s="26"/>
      <c r="BL530" s="26"/>
      <c r="BM530" s="26"/>
      <c r="BN530" s="26"/>
      <c r="BO530" s="26"/>
      <c r="BP530" s="24">
        <v>1.52</v>
      </c>
      <c r="BQ530" s="24">
        <v>3.75</v>
      </c>
      <c r="BR530" s="24">
        <v>5.08</v>
      </c>
      <c r="BS530" s="25">
        <v>11.03</v>
      </c>
      <c r="BT530" s="27"/>
      <c r="BU530" s="26"/>
      <c r="BV530" s="26"/>
      <c r="BW530" s="26"/>
      <c r="BX530" s="24">
        <v>2100.0</v>
      </c>
      <c r="BY530" s="24" t="s">
        <v>123</v>
      </c>
      <c r="BZ530" s="28">
        <v>1800.0</v>
      </c>
      <c r="CA530" s="29" t="s">
        <v>124</v>
      </c>
      <c r="CB530" s="30">
        <v>3000.0</v>
      </c>
      <c r="CC530" s="31"/>
      <c r="CD530" s="28">
        <v>3000.0</v>
      </c>
      <c r="CE530" s="32" t="e">
        <v>#REF!</v>
      </c>
      <c r="CF530" s="73">
        <f>+900</f>
        <v>900</v>
      </c>
      <c r="CG530" s="74">
        <f>+1</f>
        <v>1</v>
      </c>
      <c r="CH530" s="35">
        <v>1.0</v>
      </c>
      <c r="CI530" s="36">
        <v>2.0</v>
      </c>
      <c r="CJ530" s="36">
        <v>2453.0</v>
      </c>
      <c r="CK530" s="93">
        <f t="shared" si="12"/>
        <v>167</v>
      </c>
      <c r="CL530" s="36">
        <v>2620.0</v>
      </c>
      <c r="CM530" s="38">
        <v>23.0</v>
      </c>
      <c r="CN530" s="36">
        <v>-25.0</v>
      </c>
      <c r="CO530" s="39">
        <v>23.8</v>
      </c>
      <c r="CP530" s="75">
        <f>+1.2</f>
        <v>1.2</v>
      </c>
      <c r="CQ530" s="36">
        <v>2.0</v>
      </c>
      <c r="CR530" s="36">
        <v>3.0</v>
      </c>
      <c r="CS530" s="36">
        <v>22.0</v>
      </c>
      <c r="CT530" s="41"/>
      <c r="CU530" s="42"/>
      <c r="CV530" s="43"/>
      <c r="CW530" s="44">
        <v>10.0</v>
      </c>
      <c r="CX530" s="44" t="s">
        <v>138</v>
      </c>
      <c r="CY530" s="44" t="s">
        <v>139</v>
      </c>
      <c r="CZ530" s="76" t="s">
        <v>151</v>
      </c>
      <c r="DA530" s="44">
        <v>2100.0</v>
      </c>
      <c r="DB530" s="44">
        <v>0.0</v>
      </c>
      <c r="DC530" s="43"/>
      <c r="DD530" s="78"/>
      <c r="DE530" s="43"/>
      <c r="DF530" s="43"/>
      <c r="DG530" s="48" t="s">
        <v>128</v>
      </c>
      <c r="DH530" s="48" t="s">
        <v>128</v>
      </c>
      <c r="DI530" s="48" t="s">
        <v>129</v>
      </c>
      <c r="DJ530" s="49">
        <v>0.0</v>
      </c>
      <c r="DK530" s="48" t="b">
        <v>0</v>
      </c>
      <c r="DL530" s="50" t="s">
        <v>1296</v>
      </c>
      <c r="DM530" s="50" t="s">
        <v>128</v>
      </c>
      <c r="DN530" s="50" t="s">
        <v>952</v>
      </c>
      <c r="DO530" s="49">
        <v>0.89</v>
      </c>
      <c r="DP530" s="48" t="s">
        <v>128</v>
      </c>
      <c r="DQ530" s="48" t="s">
        <v>417</v>
      </c>
      <c r="DR530" s="51"/>
      <c r="DS530" s="48" t="s">
        <v>134</v>
      </c>
    </row>
    <row r="531">
      <c r="A531" s="52" t="s">
        <v>118</v>
      </c>
      <c r="B531" s="53">
        <v>4.0</v>
      </c>
      <c r="C531" s="52" t="s">
        <v>1123</v>
      </c>
      <c r="D531" s="53">
        <v>604008.0</v>
      </c>
      <c r="E531" s="52" t="s">
        <v>176</v>
      </c>
      <c r="F531" s="52" t="s">
        <v>1299</v>
      </c>
      <c r="G531" s="52" t="s">
        <v>1300</v>
      </c>
      <c r="H531" s="53">
        <v>77699.0</v>
      </c>
      <c r="I531" s="53">
        <v>1.0</v>
      </c>
      <c r="J531" s="53">
        <v>0.0</v>
      </c>
      <c r="K531" s="53">
        <v>0.0</v>
      </c>
      <c r="L531" s="53">
        <v>0.0</v>
      </c>
      <c r="M531" s="53">
        <v>0.0</v>
      </c>
      <c r="N531" s="53">
        <v>0.0</v>
      </c>
      <c r="O531" s="53">
        <v>0.0</v>
      </c>
      <c r="P531" s="53">
        <v>0.0</v>
      </c>
      <c r="Q531" s="53">
        <v>0.0</v>
      </c>
      <c r="R531" s="53">
        <v>0.0</v>
      </c>
      <c r="S531" s="53">
        <v>0.0</v>
      </c>
      <c r="T531" s="53">
        <v>0.0</v>
      </c>
      <c r="U531" s="53">
        <v>0.0</v>
      </c>
      <c r="V531" s="53">
        <v>1.0</v>
      </c>
      <c r="W531" s="53">
        <v>0.0</v>
      </c>
      <c r="X531" s="53">
        <v>0.0</v>
      </c>
      <c r="Y531" s="53">
        <v>0.0</v>
      </c>
      <c r="Z531" s="53">
        <v>0.0</v>
      </c>
      <c r="AA531" s="53">
        <v>0.0</v>
      </c>
      <c r="AB531" s="53">
        <v>0.0</v>
      </c>
      <c r="AC531" s="53">
        <v>0.0</v>
      </c>
      <c r="AD531" s="53">
        <v>0.0</v>
      </c>
      <c r="AE531" s="53">
        <v>0.0</v>
      </c>
      <c r="AF531" s="53">
        <v>0.0</v>
      </c>
      <c r="AG531" s="53">
        <v>0.0</v>
      </c>
      <c r="AH531" s="53">
        <v>0.0</v>
      </c>
      <c r="AI531" s="53">
        <v>0.0</v>
      </c>
      <c r="AJ531" s="53">
        <v>0.0</v>
      </c>
      <c r="AK531" s="53">
        <v>0.0</v>
      </c>
      <c r="AL531" s="53">
        <v>0.0</v>
      </c>
      <c r="AM531" s="53">
        <v>0.0</v>
      </c>
      <c r="AN531" s="53">
        <v>0.0</v>
      </c>
      <c r="AO531" s="25">
        <v>24.0</v>
      </c>
      <c r="AP531" s="54"/>
      <c r="AQ531" s="54"/>
      <c r="AR531" s="54"/>
      <c r="AS531" s="54"/>
      <c r="AT531" s="54"/>
      <c r="AU531" s="54"/>
      <c r="AV531" s="54"/>
      <c r="AW531" s="54"/>
      <c r="AX531" s="54"/>
      <c r="AY531" s="54"/>
      <c r="AZ531" s="54"/>
      <c r="BA531" s="54"/>
      <c r="BB531" s="53">
        <v>23.95</v>
      </c>
      <c r="BC531" s="54"/>
      <c r="BD531" s="54"/>
      <c r="BE531" s="54"/>
      <c r="BF531" s="54"/>
      <c r="BG531" s="54"/>
      <c r="BH531" s="54"/>
      <c r="BI531" s="54"/>
      <c r="BJ531" s="54"/>
      <c r="BK531" s="54"/>
      <c r="BL531" s="54"/>
      <c r="BM531" s="54"/>
      <c r="BN531" s="54"/>
      <c r="BO531" s="54"/>
      <c r="BP531" s="53">
        <v>1.07</v>
      </c>
      <c r="BQ531" s="53">
        <v>6.55</v>
      </c>
      <c r="BR531" s="53">
        <v>7.43</v>
      </c>
      <c r="BS531" s="25">
        <v>11.0</v>
      </c>
      <c r="BT531" s="81"/>
      <c r="BU531" s="54"/>
      <c r="BV531" s="54"/>
      <c r="BW531" s="54"/>
      <c r="BX531" s="53">
        <v>1.0</v>
      </c>
      <c r="BY531" s="53" t="s">
        <v>123</v>
      </c>
      <c r="BZ531" s="108">
        <v>1.0</v>
      </c>
      <c r="CA531" s="72"/>
      <c r="CB531" s="30">
        <v>1.0</v>
      </c>
      <c r="CC531" s="31"/>
      <c r="CD531" s="58">
        <v>1.0</v>
      </c>
      <c r="CE531" s="59" t="e">
        <v>#REF!</v>
      </c>
      <c r="CF531" s="60"/>
      <c r="CG531" s="61">
        <v>0.0</v>
      </c>
      <c r="CH531" s="62">
        <v>0.0</v>
      </c>
      <c r="CI531" s="63">
        <v>1.0</v>
      </c>
      <c r="CJ531" s="63">
        <v>2453.0</v>
      </c>
      <c r="CK531" s="94">
        <f t="shared" si="12"/>
        <v>167</v>
      </c>
      <c r="CL531" s="63">
        <v>2620.0</v>
      </c>
      <c r="CM531" s="65">
        <v>24.0</v>
      </c>
      <c r="CN531" s="63">
        <v>0.0</v>
      </c>
      <c r="CO531" s="66">
        <v>24.0</v>
      </c>
      <c r="CP531" s="67">
        <v>0.0</v>
      </c>
      <c r="CQ531" s="63">
        <v>1.0</v>
      </c>
      <c r="CR531" s="63">
        <v>1.0</v>
      </c>
      <c r="CS531" s="63">
        <v>11.0</v>
      </c>
      <c r="CT531" s="68"/>
      <c r="CU531" s="69"/>
      <c r="CV531" s="70"/>
      <c r="CW531" s="71">
        <v>1.0</v>
      </c>
      <c r="CX531" s="71">
        <v>1.0</v>
      </c>
      <c r="CY531" s="71">
        <v>0.1</v>
      </c>
      <c r="CZ531" s="45"/>
      <c r="DA531" s="44">
        <v>1.0</v>
      </c>
      <c r="DB531" s="44">
        <v>0.0</v>
      </c>
      <c r="DC531" s="46" t="s">
        <v>127</v>
      </c>
      <c r="DD531" s="47">
        <v>46197.0</v>
      </c>
      <c r="DE531" s="43"/>
      <c r="DF531" s="43"/>
      <c r="DG531" s="48" t="s">
        <v>128</v>
      </c>
      <c r="DH531" s="48" t="s">
        <v>128</v>
      </c>
      <c r="DI531" s="48" t="s">
        <v>129</v>
      </c>
      <c r="DJ531" s="49">
        <v>1.0</v>
      </c>
      <c r="DK531" s="48" t="b">
        <v>0</v>
      </c>
      <c r="DL531" s="50" t="s">
        <v>1296</v>
      </c>
      <c r="DM531" s="50" t="s">
        <v>128</v>
      </c>
      <c r="DN531" s="50" t="s">
        <v>952</v>
      </c>
      <c r="DO531" s="49">
        <v>0.89</v>
      </c>
      <c r="DP531" s="48" t="s">
        <v>128</v>
      </c>
      <c r="DQ531" s="48" t="s">
        <v>417</v>
      </c>
      <c r="DR531" s="48" t="s">
        <v>526</v>
      </c>
      <c r="DS531" s="48" t="s">
        <v>134</v>
      </c>
    </row>
    <row r="532">
      <c r="A532" s="23" t="s">
        <v>118</v>
      </c>
      <c r="B532" s="24">
        <v>4.0</v>
      </c>
      <c r="C532" s="23" t="s">
        <v>1123</v>
      </c>
      <c r="D532" s="24">
        <v>558730.0</v>
      </c>
      <c r="E532" s="23" t="s">
        <v>148</v>
      </c>
      <c r="F532" s="23" t="s">
        <v>1301</v>
      </c>
      <c r="G532" s="23" t="s">
        <v>1302</v>
      </c>
      <c r="H532" s="24">
        <v>77699.0</v>
      </c>
      <c r="I532" s="24">
        <v>7.0</v>
      </c>
      <c r="J532" s="24">
        <v>0.0</v>
      </c>
      <c r="K532" s="24">
        <v>0.0</v>
      </c>
      <c r="L532" s="24">
        <v>0.0</v>
      </c>
      <c r="M532" s="24">
        <v>0.0</v>
      </c>
      <c r="N532" s="24">
        <v>0.0</v>
      </c>
      <c r="O532" s="24">
        <v>0.0</v>
      </c>
      <c r="P532" s="24">
        <v>0.0</v>
      </c>
      <c r="Q532" s="24">
        <v>0.0</v>
      </c>
      <c r="R532" s="24">
        <v>2.0</v>
      </c>
      <c r="S532" s="24">
        <v>0.0</v>
      </c>
      <c r="T532" s="24">
        <v>0.0</v>
      </c>
      <c r="U532" s="24">
        <v>0.0</v>
      </c>
      <c r="V532" s="24">
        <v>0.0</v>
      </c>
      <c r="W532" s="24">
        <v>0.0</v>
      </c>
      <c r="X532" s="24">
        <v>0.0</v>
      </c>
      <c r="Y532" s="24">
        <v>0.0</v>
      </c>
      <c r="Z532" s="24">
        <v>1.0</v>
      </c>
      <c r="AA532" s="24">
        <v>1.0</v>
      </c>
      <c r="AB532" s="24">
        <v>1.0</v>
      </c>
      <c r="AC532" s="24">
        <v>0.0</v>
      </c>
      <c r="AD532" s="24">
        <v>0.0</v>
      </c>
      <c r="AE532" s="24">
        <v>0.0</v>
      </c>
      <c r="AF532" s="24">
        <v>0.0</v>
      </c>
      <c r="AG532" s="24">
        <v>0.0</v>
      </c>
      <c r="AH532" s="24">
        <v>0.0</v>
      </c>
      <c r="AI532" s="24">
        <v>0.0</v>
      </c>
      <c r="AJ532" s="24">
        <v>0.0</v>
      </c>
      <c r="AK532" s="24">
        <v>0.0</v>
      </c>
      <c r="AL532" s="24">
        <v>0.0</v>
      </c>
      <c r="AM532" s="24">
        <v>0.0</v>
      </c>
      <c r="AN532" s="24">
        <v>2.0</v>
      </c>
      <c r="AO532" s="25">
        <v>20.0</v>
      </c>
      <c r="AP532" s="26"/>
      <c r="AQ532" s="26"/>
      <c r="AR532" s="26"/>
      <c r="AS532" s="26"/>
      <c r="AT532" s="26"/>
      <c r="AU532" s="26"/>
      <c r="AV532" s="26"/>
      <c r="AW532" s="26"/>
      <c r="AX532" s="24">
        <v>13.3</v>
      </c>
      <c r="AY532" s="26"/>
      <c r="AZ532" s="26"/>
      <c r="BA532" s="26"/>
      <c r="BB532" s="26"/>
      <c r="BC532" s="26"/>
      <c r="BD532" s="26"/>
      <c r="BE532" s="26"/>
      <c r="BF532" s="24">
        <v>20.53</v>
      </c>
      <c r="BG532" s="24">
        <v>15.23</v>
      </c>
      <c r="BH532" s="24">
        <v>17.03</v>
      </c>
      <c r="BI532" s="26"/>
      <c r="BJ532" s="26"/>
      <c r="BK532" s="26"/>
      <c r="BL532" s="26"/>
      <c r="BM532" s="26"/>
      <c r="BN532" s="26"/>
      <c r="BO532" s="24">
        <v>0.5</v>
      </c>
      <c r="BP532" s="24">
        <v>0.94</v>
      </c>
      <c r="BQ532" s="24">
        <v>1.42</v>
      </c>
      <c r="BR532" s="24">
        <v>2.15</v>
      </c>
      <c r="BS532" s="25">
        <v>8.97</v>
      </c>
      <c r="BT532" s="56">
        <v>20.5</v>
      </c>
      <c r="BU532" s="25">
        <v>12.5</v>
      </c>
      <c r="BV532" s="57">
        <v>3.05</v>
      </c>
      <c r="BW532" s="26"/>
      <c r="BX532" s="24">
        <v>3000.0</v>
      </c>
      <c r="BY532" s="24" t="s">
        <v>123</v>
      </c>
      <c r="BZ532" s="28">
        <v>2700.0</v>
      </c>
      <c r="CA532" s="29" t="s">
        <v>124</v>
      </c>
      <c r="CB532" s="82"/>
      <c r="CC532" s="31"/>
      <c r="CD532" s="28">
        <v>2700.0</v>
      </c>
      <c r="CE532" s="32" t="e">
        <v>#REF!</v>
      </c>
      <c r="CF532" s="109">
        <v>-300.0</v>
      </c>
      <c r="CG532" s="34">
        <v>-2.0</v>
      </c>
      <c r="CH532" s="35">
        <v>-0.29</v>
      </c>
      <c r="CI532" s="36">
        <v>5.0</v>
      </c>
      <c r="CJ532" s="36">
        <v>2453.0</v>
      </c>
      <c r="CK532" s="93">
        <f t="shared" si="12"/>
        <v>167</v>
      </c>
      <c r="CL532" s="36">
        <v>2620.0</v>
      </c>
      <c r="CM532" s="38">
        <v>140.0</v>
      </c>
      <c r="CN532" s="36">
        <v>0.0</v>
      </c>
      <c r="CO532" s="39">
        <v>28.0</v>
      </c>
      <c r="CP532" s="75">
        <f>+8</f>
        <v>8</v>
      </c>
      <c r="CQ532" s="36">
        <v>7.0</v>
      </c>
      <c r="CR532" s="36">
        <v>5.0</v>
      </c>
      <c r="CS532" s="36">
        <v>45.0</v>
      </c>
      <c r="CT532" s="41"/>
      <c r="CU532" s="42"/>
      <c r="CV532" s="43"/>
      <c r="CW532" s="44">
        <v>9.0</v>
      </c>
      <c r="CX532" s="44" t="s">
        <v>143</v>
      </c>
      <c r="CY532" s="44" t="s">
        <v>144</v>
      </c>
      <c r="CZ532" s="107" t="s">
        <v>124</v>
      </c>
      <c r="DA532" s="44">
        <v>2700.0</v>
      </c>
      <c r="DB532" s="44">
        <v>0.0</v>
      </c>
      <c r="DC532" s="46" t="s">
        <v>127</v>
      </c>
      <c r="DD532" s="47">
        <v>46197.0</v>
      </c>
      <c r="DE532" s="43"/>
      <c r="DF532" s="43"/>
      <c r="DG532" s="48" t="s">
        <v>128</v>
      </c>
      <c r="DH532" s="48" t="s">
        <v>128</v>
      </c>
      <c r="DI532" s="48" t="s">
        <v>128</v>
      </c>
      <c r="DJ532" s="49">
        <v>1.0</v>
      </c>
      <c r="DK532" s="48" t="b">
        <v>0</v>
      </c>
      <c r="DL532" s="50" t="s">
        <v>1296</v>
      </c>
      <c r="DM532" s="50" t="s">
        <v>128</v>
      </c>
      <c r="DN532" s="50" t="s">
        <v>952</v>
      </c>
      <c r="DO532" s="49">
        <v>0.89</v>
      </c>
      <c r="DP532" s="48" t="s">
        <v>128</v>
      </c>
      <c r="DQ532" s="48" t="s">
        <v>128</v>
      </c>
      <c r="DR532" s="51"/>
      <c r="DS532" s="48" t="s">
        <v>134</v>
      </c>
    </row>
    <row r="533">
      <c r="A533" s="52" t="s">
        <v>118</v>
      </c>
      <c r="B533" s="53">
        <v>4.0</v>
      </c>
      <c r="C533" s="52" t="s">
        <v>1123</v>
      </c>
      <c r="D533" s="53">
        <v>648806.0</v>
      </c>
      <c r="E533" s="52" t="s">
        <v>179</v>
      </c>
      <c r="F533" s="52" t="s">
        <v>1303</v>
      </c>
      <c r="G533" s="52" t="s">
        <v>1304</v>
      </c>
      <c r="H533" s="53">
        <v>77699.0</v>
      </c>
      <c r="I533" s="53">
        <v>1.0</v>
      </c>
      <c r="J533" s="53">
        <v>0.0</v>
      </c>
      <c r="K533" s="53">
        <v>0.0</v>
      </c>
      <c r="L533" s="53">
        <v>0.0</v>
      </c>
      <c r="M533" s="53">
        <v>0.0</v>
      </c>
      <c r="N533" s="53">
        <v>0.0</v>
      </c>
      <c r="O533" s="53">
        <v>0.0</v>
      </c>
      <c r="P533" s="53">
        <v>0.0</v>
      </c>
      <c r="Q533" s="53">
        <v>0.0</v>
      </c>
      <c r="R533" s="53">
        <v>0.0</v>
      </c>
      <c r="S533" s="53">
        <v>0.0</v>
      </c>
      <c r="T533" s="53">
        <v>1.0</v>
      </c>
      <c r="U533" s="53">
        <v>0.0</v>
      </c>
      <c r="V533" s="53">
        <v>0.0</v>
      </c>
      <c r="W533" s="53">
        <v>0.0</v>
      </c>
      <c r="X533" s="53">
        <v>0.0</v>
      </c>
      <c r="Y533" s="53">
        <v>0.0</v>
      </c>
      <c r="Z533" s="53">
        <v>0.0</v>
      </c>
      <c r="AA533" s="53">
        <v>0.0</v>
      </c>
      <c r="AB533" s="53">
        <v>0.0</v>
      </c>
      <c r="AC533" s="53">
        <v>0.0</v>
      </c>
      <c r="AD533" s="53">
        <v>0.0</v>
      </c>
      <c r="AE533" s="53">
        <v>0.0</v>
      </c>
      <c r="AF533" s="53">
        <v>0.0</v>
      </c>
      <c r="AG533" s="53">
        <v>0.0</v>
      </c>
      <c r="AH533" s="53">
        <v>0.0</v>
      </c>
      <c r="AI533" s="53">
        <v>0.0</v>
      </c>
      <c r="AJ533" s="53">
        <v>0.0</v>
      </c>
      <c r="AK533" s="53">
        <v>0.0</v>
      </c>
      <c r="AL533" s="53">
        <v>0.0</v>
      </c>
      <c r="AM533" s="53">
        <v>0.0</v>
      </c>
      <c r="AN533" s="53">
        <v>0.0</v>
      </c>
      <c r="AO533" s="25">
        <v>17.1</v>
      </c>
      <c r="AP533" s="54"/>
      <c r="AQ533" s="54"/>
      <c r="AR533" s="54"/>
      <c r="AS533" s="54"/>
      <c r="AT533" s="54"/>
      <c r="AU533" s="54"/>
      <c r="AV533" s="54"/>
      <c r="AW533" s="54"/>
      <c r="AX533" s="54"/>
      <c r="AY533" s="54"/>
      <c r="AZ533" s="53">
        <v>17.07</v>
      </c>
      <c r="BA533" s="54"/>
      <c r="BB533" s="54"/>
      <c r="BC533" s="54"/>
      <c r="BD533" s="54"/>
      <c r="BE533" s="54"/>
      <c r="BF533" s="54"/>
      <c r="BG533" s="54"/>
      <c r="BH533" s="54"/>
      <c r="BI533" s="54"/>
      <c r="BJ533" s="54"/>
      <c r="BK533" s="54"/>
      <c r="BL533" s="54"/>
      <c r="BM533" s="54"/>
      <c r="BN533" s="54"/>
      <c r="BO533" s="54"/>
      <c r="BP533" s="53">
        <v>0.9</v>
      </c>
      <c r="BQ533" s="53">
        <v>0.48</v>
      </c>
      <c r="BR533" s="53">
        <v>1.15</v>
      </c>
      <c r="BS533" s="25">
        <v>7.62</v>
      </c>
      <c r="BT533" s="81"/>
      <c r="BU533" s="54"/>
      <c r="BV533" s="54"/>
      <c r="BW533" s="54"/>
      <c r="BX533" s="53">
        <v>3000.0</v>
      </c>
      <c r="BY533" s="52" t="s">
        <v>123</v>
      </c>
      <c r="BZ533" s="58">
        <v>2700.0</v>
      </c>
      <c r="CA533" s="29" t="s">
        <v>124</v>
      </c>
      <c r="CB533" s="30">
        <v>3000.0</v>
      </c>
      <c r="CC533" s="31"/>
      <c r="CD533" s="58">
        <v>3000.0</v>
      </c>
      <c r="CE533" s="59" t="e">
        <v>#REF!</v>
      </c>
      <c r="CF533" s="60"/>
      <c r="CG533" s="61">
        <v>0.0</v>
      </c>
      <c r="CH533" s="62">
        <v>0.0</v>
      </c>
      <c r="CI533" s="63">
        <v>1.0</v>
      </c>
      <c r="CJ533" s="63">
        <v>2453.0</v>
      </c>
      <c r="CK533" s="94">
        <f t="shared" si="12"/>
        <v>167</v>
      </c>
      <c r="CL533" s="63">
        <v>2620.0</v>
      </c>
      <c r="CM533" s="65">
        <v>17.0</v>
      </c>
      <c r="CN533" s="63">
        <v>0.0</v>
      </c>
      <c r="CO533" s="66">
        <v>17.1</v>
      </c>
      <c r="CP533" s="67">
        <v>0.0</v>
      </c>
      <c r="CQ533" s="63">
        <v>1.0</v>
      </c>
      <c r="CR533" s="63">
        <v>1.0</v>
      </c>
      <c r="CS533" s="63">
        <v>8.0</v>
      </c>
      <c r="CT533" s="68"/>
      <c r="CU533" s="69"/>
      <c r="CV533" s="70"/>
      <c r="CW533" s="71">
        <v>10.0</v>
      </c>
      <c r="CX533" s="71" t="s">
        <v>138</v>
      </c>
      <c r="CY533" s="71" t="s">
        <v>139</v>
      </c>
      <c r="CZ533" s="45"/>
      <c r="DA533" s="44">
        <v>3000.0</v>
      </c>
      <c r="DB533" s="44">
        <v>0.0</v>
      </c>
      <c r="DC533" s="46" t="s">
        <v>127</v>
      </c>
      <c r="DD533" s="47">
        <v>46213.0</v>
      </c>
      <c r="DE533" s="43"/>
      <c r="DF533" s="43"/>
      <c r="DG533" s="48" t="s">
        <v>128</v>
      </c>
      <c r="DH533" s="48" t="s">
        <v>128</v>
      </c>
      <c r="DI533" s="48" t="s">
        <v>129</v>
      </c>
      <c r="DJ533" s="49">
        <v>1.0</v>
      </c>
      <c r="DK533" s="48" t="b">
        <v>0</v>
      </c>
      <c r="DL533" s="50" t="s">
        <v>1296</v>
      </c>
      <c r="DM533" s="50" t="s">
        <v>128</v>
      </c>
      <c r="DN533" s="50" t="s">
        <v>952</v>
      </c>
      <c r="DO533" s="49">
        <v>0.89</v>
      </c>
      <c r="DP533" s="48" t="s">
        <v>128</v>
      </c>
      <c r="DQ533" s="48" t="s">
        <v>133</v>
      </c>
      <c r="DR533" s="51"/>
      <c r="DS533" s="48" t="s">
        <v>134</v>
      </c>
    </row>
    <row r="534">
      <c r="A534" s="23" t="s">
        <v>118</v>
      </c>
      <c r="B534" s="24">
        <v>4.0</v>
      </c>
      <c r="C534" s="23" t="s">
        <v>1123</v>
      </c>
      <c r="D534" s="24">
        <v>648801.0</v>
      </c>
      <c r="E534" s="23" t="s">
        <v>198</v>
      </c>
      <c r="F534" s="23" t="s">
        <v>1305</v>
      </c>
      <c r="G534" s="23" t="s">
        <v>1306</v>
      </c>
      <c r="H534" s="24">
        <v>77699.0</v>
      </c>
      <c r="I534" s="24">
        <v>13.0</v>
      </c>
      <c r="J534" s="24">
        <v>0.0</v>
      </c>
      <c r="K534" s="24">
        <v>0.0</v>
      </c>
      <c r="L534" s="24">
        <v>0.0</v>
      </c>
      <c r="M534" s="24">
        <v>0.0</v>
      </c>
      <c r="N534" s="24">
        <v>0.0</v>
      </c>
      <c r="O534" s="24">
        <v>1.0</v>
      </c>
      <c r="P534" s="24">
        <v>0.0</v>
      </c>
      <c r="Q534" s="24">
        <v>0.0</v>
      </c>
      <c r="R534" s="24">
        <v>0.0</v>
      </c>
      <c r="S534" s="24">
        <v>0.0</v>
      </c>
      <c r="T534" s="24">
        <v>0.0</v>
      </c>
      <c r="U534" s="24">
        <v>0.0</v>
      </c>
      <c r="V534" s="24">
        <v>0.0</v>
      </c>
      <c r="W534" s="24">
        <v>1.0</v>
      </c>
      <c r="X534" s="24">
        <v>4.0</v>
      </c>
      <c r="Y534" s="24">
        <v>2.0</v>
      </c>
      <c r="Z534" s="24">
        <v>1.0</v>
      </c>
      <c r="AA534" s="24">
        <v>0.0</v>
      </c>
      <c r="AB534" s="24">
        <v>0.0</v>
      </c>
      <c r="AC534" s="24">
        <v>0.0</v>
      </c>
      <c r="AD534" s="24">
        <v>0.0</v>
      </c>
      <c r="AE534" s="24">
        <v>1.0</v>
      </c>
      <c r="AF534" s="24">
        <v>0.0</v>
      </c>
      <c r="AG534" s="24">
        <v>0.0</v>
      </c>
      <c r="AH534" s="24">
        <v>1.0</v>
      </c>
      <c r="AI534" s="24">
        <v>0.0</v>
      </c>
      <c r="AJ534" s="24">
        <v>0.0</v>
      </c>
      <c r="AK534" s="24">
        <v>1.0</v>
      </c>
      <c r="AL534" s="24">
        <v>0.0</v>
      </c>
      <c r="AM534" s="24">
        <v>1.0</v>
      </c>
      <c r="AN534" s="24">
        <v>0.0</v>
      </c>
      <c r="AO534" s="25">
        <v>19.3</v>
      </c>
      <c r="AP534" s="26"/>
      <c r="AQ534" s="26"/>
      <c r="AR534" s="26"/>
      <c r="AS534" s="26"/>
      <c r="AT534" s="26"/>
      <c r="AU534" s="24">
        <v>21.87</v>
      </c>
      <c r="AV534" s="26"/>
      <c r="AW534" s="26"/>
      <c r="AX534" s="26"/>
      <c r="AY534" s="26"/>
      <c r="AZ534" s="26"/>
      <c r="BA534" s="26"/>
      <c r="BB534" s="26"/>
      <c r="BC534" s="24">
        <v>16.48</v>
      </c>
      <c r="BD534" s="24">
        <v>16.67</v>
      </c>
      <c r="BE534" s="24">
        <v>25.08</v>
      </c>
      <c r="BF534" s="24">
        <v>42.17</v>
      </c>
      <c r="BG534" s="26"/>
      <c r="BH534" s="26"/>
      <c r="BI534" s="26"/>
      <c r="BJ534" s="26"/>
      <c r="BK534" s="24">
        <v>14.53</v>
      </c>
      <c r="BL534" s="26"/>
      <c r="BM534" s="26"/>
      <c r="BN534" s="24">
        <v>12.82</v>
      </c>
      <c r="BO534" s="24">
        <v>0.22</v>
      </c>
      <c r="BP534" s="24">
        <v>2.97</v>
      </c>
      <c r="BQ534" s="24">
        <v>2.7</v>
      </c>
      <c r="BR534" s="24">
        <v>5.47</v>
      </c>
      <c r="BS534" s="25">
        <v>6.39</v>
      </c>
      <c r="BT534" s="91">
        <v>15.0</v>
      </c>
      <c r="BU534" s="25">
        <v>4.2</v>
      </c>
      <c r="BV534" s="57">
        <v>5.86</v>
      </c>
      <c r="BW534" s="26"/>
      <c r="BX534" s="24">
        <v>3000.0</v>
      </c>
      <c r="BY534" s="24" t="s">
        <v>123</v>
      </c>
      <c r="BZ534" s="28">
        <v>2700.0</v>
      </c>
      <c r="CA534" s="29" t="s">
        <v>124</v>
      </c>
      <c r="CB534" s="30">
        <v>3000.0</v>
      </c>
      <c r="CC534" s="31"/>
      <c r="CD534" s="28">
        <v>3000.0</v>
      </c>
      <c r="CE534" s="32" t="e">
        <v>#REF!</v>
      </c>
      <c r="CF534" s="33"/>
      <c r="CG534" s="34">
        <v>0.0</v>
      </c>
      <c r="CH534" s="35">
        <v>0.0</v>
      </c>
      <c r="CI534" s="36">
        <v>13.0</v>
      </c>
      <c r="CJ534" s="36">
        <v>2453.0</v>
      </c>
      <c r="CK534" s="93">
        <f t="shared" si="12"/>
        <v>167</v>
      </c>
      <c r="CL534" s="36">
        <v>2620.0</v>
      </c>
      <c r="CM534" s="38">
        <v>251.0</v>
      </c>
      <c r="CN534" s="36">
        <v>0.0</v>
      </c>
      <c r="CO534" s="39">
        <v>19.3</v>
      </c>
      <c r="CP534" s="40">
        <v>0.0</v>
      </c>
      <c r="CQ534" s="36">
        <v>39.0</v>
      </c>
      <c r="CR534" s="36">
        <v>39.0</v>
      </c>
      <c r="CS534" s="36">
        <v>83.0</v>
      </c>
      <c r="CT534" s="41"/>
      <c r="CU534" s="42"/>
      <c r="CV534" s="43"/>
      <c r="CW534" s="44">
        <v>10.0</v>
      </c>
      <c r="CX534" s="44" t="s">
        <v>138</v>
      </c>
      <c r="CY534" s="44" t="s">
        <v>139</v>
      </c>
      <c r="CZ534" s="45"/>
      <c r="DA534" s="44">
        <v>3000.0</v>
      </c>
      <c r="DB534" s="44">
        <v>0.0</v>
      </c>
      <c r="DC534" s="46" t="s">
        <v>127</v>
      </c>
      <c r="DD534" s="47">
        <v>46213.0</v>
      </c>
      <c r="DE534" s="43"/>
      <c r="DF534" s="43"/>
      <c r="DG534" s="48" t="s">
        <v>128</v>
      </c>
      <c r="DH534" s="48" t="s">
        <v>128</v>
      </c>
      <c r="DI534" s="48" t="s">
        <v>128</v>
      </c>
      <c r="DJ534" s="49">
        <v>1.0</v>
      </c>
      <c r="DK534" s="48" t="b">
        <v>1</v>
      </c>
      <c r="DL534" s="50" t="s">
        <v>1296</v>
      </c>
      <c r="DM534" s="50" t="s">
        <v>128</v>
      </c>
      <c r="DN534" s="50" t="s">
        <v>952</v>
      </c>
      <c r="DO534" s="49">
        <v>0.89</v>
      </c>
      <c r="DP534" s="48" t="s">
        <v>128</v>
      </c>
      <c r="DQ534" s="48" t="s">
        <v>128</v>
      </c>
      <c r="DR534" s="51"/>
      <c r="DS534" s="48" t="s">
        <v>134</v>
      </c>
    </row>
    <row r="535">
      <c r="A535" s="52" t="s">
        <v>118</v>
      </c>
      <c r="B535" s="53">
        <v>4.0</v>
      </c>
      <c r="C535" s="52" t="s">
        <v>1123</v>
      </c>
      <c r="D535" s="53">
        <v>588071.0</v>
      </c>
      <c r="E535" s="52" t="s">
        <v>152</v>
      </c>
      <c r="F535" s="52" t="s">
        <v>1307</v>
      </c>
      <c r="G535" s="52" t="s">
        <v>1308</v>
      </c>
      <c r="H535" s="53">
        <v>77699.0</v>
      </c>
      <c r="I535" s="53">
        <v>16.0</v>
      </c>
      <c r="J535" s="53">
        <v>0.0</v>
      </c>
      <c r="K535" s="53">
        <v>0.0</v>
      </c>
      <c r="L535" s="53">
        <v>0.0</v>
      </c>
      <c r="M535" s="53">
        <v>2.0</v>
      </c>
      <c r="N535" s="53">
        <v>0.0</v>
      </c>
      <c r="O535" s="53">
        <v>1.0</v>
      </c>
      <c r="P535" s="53">
        <v>0.0</v>
      </c>
      <c r="Q535" s="53">
        <v>0.0</v>
      </c>
      <c r="R535" s="53">
        <v>1.0</v>
      </c>
      <c r="S535" s="53">
        <v>2.0</v>
      </c>
      <c r="T535" s="53">
        <v>0.0</v>
      </c>
      <c r="U535" s="53">
        <v>1.0</v>
      </c>
      <c r="V535" s="53">
        <v>1.0</v>
      </c>
      <c r="W535" s="53">
        <v>0.0</v>
      </c>
      <c r="X535" s="53">
        <v>2.0</v>
      </c>
      <c r="Y535" s="53">
        <v>1.0</v>
      </c>
      <c r="Z535" s="53">
        <v>1.0</v>
      </c>
      <c r="AA535" s="53">
        <v>1.0</v>
      </c>
      <c r="AB535" s="53">
        <v>1.0</v>
      </c>
      <c r="AC535" s="53">
        <v>1.0</v>
      </c>
      <c r="AD535" s="53">
        <v>0.0</v>
      </c>
      <c r="AE535" s="53">
        <v>0.0</v>
      </c>
      <c r="AF535" s="53">
        <v>0.0</v>
      </c>
      <c r="AG535" s="53">
        <v>1.0</v>
      </c>
      <c r="AH535" s="53">
        <v>0.0</v>
      </c>
      <c r="AI535" s="53">
        <v>0.0</v>
      </c>
      <c r="AJ535" s="53">
        <v>0.0</v>
      </c>
      <c r="AK535" s="53">
        <v>0.0</v>
      </c>
      <c r="AL535" s="53">
        <v>0.0</v>
      </c>
      <c r="AM535" s="53">
        <v>0.0</v>
      </c>
      <c r="AN535" s="53">
        <v>0.0</v>
      </c>
      <c r="AO535" s="25">
        <v>17.6</v>
      </c>
      <c r="AP535" s="54"/>
      <c r="AQ535" s="54"/>
      <c r="AR535" s="54"/>
      <c r="AS535" s="53">
        <v>9.36</v>
      </c>
      <c r="AT535" s="54"/>
      <c r="AU535" s="53">
        <v>14.33</v>
      </c>
      <c r="AV535" s="54"/>
      <c r="AW535" s="54"/>
      <c r="AX535" s="53">
        <v>13.03</v>
      </c>
      <c r="AY535" s="53">
        <v>13.68</v>
      </c>
      <c r="AZ535" s="54"/>
      <c r="BA535" s="53">
        <v>16.38</v>
      </c>
      <c r="BB535" s="53">
        <v>22.5</v>
      </c>
      <c r="BC535" s="54"/>
      <c r="BD535" s="53">
        <v>22.48</v>
      </c>
      <c r="BE535" s="53">
        <v>25.6</v>
      </c>
      <c r="BF535" s="53">
        <v>19.62</v>
      </c>
      <c r="BG535" s="53">
        <v>20.87</v>
      </c>
      <c r="BH535" s="53">
        <v>15.22</v>
      </c>
      <c r="BI535" s="53">
        <v>20.25</v>
      </c>
      <c r="BJ535" s="54"/>
      <c r="BK535" s="54"/>
      <c r="BL535" s="54"/>
      <c r="BM535" s="53">
        <v>22.33</v>
      </c>
      <c r="BN535" s="54"/>
      <c r="BO535" s="54"/>
      <c r="BP535" s="53">
        <v>1.2</v>
      </c>
      <c r="BQ535" s="53">
        <v>2.53</v>
      </c>
      <c r="BR535" s="53">
        <v>3.46</v>
      </c>
      <c r="BS535" s="25">
        <v>6.13</v>
      </c>
      <c r="BT535" s="77">
        <v>14.2</v>
      </c>
      <c r="BU535" s="55">
        <v>3.3</v>
      </c>
      <c r="BV535" s="57">
        <v>5.14</v>
      </c>
      <c r="BW535" s="53">
        <v>1400.0</v>
      </c>
      <c r="BX535" s="53">
        <v>2100.0</v>
      </c>
      <c r="BY535" s="53" t="s">
        <v>123</v>
      </c>
      <c r="BZ535" s="58">
        <v>1800.0</v>
      </c>
      <c r="CA535" s="29" t="s">
        <v>124</v>
      </c>
      <c r="CB535" s="30">
        <v>3000.0</v>
      </c>
      <c r="CC535" s="31"/>
      <c r="CD535" s="58">
        <v>3000.0</v>
      </c>
      <c r="CE535" s="59" t="e">
        <v>#REF!</v>
      </c>
      <c r="CF535" s="79">
        <f>+900</f>
        <v>900</v>
      </c>
      <c r="CG535" s="80">
        <f>+7</f>
        <v>7</v>
      </c>
      <c r="CH535" s="62">
        <v>0.44</v>
      </c>
      <c r="CI535" s="63">
        <v>23.0</v>
      </c>
      <c r="CJ535" s="63">
        <v>2453.0</v>
      </c>
      <c r="CK535" s="94">
        <f t="shared" si="12"/>
        <v>167</v>
      </c>
      <c r="CL535" s="63">
        <v>2620.0</v>
      </c>
      <c r="CM535" s="65">
        <v>282.0</v>
      </c>
      <c r="CN535" s="63">
        <v>-191.0</v>
      </c>
      <c r="CO535" s="66">
        <v>20.5</v>
      </c>
      <c r="CP535" s="90">
        <f>+2.9</f>
        <v>2.9</v>
      </c>
      <c r="CQ535" s="63">
        <v>19.0</v>
      </c>
      <c r="CR535" s="63">
        <v>28.0</v>
      </c>
      <c r="CS535" s="63">
        <v>141.0</v>
      </c>
      <c r="CT535" s="68"/>
      <c r="CU535" s="69"/>
      <c r="CV535" s="70"/>
      <c r="CW535" s="71">
        <v>10.0</v>
      </c>
      <c r="CX535" s="71" t="s">
        <v>138</v>
      </c>
      <c r="CY535" s="71" t="s">
        <v>139</v>
      </c>
      <c r="CZ535" s="76" t="s">
        <v>151</v>
      </c>
      <c r="DA535" s="44">
        <v>2100.0</v>
      </c>
      <c r="DB535" s="44">
        <v>0.0</v>
      </c>
      <c r="DC535" s="46" t="s">
        <v>127</v>
      </c>
      <c r="DD535" s="47">
        <v>46233.0</v>
      </c>
      <c r="DE535" s="43"/>
      <c r="DF535" s="43"/>
      <c r="DG535" s="48" t="s">
        <v>128</v>
      </c>
      <c r="DH535" s="48" t="s">
        <v>128</v>
      </c>
      <c r="DI535" s="48" t="s">
        <v>128</v>
      </c>
      <c r="DJ535" s="49">
        <v>1.0</v>
      </c>
      <c r="DK535" s="48" t="b">
        <v>1</v>
      </c>
      <c r="DL535" s="50" t="s">
        <v>1296</v>
      </c>
      <c r="DM535" s="50" t="s">
        <v>128</v>
      </c>
      <c r="DN535" s="50" t="s">
        <v>952</v>
      </c>
      <c r="DO535" s="49">
        <v>0.89</v>
      </c>
      <c r="DP535" s="48" t="s">
        <v>128</v>
      </c>
      <c r="DQ535" s="48" t="s">
        <v>128</v>
      </c>
      <c r="DR535" s="51"/>
      <c r="DS535" s="48" t="s">
        <v>134</v>
      </c>
    </row>
    <row r="536">
      <c r="A536" s="23" t="s">
        <v>118</v>
      </c>
      <c r="B536" s="24">
        <v>4.0</v>
      </c>
      <c r="C536" s="23" t="s">
        <v>1123</v>
      </c>
      <c r="D536" s="24">
        <v>642178.0</v>
      </c>
      <c r="E536" s="23" t="s">
        <v>205</v>
      </c>
      <c r="F536" s="23" t="s">
        <v>1309</v>
      </c>
      <c r="G536" s="23" t="s">
        <v>1310</v>
      </c>
      <c r="H536" s="24">
        <v>77699.0</v>
      </c>
      <c r="I536" s="24">
        <v>32.0</v>
      </c>
      <c r="J536" s="24">
        <v>0.0</v>
      </c>
      <c r="K536" s="24">
        <v>0.0</v>
      </c>
      <c r="L536" s="24">
        <v>2.0</v>
      </c>
      <c r="M536" s="24">
        <v>0.0</v>
      </c>
      <c r="N536" s="24">
        <v>0.0</v>
      </c>
      <c r="O536" s="24">
        <v>0.0</v>
      </c>
      <c r="P536" s="24">
        <v>1.0</v>
      </c>
      <c r="Q536" s="24">
        <v>2.0</v>
      </c>
      <c r="R536" s="24">
        <v>0.0</v>
      </c>
      <c r="S536" s="24">
        <v>4.0</v>
      </c>
      <c r="T536" s="24">
        <v>0.0</v>
      </c>
      <c r="U536" s="24">
        <v>1.0</v>
      </c>
      <c r="V536" s="24">
        <v>3.0</v>
      </c>
      <c r="W536" s="24">
        <v>2.0</v>
      </c>
      <c r="X536" s="24">
        <v>2.0</v>
      </c>
      <c r="Y536" s="24">
        <v>3.0</v>
      </c>
      <c r="Z536" s="24">
        <v>1.0</v>
      </c>
      <c r="AA536" s="24">
        <v>2.0</v>
      </c>
      <c r="AB536" s="24">
        <v>2.0</v>
      </c>
      <c r="AC536" s="24">
        <v>2.0</v>
      </c>
      <c r="AD536" s="24">
        <v>0.0</v>
      </c>
      <c r="AE536" s="24">
        <v>4.0</v>
      </c>
      <c r="AF536" s="24">
        <v>0.0</v>
      </c>
      <c r="AG536" s="24">
        <v>0.0</v>
      </c>
      <c r="AH536" s="24">
        <v>0.0</v>
      </c>
      <c r="AI536" s="24">
        <v>0.0</v>
      </c>
      <c r="AJ536" s="24">
        <v>0.0</v>
      </c>
      <c r="AK536" s="24">
        <v>0.0</v>
      </c>
      <c r="AL536" s="24">
        <v>1.0</v>
      </c>
      <c r="AM536" s="24">
        <v>0.0</v>
      </c>
      <c r="AN536" s="24">
        <v>0.0</v>
      </c>
      <c r="AO536" s="55">
        <v>16.8</v>
      </c>
      <c r="AP536" s="26"/>
      <c r="AQ536" s="26"/>
      <c r="AR536" s="24">
        <v>11.15</v>
      </c>
      <c r="AS536" s="26"/>
      <c r="AT536" s="26"/>
      <c r="AU536" s="26"/>
      <c r="AV536" s="24">
        <v>13.42</v>
      </c>
      <c r="AW536" s="24">
        <v>12.88</v>
      </c>
      <c r="AX536" s="26"/>
      <c r="AY536" s="24">
        <v>11.33</v>
      </c>
      <c r="AZ536" s="26"/>
      <c r="BA536" s="24">
        <v>12.53</v>
      </c>
      <c r="BB536" s="24">
        <v>21.22</v>
      </c>
      <c r="BC536" s="24">
        <v>16.92</v>
      </c>
      <c r="BD536" s="24">
        <v>19.81</v>
      </c>
      <c r="BE536" s="24">
        <v>25.61</v>
      </c>
      <c r="BF536" s="24">
        <v>15.98</v>
      </c>
      <c r="BG536" s="24">
        <v>17.16</v>
      </c>
      <c r="BH536" s="24">
        <v>15.03</v>
      </c>
      <c r="BI536" s="24">
        <v>22.29</v>
      </c>
      <c r="BJ536" s="26"/>
      <c r="BK536" s="24">
        <v>14.09</v>
      </c>
      <c r="BL536" s="26"/>
      <c r="BM536" s="26"/>
      <c r="BN536" s="26"/>
      <c r="BO536" s="24">
        <v>0.4</v>
      </c>
      <c r="BP536" s="24">
        <v>1.81</v>
      </c>
      <c r="BQ536" s="24">
        <v>2.09</v>
      </c>
      <c r="BR536" s="24">
        <v>3.71</v>
      </c>
      <c r="BS536" s="25">
        <v>5.79</v>
      </c>
      <c r="BT536" s="56">
        <v>19.3</v>
      </c>
      <c r="BU536" s="25">
        <v>7.5</v>
      </c>
      <c r="BV536" s="57">
        <v>5.23</v>
      </c>
      <c r="BW536" s="26"/>
      <c r="BX536" s="24">
        <v>3000.0</v>
      </c>
      <c r="BY536" s="24" t="s">
        <v>123</v>
      </c>
      <c r="BZ536" s="28">
        <v>2700.0</v>
      </c>
      <c r="CA536" s="29" t="s">
        <v>124</v>
      </c>
      <c r="CB536" s="30">
        <v>3000.0</v>
      </c>
      <c r="CC536" s="31"/>
      <c r="CD536" s="28">
        <v>3000.0</v>
      </c>
      <c r="CE536" s="32" t="e">
        <v>#REF!</v>
      </c>
      <c r="CF536" s="33"/>
      <c r="CG536" s="34">
        <v>0.0</v>
      </c>
      <c r="CH536" s="35">
        <v>0.0</v>
      </c>
      <c r="CI536" s="36">
        <v>32.0</v>
      </c>
      <c r="CJ536" s="36">
        <v>2453.0</v>
      </c>
      <c r="CK536" s="93">
        <f t="shared" si="12"/>
        <v>167</v>
      </c>
      <c r="CL536" s="36">
        <v>2620.0</v>
      </c>
      <c r="CM536" s="38">
        <v>538.0</v>
      </c>
      <c r="CN536" s="36">
        <v>0.0</v>
      </c>
      <c r="CO536" s="39">
        <v>16.8</v>
      </c>
      <c r="CP536" s="40">
        <v>0.0</v>
      </c>
      <c r="CQ536" s="36">
        <v>58.0</v>
      </c>
      <c r="CR536" s="36">
        <v>58.0</v>
      </c>
      <c r="CS536" s="36">
        <v>185.0</v>
      </c>
      <c r="CT536" s="41"/>
      <c r="CU536" s="42"/>
      <c r="CV536" s="43"/>
      <c r="CW536" s="44">
        <v>10.0</v>
      </c>
      <c r="CX536" s="44" t="s">
        <v>138</v>
      </c>
      <c r="CY536" s="44" t="s">
        <v>139</v>
      </c>
      <c r="CZ536" s="45"/>
      <c r="DA536" s="44">
        <v>3000.0</v>
      </c>
      <c r="DB536" s="44">
        <v>0.0</v>
      </c>
      <c r="DC536" s="46" t="s">
        <v>127</v>
      </c>
      <c r="DD536" s="47">
        <v>46233.0</v>
      </c>
      <c r="DE536" s="43"/>
      <c r="DF536" s="43"/>
      <c r="DG536" s="48" t="s">
        <v>128</v>
      </c>
      <c r="DH536" s="48" t="s">
        <v>128</v>
      </c>
      <c r="DI536" s="48" t="s">
        <v>128</v>
      </c>
      <c r="DJ536" s="49">
        <v>1.0</v>
      </c>
      <c r="DK536" s="48" t="b">
        <v>0</v>
      </c>
      <c r="DL536" s="50" t="s">
        <v>1296</v>
      </c>
      <c r="DM536" s="50" t="s">
        <v>128</v>
      </c>
      <c r="DN536" s="50" t="s">
        <v>952</v>
      </c>
      <c r="DO536" s="49">
        <v>0.89</v>
      </c>
      <c r="DP536" s="48" t="s">
        <v>128</v>
      </c>
      <c r="DQ536" s="48" t="s">
        <v>128</v>
      </c>
      <c r="DR536" s="51"/>
      <c r="DS536" s="48" t="s">
        <v>134</v>
      </c>
    </row>
    <row r="537">
      <c r="A537" s="52" t="s">
        <v>118</v>
      </c>
      <c r="B537" s="53">
        <v>4.0</v>
      </c>
      <c r="C537" s="52" t="s">
        <v>1123</v>
      </c>
      <c r="D537" s="53">
        <v>536832.0</v>
      </c>
      <c r="E537" s="52" t="s">
        <v>158</v>
      </c>
      <c r="F537" s="52" t="s">
        <v>1311</v>
      </c>
      <c r="G537" s="52" t="s">
        <v>1312</v>
      </c>
      <c r="H537" s="53">
        <v>77699.0</v>
      </c>
      <c r="I537" s="53">
        <v>31.0</v>
      </c>
      <c r="J537" s="53">
        <v>0.0</v>
      </c>
      <c r="K537" s="53">
        <v>0.0</v>
      </c>
      <c r="L537" s="53">
        <v>1.0</v>
      </c>
      <c r="M537" s="53">
        <v>2.0</v>
      </c>
      <c r="N537" s="53">
        <v>0.0</v>
      </c>
      <c r="O537" s="53">
        <v>1.0</v>
      </c>
      <c r="P537" s="53">
        <v>1.0</v>
      </c>
      <c r="Q537" s="53">
        <v>0.0</v>
      </c>
      <c r="R537" s="53">
        <v>0.0</v>
      </c>
      <c r="S537" s="53">
        <v>2.0</v>
      </c>
      <c r="T537" s="53">
        <v>1.0</v>
      </c>
      <c r="U537" s="53">
        <v>2.0</v>
      </c>
      <c r="V537" s="53">
        <v>0.0</v>
      </c>
      <c r="W537" s="53">
        <v>0.0</v>
      </c>
      <c r="X537" s="53">
        <v>2.0</v>
      </c>
      <c r="Y537" s="53">
        <v>4.0</v>
      </c>
      <c r="Z537" s="53">
        <v>1.0</v>
      </c>
      <c r="AA537" s="53">
        <v>1.0</v>
      </c>
      <c r="AB537" s="53">
        <v>1.0</v>
      </c>
      <c r="AC537" s="53">
        <v>2.0</v>
      </c>
      <c r="AD537" s="53">
        <v>2.0</v>
      </c>
      <c r="AE537" s="53">
        <v>0.0</v>
      </c>
      <c r="AF537" s="53">
        <v>1.0</v>
      </c>
      <c r="AG537" s="53">
        <v>0.0</v>
      </c>
      <c r="AH537" s="53">
        <v>1.0</v>
      </c>
      <c r="AI537" s="53">
        <v>0.0</v>
      </c>
      <c r="AJ537" s="53">
        <v>0.0</v>
      </c>
      <c r="AK537" s="53">
        <v>2.0</v>
      </c>
      <c r="AL537" s="53">
        <v>0.0</v>
      </c>
      <c r="AM537" s="53">
        <v>3.0</v>
      </c>
      <c r="AN537" s="53">
        <v>1.0</v>
      </c>
      <c r="AO537" s="25">
        <v>17.3</v>
      </c>
      <c r="AP537" s="54"/>
      <c r="AQ537" s="54"/>
      <c r="AR537" s="53">
        <v>9.67</v>
      </c>
      <c r="AS537" s="53">
        <v>15.97</v>
      </c>
      <c r="AT537" s="54"/>
      <c r="AU537" s="53">
        <v>10.78</v>
      </c>
      <c r="AV537" s="53">
        <v>15.78</v>
      </c>
      <c r="AW537" s="54"/>
      <c r="AX537" s="54"/>
      <c r="AY537" s="53">
        <v>14.88</v>
      </c>
      <c r="AZ537" s="53">
        <v>18.4</v>
      </c>
      <c r="BA537" s="53">
        <v>17.84</v>
      </c>
      <c r="BB537" s="54"/>
      <c r="BC537" s="54"/>
      <c r="BD537" s="53">
        <v>15.63</v>
      </c>
      <c r="BE537" s="53">
        <v>17.53</v>
      </c>
      <c r="BF537" s="53">
        <v>19.77</v>
      </c>
      <c r="BG537" s="53">
        <v>14.52</v>
      </c>
      <c r="BH537" s="53">
        <v>24.2</v>
      </c>
      <c r="BI537" s="53">
        <v>14.66</v>
      </c>
      <c r="BJ537" s="53">
        <v>15.24</v>
      </c>
      <c r="BK537" s="54"/>
      <c r="BL537" s="53">
        <v>17.67</v>
      </c>
      <c r="BM537" s="54"/>
      <c r="BN537" s="53">
        <v>22.33</v>
      </c>
      <c r="BO537" s="53">
        <v>0.34</v>
      </c>
      <c r="BP537" s="53">
        <v>1.42</v>
      </c>
      <c r="BQ537" s="53">
        <v>2.45</v>
      </c>
      <c r="BR537" s="53">
        <v>3.67</v>
      </c>
      <c r="BS537" s="25">
        <v>5.62</v>
      </c>
      <c r="BT537" s="77">
        <v>14.6</v>
      </c>
      <c r="BU537" s="25">
        <v>4.3</v>
      </c>
      <c r="BV537" s="57">
        <v>5.25</v>
      </c>
      <c r="BW537" s="54"/>
      <c r="BX537" s="53">
        <v>3000.0</v>
      </c>
      <c r="BY537" s="53" t="s">
        <v>123</v>
      </c>
      <c r="BZ537" s="58">
        <v>2700.0</v>
      </c>
      <c r="CA537" s="29" t="s">
        <v>124</v>
      </c>
      <c r="CB537" s="30">
        <v>3000.0</v>
      </c>
      <c r="CC537" s="31"/>
      <c r="CD537" s="58">
        <v>3000.0</v>
      </c>
      <c r="CE537" s="59" t="e">
        <v>#REF!</v>
      </c>
      <c r="CF537" s="60"/>
      <c r="CG537" s="61">
        <v>0.0</v>
      </c>
      <c r="CH537" s="62">
        <v>0.0</v>
      </c>
      <c r="CI537" s="63">
        <v>31.0</v>
      </c>
      <c r="CJ537" s="63">
        <v>2453.0</v>
      </c>
      <c r="CK537" s="94">
        <f t="shared" si="12"/>
        <v>167</v>
      </c>
      <c r="CL537" s="63">
        <v>2620.0</v>
      </c>
      <c r="CM537" s="65">
        <v>536.0</v>
      </c>
      <c r="CN537" s="63">
        <v>0.0</v>
      </c>
      <c r="CO537" s="66">
        <v>17.3</v>
      </c>
      <c r="CP537" s="67">
        <v>0.0</v>
      </c>
      <c r="CQ537" s="63">
        <v>44.0</v>
      </c>
      <c r="CR537" s="63">
        <v>44.0</v>
      </c>
      <c r="CS537" s="63">
        <v>174.0</v>
      </c>
      <c r="CT537" s="68"/>
      <c r="CU537" s="69"/>
      <c r="CV537" s="70"/>
      <c r="CW537" s="71">
        <v>10.0</v>
      </c>
      <c r="CX537" s="71" t="s">
        <v>138</v>
      </c>
      <c r="CY537" s="71" t="s">
        <v>139</v>
      </c>
      <c r="CZ537" s="45"/>
      <c r="DA537" s="44">
        <v>3000.0</v>
      </c>
      <c r="DB537" s="44">
        <v>0.0</v>
      </c>
      <c r="DC537" s="46" t="s">
        <v>127</v>
      </c>
      <c r="DD537" s="47">
        <v>46197.0</v>
      </c>
      <c r="DE537" s="43"/>
      <c r="DF537" s="43"/>
      <c r="DG537" s="48" t="s">
        <v>128</v>
      </c>
      <c r="DH537" s="48" t="s">
        <v>128</v>
      </c>
      <c r="DI537" s="48" t="s">
        <v>128</v>
      </c>
      <c r="DJ537" s="49">
        <v>1.0</v>
      </c>
      <c r="DK537" s="48" t="b">
        <v>1</v>
      </c>
      <c r="DL537" s="50" t="s">
        <v>1296</v>
      </c>
      <c r="DM537" s="50" t="s">
        <v>128</v>
      </c>
      <c r="DN537" s="50" t="s">
        <v>952</v>
      </c>
      <c r="DO537" s="49">
        <v>0.89</v>
      </c>
      <c r="DP537" s="48" t="s">
        <v>128</v>
      </c>
      <c r="DQ537" s="48" t="s">
        <v>128</v>
      </c>
      <c r="DR537" s="51"/>
      <c r="DS537" s="48" t="s">
        <v>134</v>
      </c>
    </row>
    <row r="538">
      <c r="A538" s="23" t="s">
        <v>118</v>
      </c>
      <c r="B538" s="24">
        <v>4.0</v>
      </c>
      <c r="C538" s="23" t="s">
        <v>1123</v>
      </c>
      <c r="D538" s="24">
        <v>641892.0</v>
      </c>
      <c r="E538" s="23" t="s">
        <v>170</v>
      </c>
      <c r="F538" s="23" t="s">
        <v>1313</v>
      </c>
      <c r="G538" s="23" t="s">
        <v>1314</v>
      </c>
      <c r="H538" s="24">
        <v>77699.0</v>
      </c>
      <c r="I538" s="24">
        <v>7.0</v>
      </c>
      <c r="J538" s="24">
        <v>0.0</v>
      </c>
      <c r="K538" s="24">
        <v>0.0</v>
      </c>
      <c r="L538" s="24">
        <v>0.0</v>
      </c>
      <c r="M538" s="24">
        <v>1.0</v>
      </c>
      <c r="N538" s="24">
        <v>0.0</v>
      </c>
      <c r="O538" s="24">
        <v>0.0</v>
      </c>
      <c r="P538" s="24">
        <v>0.0</v>
      </c>
      <c r="Q538" s="24">
        <v>0.0</v>
      </c>
      <c r="R538" s="24">
        <v>1.0</v>
      </c>
      <c r="S538" s="24">
        <v>1.0</v>
      </c>
      <c r="T538" s="24">
        <v>0.0</v>
      </c>
      <c r="U538" s="24">
        <v>0.0</v>
      </c>
      <c r="V538" s="24">
        <v>0.0</v>
      </c>
      <c r="W538" s="24">
        <v>2.0</v>
      </c>
      <c r="X538" s="24">
        <v>0.0</v>
      </c>
      <c r="Y538" s="24">
        <v>1.0</v>
      </c>
      <c r="Z538" s="24">
        <v>0.0</v>
      </c>
      <c r="AA538" s="24">
        <v>0.0</v>
      </c>
      <c r="AB538" s="24">
        <v>0.0</v>
      </c>
      <c r="AC538" s="24">
        <v>0.0</v>
      </c>
      <c r="AD538" s="24">
        <v>0.0</v>
      </c>
      <c r="AE538" s="24">
        <v>0.0</v>
      </c>
      <c r="AF538" s="24">
        <v>0.0</v>
      </c>
      <c r="AG538" s="24">
        <v>0.0</v>
      </c>
      <c r="AH538" s="24">
        <v>0.0</v>
      </c>
      <c r="AI538" s="24">
        <v>0.0</v>
      </c>
      <c r="AJ538" s="24">
        <v>0.0</v>
      </c>
      <c r="AK538" s="24">
        <v>0.0</v>
      </c>
      <c r="AL538" s="24">
        <v>0.0</v>
      </c>
      <c r="AM538" s="24">
        <v>1.0</v>
      </c>
      <c r="AN538" s="24">
        <v>0.0</v>
      </c>
      <c r="AO538" s="25">
        <v>17.3</v>
      </c>
      <c r="AP538" s="26"/>
      <c r="AQ538" s="26"/>
      <c r="AR538" s="26"/>
      <c r="AS538" s="24">
        <v>17.12</v>
      </c>
      <c r="AT538" s="26"/>
      <c r="AU538" s="26"/>
      <c r="AV538" s="26"/>
      <c r="AW538" s="26"/>
      <c r="AX538" s="24">
        <v>26.08</v>
      </c>
      <c r="AY538" s="24">
        <v>13.22</v>
      </c>
      <c r="AZ538" s="26"/>
      <c r="BA538" s="26"/>
      <c r="BB538" s="26"/>
      <c r="BC538" s="24">
        <v>12.28</v>
      </c>
      <c r="BD538" s="26"/>
      <c r="BE538" s="24">
        <v>18.87</v>
      </c>
      <c r="BF538" s="26"/>
      <c r="BG538" s="26"/>
      <c r="BH538" s="26"/>
      <c r="BI538" s="26"/>
      <c r="BJ538" s="26"/>
      <c r="BK538" s="26"/>
      <c r="BL538" s="26"/>
      <c r="BM538" s="26"/>
      <c r="BN538" s="26"/>
      <c r="BO538" s="24">
        <v>0.35</v>
      </c>
      <c r="BP538" s="24">
        <v>2.75</v>
      </c>
      <c r="BQ538" s="24">
        <v>1.44</v>
      </c>
      <c r="BR538" s="24">
        <v>3.98</v>
      </c>
      <c r="BS538" s="25">
        <v>5.43</v>
      </c>
      <c r="BT538" s="91">
        <v>15.2</v>
      </c>
      <c r="BU538" s="25">
        <v>7.4</v>
      </c>
      <c r="BV538" s="57">
        <v>2.75</v>
      </c>
      <c r="BW538" s="26"/>
      <c r="BX538" s="24">
        <v>3000.0</v>
      </c>
      <c r="BY538" s="24" t="s">
        <v>123</v>
      </c>
      <c r="BZ538" s="28">
        <v>2700.0</v>
      </c>
      <c r="CA538" s="29" t="s">
        <v>124</v>
      </c>
      <c r="CB538" s="30">
        <v>3000.0</v>
      </c>
      <c r="CC538" s="31"/>
      <c r="CD538" s="28">
        <v>3000.0</v>
      </c>
      <c r="CE538" s="32" t="e">
        <v>#REF!</v>
      </c>
      <c r="CF538" s="33"/>
      <c r="CG538" s="34">
        <v>0.0</v>
      </c>
      <c r="CH538" s="35">
        <v>0.0</v>
      </c>
      <c r="CI538" s="36">
        <v>7.0</v>
      </c>
      <c r="CJ538" s="36">
        <v>2453.0</v>
      </c>
      <c r="CK538" s="93">
        <f t="shared" si="12"/>
        <v>167</v>
      </c>
      <c r="CL538" s="36">
        <v>2620.0</v>
      </c>
      <c r="CM538" s="38">
        <v>121.0</v>
      </c>
      <c r="CN538" s="36">
        <v>0.0</v>
      </c>
      <c r="CO538" s="39">
        <v>17.3</v>
      </c>
      <c r="CP538" s="40">
        <v>0.0</v>
      </c>
      <c r="CQ538" s="36">
        <v>19.0</v>
      </c>
      <c r="CR538" s="36">
        <v>19.0</v>
      </c>
      <c r="CS538" s="36">
        <v>38.0</v>
      </c>
      <c r="CT538" s="41"/>
      <c r="CU538" s="42"/>
      <c r="CV538" s="43"/>
      <c r="CW538" s="44">
        <v>10.0</v>
      </c>
      <c r="CX538" s="44" t="s">
        <v>138</v>
      </c>
      <c r="CY538" s="44" t="s">
        <v>139</v>
      </c>
      <c r="CZ538" s="45"/>
      <c r="DA538" s="44">
        <v>3000.0</v>
      </c>
      <c r="DB538" s="44">
        <v>0.0</v>
      </c>
      <c r="DC538" s="46" t="s">
        <v>127</v>
      </c>
      <c r="DD538" s="47">
        <v>46197.0</v>
      </c>
      <c r="DE538" s="43"/>
      <c r="DF538" s="43"/>
      <c r="DG538" s="48" t="s">
        <v>128</v>
      </c>
      <c r="DH538" s="48" t="s">
        <v>128</v>
      </c>
      <c r="DI538" s="48" t="s">
        <v>128</v>
      </c>
      <c r="DJ538" s="49">
        <v>1.0</v>
      </c>
      <c r="DK538" s="48" t="b">
        <v>1</v>
      </c>
      <c r="DL538" s="50" t="s">
        <v>1296</v>
      </c>
      <c r="DM538" s="50" t="s">
        <v>128</v>
      </c>
      <c r="DN538" s="50" t="s">
        <v>952</v>
      </c>
      <c r="DO538" s="49">
        <v>0.89</v>
      </c>
      <c r="DP538" s="48" t="s">
        <v>128</v>
      </c>
      <c r="DQ538" s="48" t="s">
        <v>128</v>
      </c>
      <c r="DR538" s="51"/>
      <c r="DS538" s="48" t="s">
        <v>134</v>
      </c>
    </row>
    <row r="539">
      <c r="A539" s="52" t="s">
        <v>118</v>
      </c>
      <c r="B539" s="53">
        <v>4.0</v>
      </c>
      <c r="C539" s="52" t="s">
        <v>1123</v>
      </c>
      <c r="D539" s="53">
        <v>626041.0</v>
      </c>
      <c r="E539" s="52" t="s">
        <v>135</v>
      </c>
      <c r="F539" s="52" t="s">
        <v>1315</v>
      </c>
      <c r="G539" s="52" t="s">
        <v>1316</v>
      </c>
      <c r="H539" s="53">
        <v>77699.0</v>
      </c>
      <c r="I539" s="53">
        <v>15.0</v>
      </c>
      <c r="J539" s="53">
        <v>0.0</v>
      </c>
      <c r="K539" s="53">
        <v>0.0</v>
      </c>
      <c r="L539" s="53">
        <v>1.0</v>
      </c>
      <c r="M539" s="53">
        <v>1.0</v>
      </c>
      <c r="N539" s="53">
        <v>1.0</v>
      </c>
      <c r="O539" s="53">
        <v>0.0</v>
      </c>
      <c r="P539" s="53">
        <v>2.0</v>
      </c>
      <c r="Q539" s="53">
        <v>0.0</v>
      </c>
      <c r="R539" s="53">
        <v>0.0</v>
      </c>
      <c r="S539" s="53">
        <v>1.0</v>
      </c>
      <c r="T539" s="53">
        <v>0.0</v>
      </c>
      <c r="U539" s="53">
        <v>0.0</v>
      </c>
      <c r="V539" s="53">
        <v>0.0</v>
      </c>
      <c r="W539" s="53">
        <v>1.0</v>
      </c>
      <c r="X539" s="53">
        <v>1.0</v>
      </c>
      <c r="Y539" s="53">
        <v>0.0</v>
      </c>
      <c r="Z539" s="53">
        <v>2.0</v>
      </c>
      <c r="AA539" s="53">
        <v>0.0</v>
      </c>
      <c r="AB539" s="53">
        <v>0.0</v>
      </c>
      <c r="AC539" s="53">
        <v>2.0</v>
      </c>
      <c r="AD539" s="53">
        <v>1.0</v>
      </c>
      <c r="AE539" s="53">
        <v>1.0</v>
      </c>
      <c r="AF539" s="53">
        <v>0.0</v>
      </c>
      <c r="AG539" s="53">
        <v>0.0</v>
      </c>
      <c r="AH539" s="53">
        <v>0.0</v>
      </c>
      <c r="AI539" s="53">
        <v>0.0</v>
      </c>
      <c r="AJ539" s="53">
        <v>0.0</v>
      </c>
      <c r="AK539" s="53">
        <v>1.0</v>
      </c>
      <c r="AL539" s="53">
        <v>0.0</v>
      </c>
      <c r="AM539" s="53">
        <v>0.0</v>
      </c>
      <c r="AN539" s="53">
        <v>0.0</v>
      </c>
      <c r="AO539" s="55">
        <v>15.6</v>
      </c>
      <c r="AP539" s="54"/>
      <c r="AQ539" s="54"/>
      <c r="AR539" s="53">
        <v>8.38</v>
      </c>
      <c r="AS539" s="53">
        <v>20.27</v>
      </c>
      <c r="AT539" s="53">
        <v>7.78</v>
      </c>
      <c r="AU539" s="54"/>
      <c r="AV539" s="53">
        <v>17.23</v>
      </c>
      <c r="AW539" s="54"/>
      <c r="AX539" s="54"/>
      <c r="AY539" s="53">
        <v>15.18</v>
      </c>
      <c r="AZ539" s="54"/>
      <c r="BA539" s="54"/>
      <c r="BB539" s="54"/>
      <c r="BC539" s="53">
        <v>17.93</v>
      </c>
      <c r="BD539" s="53">
        <v>10.53</v>
      </c>
      <c r="BE539" s="54"/>
      <c r="BF539" s="53">
        <v>22.86</v>
      </c>
      <c r="BG539" s="54"/>
      <c r="BH539" s="54"/>
      <c r="BI539" s="53">
        <v>15.43</v>
      </c>
      <c r="BJ539" s="53">
        <v>18.25</v>
      </c>
      <c r="BK539" s="53">
        <v>11.0</v>
      </c>
      <c r="BL539" s="54"/>
      <c r="BM539" s="54"/>
      <c r="BN539" s="54"/>
      <c r="BO539" s="53">
        <v>0.24</v>
      </c>
      <c r="BP539" s="53">
        <v>0.87</v>
      </c>
      <c r="BQ539" s="53">
        <v>3.09</v>
      </c>
      <c r="BR539" s="53">
        <v>3.75</v>
      </c>
      <c r="BS539" s="25">
        <v>5.08</v>
      </c>
      <c r="BT539" s="77">
        <v>13.0</v>
      </c>
      <c r="BU539" s="57">
        <v>2.4</v>
      </c>
      <c r="BV539" s="57">
        <v>4.99</v>
      </c>
      <c r="BW539" s="54"/>
      <c r="BX539" s="53">
        <v>3000.0</v>
      </c>
      <c r="BY539" s="52" t="s">
        <v>123</v>
      </c>
      <c r="BZ539" s="58">
        <v>3000.0</v>
      </c>
      <c r="CA539" s="72"/>
      <c r="CB539" s="30">
        <v>3000.0</v>
      </c>
      <c r="CC539" s="31"/>
      <c r="CD539" s="58">
        <v>3000.0</v>
      </c>
      <c r="CE539" s="59" t="e">
        <v>#REF!</v>
      </c>
      <c r="CF539" s="60"/>
      <c r="CG539" s="61">
        <v>0.0</v>
      </c>
      <c r="CH539" s="62">
        <v>0.0</v>
      </c>
      <c r="CI539" s="63">
        <v>15.0</v>
      </c>
      <c r="CJ539" s="63">
        <v>2453.0</v>
      </c>
      <c r="CK539" s="94">
        <f t="shared" si="12"/>
        <v>167</v>
      </c>
      <c r="CL539" s="63">
        <v>2620.0</v>
      </c>
      <c r="CM539" s="65">
        <v>234.0</v>
      </c>
      <c r="CN539" s="63">
        <v>0.0</v>
      </c>
      <c r="CO539" s="66">
        <v>15.6</v>
      </c>
      <c r="CP539" s="67">
        <v>0.0</v>
      </c>
      <c r="CQ539" s="63">
        <v>13.0</v>
      </c>
      <c r="CR539" s="63">
        <v>13.0</v>
      </c>
      <c r="CS539" s="63">
        <v>76.0</v>
      </c>
      <c r="CT539" s="68"/>
      <c r="CU539" s="69"/>
      <c r="CV539" s="70"/>
      <c r="CW539" s="71">
        <v>10.0</v>
      </c>
      <c r="CX539" s="71" t="s">
        <v>138</v>
      </c>
      <c r="CY539" s="71" t="s">
        <v>139</v>
      </c>
      <c r="CZ539" s="45"/>
      <c r="DA539" s="44">
        <v>3000.0</v>
      </c>
      <c r="DB539" s="44">
        <v>0.0</v>
      </c>
      <c r="DC539" s="46" t="s">
        <v>127</v>
      </c>
      <c r="DD539" s="47">
        <v>46213.0</v>
      </c>
      <c r="DE539" s="43"/>
      <c r="DF539" s="43"/>
      <c r="DG539" s="48" t="s">
        <v>128</v>
      </c>
      <c r="DH539" s="48" t="s">
        <v>128</v>
      </c>
      <c r="DI539" s="48" t="s">
        <v>128</v>
      </c>
      <c r="DJ539" s="49">
        <v>1.0</v>
      </c>
      <c r="DK539" s="48" t="b">
        <v>1</v>
      </c>
      <c r="DL539" s="50" t="s">
        <v>1296</v>
      </c>
      <c r="DM539" s="50" t="s">
        <v>128</v>
      </c>
      <c r="DN539" s="50" t="s">
        <v>952</v>
      </c>
      <c r="DO539" s="49">
        <v>0.89</v>
      </c>
      <c r="DP539" s="48" t="s">
        <v>128</v>
      </c>
      <c r="DQ539" s="48" t="s">
        <v>128</v>
      </c>
      <c r="DR539" s="51"/>
      <c r="DS539" s="48" t="s">
        <v>134</v>
      </c>
    </row>
    <row r="540">
      <c r="A540" s="23" t="s">
        <v>118</v>
      </c>
      <c r="B540" s="24">
        <v>4.0</v>
      </c>
      <c r="C540" s="23" t="s">
        <v>1123</v>
      </c>
      <c r="D540" s="24">
        <v>669823.0</v>
      </c>
      <c r="E540" s="23" t="s">
        <v>214</v>
      </c>
      <c r="F540" s="23" t="s">
        <v>1317</v>
      </c>
      <c r="G540" s="23" t="s">
        <v>1318</v>
      </c>
      <c r="H540" s="24">
        <v>77699.0</v>
      </c>
      <c r="I540" s="24">
        <v>3.0</v>
      </c>
      <c r="J540" s="24">
        <v>0.0</v>
      </c>
      <c r="K540" s="24">
        <v>0.0</v>
      </c>
      <c r="L540" s="24">
        <v>0.0</v>
      </c>
      <c r="M540" s="24">
        <v>1.0</v>
      </c>
      <c r="N540" s="24">
        <v>0.0</v>
      </c>
      <c r="O540" s="24">
        <v>0.0</v>
      </c>
      <c r="P540" s="24">
        <v>0.0</v>
      </c>
      <c r="Q540" s="24">
        <v>0.0</v>
      </c>
      <c r="R540" s="24">
        <v>0.0</v>
      </c>
      <c r="S540" s="24">
        <v>0.0</v>
      </c>
      <c r="T540" s="24">
        <v>0.0</v>
      </c>
      <c r="U540" s="24">
        <v>0.0</v>
      </c>
      <c r="V540" s="24">
        <v>0.0</v>
      </c>
      <c r="W540" s="24">
        <v>0.0</v>
      </c>
      <c r="X540" s="24">
        <v>1.0</v>
      </c>
      <c r="Y540" s="24">
        <v>0.0</v>
      </c>
      <c r="Z540" s="24">
        <v>0.0</v>
      </c>
      <c r="AA540" s="24">
        <v>0.0</v>
      </c>
      <c r="AB540" s="24">
        <v>0.0</v>
      </c>
      <c r="AC540" s="24">
        <v>0.0</v>
      </c>
      <c r="AD540" s="24">
        <v>0.0</v>
      </c>
      <c r="AE540" s="24">
        <v>1.0</v>
      </c>
      <c r="AF540" s="24">
        <v>0.0</v>
      </c>
      <c r="AG540" s="24">
        <v>0.0</v>
      </c>
      <c r="AH540" s="24">
        <v>0.0</v>
      </c>
      <c r="AI540" s="24">
        <v>0.0</v>
      </c>
      <c r="AJ540" s="24">
        <v>0.0</v>
      </c>
      <c r="AK540" s="24">
        <v>0.0</v>
      </c>
      <c r="AL540" s="24">
        <v>0.0</v>
      </c>
      <c r="AM540" s="24">
        <v>0.0</v>
      </c>
      <c r="AN540" s="24">
        <v>0.0</v>
      </c>
      <c r="AO540" s="55">
        <v>15.2</v>
      </c>
      <c r="AP540" s="26"/>
      <c r="AQ540" s="26"/>
      <c r="AR540" s="26"/>
      <c r="AS540" s="24">
        <v>13.17</v>
      </c>
      <c r="AT540" s="26"/>
      <c r="AU540" s="26"/>
      <c r="AV540" s="26"/>
      <c r="AW540" s="26"/>
      <c r="AX540" s="26"/>
      <c r="AY540" s="26"/>
      <c r="AZ540" s="26"/>
      <c r="BA540" s="26"/>
      <c r="BB540" s="26"/>
      <c r="BC540" s="26"/>
      <c r="BD540" s="24">
        <v>13.02</v>
      </c>
      <c r="BE540" s="26"/>
      <c r="BF540" s="26"/>
      <c r="BG540" s="26"/>
      <c r="BH540" s="26"/>
      <c r="BI540" s="26"/>
      <c r="BJ540" s="26"/>
      <c r="BK540" s="24">
        <v>19.52</v>
      </c>
      <c r="BL540" s="26"/>
      <c r="BM540" s="26"/>
      <c r="BN540" s="26"/>
      <c r="BO540" s="26"/>
      <c r="BP540" s="24">
        <v>0.91</v>
      </c>
      <c r="BQ540" s="24">
        <v>2.31</v>
      </c>
      <c r="BR540" s="24">
        <v>3.03</v>
      </c>
      <c r="BS540" s="25">
        <v>4.96</v>
      </c>
      <c r="BT540" s="77">
        <v>13.2</v>
      </c>
      <c r="BU540" s="25">
        <v>6.7</v>
      </c>
      <c r="BV540" s="57">
        <v>1.47</v>
      </c>
      <c r="BW540" s="26"/>
      <c r="BX540" s="24">
        <v>3000.0</v>
      </c>
      <c r="BY540" s="24" t="s">
        <v>123</v>
      </c>
      <c r="BZ540" s="28">
        <v>3000.0</v>
      </c>
      <c r="CA540" s="72"/>
      <c r="CB540" s="30">
        <v>3000.0</v>
      </c>
      <c r="CC540" s="31"/>
      <c r="CD540" s="28">
        <v>3000.0</v>
      </c>
      <c r="CE540" s="32" t="e">
        <v>#REF!</v>
      </c>
      <c r="CF540" s="33"/>
      <c r="CG540" s="34">
        <v>0.0</v>
      </c>
      <c r="CH540" s="35">
        <v>0.0</v>
      </c>
      <c r="CI540" s="36">
        <v>3.0</v>
      </c>
      <c r="CJ540" s="36">
        <v>2453.0</v>
      </c>
      <c r="CK540" s="93">
        <f t="shared" si="12"/>
        <v>167</v>
      </c>
      <c r="CL540" s="36">
        <v>2620.0</v>
      </c>
      <c r="CM540" s="38">
        <v>46.0</v>
      </c>
      <c r="CN540" s="36">
        <v>0.0</v>
      </c>
      <c r="CO540" s="39">
        <v>15.2</v>
      </c>
      <c r="CP540" s="40">
        <v>0.0</v>
      </c>
      <c r="CQ540" s="36">
        <v>3.0</v>
      </c>
      <c r="CR540" s="36">
        <v>3.0</v>
      </c>
      <c r="CS540" s="36">
        <v>15.0</v>
      </c>
      <c r="CT540" s="41"/>
      <c r="CU540" s="42"/>
      <c r="CV540" s="43"/>
      <c r="CW540" s="44">
        <v>10.0</v>
      </c>
      <c r="CX540" s="44" t="s">
        <v>138</v>
      </c>
      <c r="CY540" s="44" t="s">
        <v>139</v>
      </c>
      <c r="CZ540" s="45"/>
      <c r="DA540" s="44">
        <v>3000.0</v>
      </c>
      <c r="DB540" s="44">
        <v>0.0</v>
      </c>
      <c r="DC540" s="46" t="s">
        <v>127</v>
      </c>
      <c r="DD540" s="47">
        <v>46213.0</v>
      </c>
      <c r="DE540" s="43"/>
      <c r="DF540" s="43"/>
      <c r="DG540" s="48" t="s">
        <v>128</v>
      </c>
      <c r="DH540" s="48" t="s">
        <v>128</v>
      </c>
      <c r="DI540" s="48" t="s">
        <v>128</v>
      </c>
      <c r="DJ540" s="49">
        <v>1.0</v>
      </c>
      <c r="DK540" s="48" t="b">
        <v>1</v>
      </c>
      <c r="DL540" s="50" t="s">
        <v>1296</v>
      </c>
      <c r="DM540" s="50" t="s">
        <v>128</v>
      </c>
      <c r="DN540" s="50" t="s">
        <v>952</v>
      </c>
      <c r="DO540" s="49">
        <v>0.89</v>
      </c>
      <c r="DP540" s="48" t="s">
        <v>128</v>
      </c>
      <c r="DQ540" s="48" t="s">
        <v>128</v>
      </c>
      <c r="DR540" s="51"/>
      <c r="DS540" s="48" t="s">
        <v>134</v>
      </c>
    </row>
    <row r="541">
      <c r="A541" s="52" t="s">
        <v>118</v>
      </c>
      <c r="B541" s="53">
        <v>4.0</v>
      </c>
      <c r="C541" s="52" t="s">
        <v>1123</v>
      </c>
      <c r="D541" s="53">
        <v>640888.0</v>
      </c>
      <c r="E541" s="52" t="s">
        <v>161</v>
      </c>
      <c r="F541" s="52" t="s">
        <v>1319</v>
      </c>
      <c r="G541" s="52" t="s">
        <v>1320</v>
      </c>
      <c r="H541" s="53">
        <v>77699.0</v>
      </c>
      <c r="I541" s="53">
        <v>7.0</v>
      </c>
      <c r="J541" s="53">
        <v>0.0</v>
      </c>
      <c r="K541" s="53">
        <v>0.0</v>
      </c>
      <c r="L541" s="53">
        <v>0.0</v>
      </c>
      <c r="M541" s="53">
        <v>1.0</v>
      </c>
      <c r="N541" s="53">
        <v>0.0</v>
      </c>
      <c r="O541" s="53">
        <v>0.0</v>
      </c>
      <c r="P541" s="53">
        <v>0.0</v>
      </c>
      <c r="Q541" s="53">
        <v>0.0</v>
      </c>
      <c r="R541" s="53">
        <v>0.0</v>
      </c>
      <c r="S541" s="53">
        <v>0.0</v>
      </c>
      <c r="T541" s="53">
        <v>0.0</v>
      </c>
      <c r="U541" s="53">
        <v>0.0</v>
      </c>
      <c r="V541" s="53">
        <v>0.0</v>
      </c>
      <c r="W541" s="53">
        <v>1.0</v>
      </c>
      <c r="X541" s="53">
        <v>0.0</v>
      </c>
      <c r="Y541" s="53">
        <v>1.0</v>
      </c>
      <c r="Z541" s="53">
        <v>1.0</v>
      </c>
      <c r="AA541" s="53">
        <v>0.0</v>
      </c>
      <c r="AB541" s="53">
        <v>0.0</v>
      </c>
      <c r="AC541" s="53">
        <v>0.0</v>
      </c>
      <c r="AD541" s="53">
        <v>1.0</v>
      </c>
      <c r="AE541" s="53">
        <v>0.0</v>
      </c>
      <c r="AF541" s="53">
        <v>0.0</v>
      </c>
      <c r="AG541" s="53">
        <v>1.0</v>
      </c>
      <c r="AH541" s="53">
        <v>0.0</v>
      </c>
      <c r="AI541" s="53">
        <v>0.0</v>
      </c>
      <c r="AJ541" s="53">
        <v>0.0</v>
      </c>
      <c r="AK541" s="53">
        <v>0.0</v>
      </c>
      <c r="AL541" s="53">
        <v>0.0</v>
      </c>
      <c r="AM541" s="53">
        <v>1.0</v>
      </c>
      <c r="AN541" s="53">
        <v>0.0</v>
      </c>
      <c r="AO541" s="55">
        <v>15.8</v>
      </c>
      <c r="AP541" s="54"/>
      <c r="AQ541" s="54"/>
      <c r="AR541" s="54"/>
      <c r="AS541" s="53">
        <v>10.2</v>
      </c>
      <c r="AT541" s="54"/>
      <c r="AU541" s="54"/>
      <c r="AV541" s="54"/>
      <c r="AW541" s="54"/>
      <c r="AX541" s="54"/>
      <c r="AY541" s="54"/>
      <c r="AZ541" s="54"/>
      <c r="BA541" s="54"/>
      <c r="BB541" s="54"/>
      <c r="BC541" s="53">
        <v>15.98</v>
      </c>
      <c r="BD541" s="54"/>
      <c r="BE541" s="53">
        <v>15.7</v>
      </c>
      <c r="BF541" s="53">
        <v>19.05</v>
      </c>
      <c r="BG541" s="54"/>
      <c r="BH541" s="54"/>
      <c r="BI541" s="54"/>
      <c r="BJ541" s="53">
        <v>15.8</v>
      </c>
      <c r="BK541" s="54"/>
      <c r="BL541" s="54"/>
      <c r="BM541" s="53">
        <v>17.38</v>
      </c>
      <c r="BN541" s="54"/>
      <c r="BO541" s="53">
        <v>0.28</v>
      </c>
      <c r="BP541" s="53">
        <v>0.78</v>
      </c>
      <c r="BQ541" s="53">
        <v>1.71</v>
      </c>
      <c r="BR541" s="53">
        <v>2.29</v>
      </c>
      <c r="BS541" s="25">
        <v>4.86</v>
      </c>
      <c r="BT541" s="91">
        <v>16.4</v>
      </c>
      <c r="BU541" s="25">
        <v>5.9</v>
      </c>
      <c r="BV541" s="57">
        <v>5.45</v>
      </c>
      <c r="BW541" s="54"/>
      <c r="BX541" s="53">
        <v>3000.0</v>
      </c>
      <c r="BY541" s="53" t="s">
        <v>123</v>
      </c>
      <c r="BZ541" s="58">
        <v>3000.0</v>
      </c>
      <c r="CA541" s="72"/>
      <c r="CB541" s="30">
        <v>3000.0</v>
      </c>
      <c r="CC541" s="31"/>
      <c r="CD541" s="58">
        <v>3000.0</v>
      </c>
      <c r="CE541" s="59" t="e">
        <v>#REF!</v>
      </c>
      <c r="CF541" s="60"/>
      <c r="CG541" s="61">
        <v>0.0</v>
      </c>
      <c r="CH541" s="62">
        <v>0.0</v>
      </c>
      <c r="CI541" s="63">
        <v>7.0</v>
      </c>
      <c r="CJ541" s="63">
        <v>2453.0</v>
      </c>
      <c r="CK541" s="94">
        <f t="shared" si="12"/>
        <v>167</v>
      </c>
      <c r="CL541" s="63">
        <v>2620.0</v>
      </c>
      <c r="CM541" s="65">
        <v>111.0</v>
      </c>
      <c r="CN541" s="63">
        <v>0.0</v>
      </c>
      <c r="CO541" s="66">
        <v>15.8</v>
      </c>
      <c r="CP541" s="67">
        <v>0.0</v>
      </c>
      <c r="CQ541" s="63">
        <v>5.0</v>
      </c>
      <c r="CR541" s="63">
        <v>5.0</v>
      </c>
      <c r="CS541" s="63">
        <v>34.0</v>
      </c>
      <c r="CT541" s="68"/>
      <c r="CU541" s="69"/>
      <c r="CV541" s="70"/>
      <c r="CW541" s="71">
        <v>10.0</v>
      </c>
      <c r="CX541" s="71" t="s">
        <v>138</v>
      </c>
      <c r="CY541" s="71" t="s">
        <v>139</v>
      </c>
      <c r="CZ541" s="45"/>
      <c r="DA541" s="44">
        <v>3000.0</v>
      </c>
      <c r="DB541" s="44">
        <v>0.0</v>
      </c>
      <c r="DC541" s="46" t="s">
        <v>127</v>
      </c>
      <c r="DD541" s="47">
        <v>46228.0</v>
      </c>
      <c r="DE541" s="43"/>
      <c r="DF541" s="43"/>
      <c r="DG541" s="48" t="s">
        <v>128</v>
      </c>
      <c r="DH541" s="48" t="s">
        <v>128</v>
      </c>
      <c r="DI541" s="48" t="s">
        <v>128</v>
      </c>
      <c r="DJ541" s="49">
        <v>0.0</v>
      </c>
      <c r="DK541" s="48" t="b">
        <v>0</v>
      </c>
      <c r="DL541" s="50" t="s">
        <v>1296</v>
      </c>
      <c r="DM541" s="50" t="s">
        <v>128</v>
      </c>
      <c r="DN541" s="50" t="s">
        <v>952</v>
      </c>
      <c r="DO541" s="49">
        <v>0.89</v>
      </c>
      <c r="DP541" s="48" t="s">
        <v>128</v>
      </c>
      <c r="DQ541" s="48" t="s">
        <v>128</v>
      </c>
      <c r="DR541" s="51"/>
      <c r="DS541" s="48" t="s">
        <v>134</v>
      </c>
    </row>
    <row r="542">
      <c r="A542" s="23" t="s">
        <v>118</v>
      </c>
      <c r="B542" s="24">
        <v>4.0</v>
      </c>
      <c r="C542" s="23" t="s">
        <v>1123</v>
      </c>
      <c r="D542" s="24">
        <v>639495.0</v>
      </c>
      <c r="E542" s="23" t="s">
        <v>155</v>
      </c>
      <c r="F542" s="23" t="s">
        <v>1321</v>
      </c>
      <c r="G542" s="23" t="s">
        <v>1322</v>
      </c>
      <c r="H542" s="24">
        <v>77699.0</v>
      </c>
      <c r="I542" s="24">
        <v>50.0</v>
      </c>
      <c r="J542" s="24">
        <v>0.0</v>
      </c>
      <c r="K542" s="24">
        <v>0.0</v>
      </c>
      <c r="L542" s="24">
        <v>2.0</v>
      </c>
      <c r="M542" s="24">
        <v>5.0</v>
      </c>
      <c r="N542" s="24">
        <v>0.0</v>
      </c>
      <c r="O542" s="24">
        <v>1.0</v>
      </c>
      <c r="P542" s="24">
        <v>0.0</v>
      </c>
      <c r="Q542" s="24">
        <v>1.0</v>
      </c>
      <c r="R542" s="24">
        <v>1.0</v>
      </c>
      <c r="S542" s="24">
        <v>1.0</v>
      </c>
      <c r="T542" s="24">
        <v>1.0</v>
      </c>
      <c r="U542" s="24">
        <v>2.0</v>
      </c>
      <c r="V542" s="24">
        <v>3.0</v>
      </c>
      <c r="W542" s="24">
        <v>2.0</v>
      </c>
      <c r="X542" s="24">
        <v>4.0</v>
      </c>
      <c r="Y542" s="24">
        <v>0.0</v>
      </c>
      <c r="Z542" s="24">
        <v>1.0</v>
      </c>
      <c r="AA542" s="24">
        <v>4.0</v>
      </c>
      <c r="AB542" s="24">
        <v>6.0</v>
      </c>
      <c r="AC542" s="24">
        <v>3.0</v>
      </c>
      <c r="AD542" s="24">
        <v>1.0</v>
      </c>
      <c r="AE542" s="24">
        <v>2.0</v>
      </c>
      <c r="AF542" s="24">
        <v>1.0</v>
      </c>
      <c r="AG542" s="24">
        <v>2.0</v>
      </c>
      <c r="AH542" s="24">
        <v>1.0</v>
      </c>
      <c r="AI542" s="24">
        <v>2.0</v>
      </c>
      <c r="AJ542" s="24">
        <v>0.0</v>
      </c>
      <c r="AK542" s="24">
        <v>1.0</v>
      </c>
      <c r="AL542" s="24">
        <v>2.0</v>
      </c>
      <c r="AM542" s="24">
        <v>1.0</v>
      </c>
      <c r="AN542" s="24">
        <v>0.0</v>
      </c>
      <c r="AO542" s="25">
        <v>17.7</v>
      </c>
      <c r="AP542" s="26"/>
      <c r="AQ542" s="26"/>
      <c r="AR542" s="24">
        <v>7.92</v>
      </c>
      <c r="AS542" s="24">
        <v>12.12</v>
      </c>
      <c r="AT542" s="26"/>
      <c r="AU542" s="24">
        <v>13.87</v>
      </c>
      <c r="AV542" s="26"/>
      <c r="AW542" s="24">
        <v>21.48</v>
      </c>
      <c r="AX542" s="24">
        <v>46.38</v>
      </c>
      <c r="AY542" s="24">
        <v>15.78</v>
      </c>
      <c r="AZ542" s="24">
        <v>14.28</v>
      </c>
      <c r="BA542" s="24">
        <v>17.07</v>
      </c>
      <c r="BB542" s="24">
        <v>22.66</v>
      </c>
      <c r="BC542" s="24">
        <v>13.58</v>
      </c>
      <c r="BD542" s="24">
        <v>20.68</v>
      </c>
      <c r="BE542" s="26"/>
      <c r="BF542" s="24">
        <v>13.3</v>
      </c>
      <c r="BG542" s="24">
        <v>16.58</v>
      </c>
      <c r="BH542" s="24">
        <v>17.14</v>
      </c>
      <c r="BI542" s="24">
        <v>19.55</v>
      </c>
      <c r="BJ542" s="24">
        <v>13.72</v>
      </c>
      <c r="BK542" s="24">
        <v>15.97</v>
      </c>
      <c r="BL542" s="24">
        <v>9.52</v>
      </c>
      <c r="BM542" s="24">
        <v>26.09</v>
      </c>
      <c r="BN542" s="24">
        <v>17.73</v>
      </c>
      <c r="BO542" s="24">
        <v>0.33</v>
      </c>
      <c r="BP542" s="24">
        <v>2.77</v>
      </c>
      <c r="BQ542" s="24">
        <v>2.22</v>
      </c>
      <c r="BR542" s="24">
        <v>4.8</v>
      </c>
      <c r="BS542" s="25">
        <v>4.86</v>
      </c>
      <c r="BT542" s="56">
        <v>17.5</v>
      </c>
      <c r="BU542" s="25">
        <v>5.0</v>
      </c>
      <c r="BV542" s="55">
        <v>6.65</v>
      </c>
      <c r="BW542" s="26"/>
      <c r="BX542" s="24">
        <v>3000.0</v>
      </c>
      <c r="BY542" s="24" t="s">
        <v>123</v>
      </c>
      <c r="BZ542" s="28">
        <v>3000.0</v>
      </c>
      <c r="CA542" s="72"/>
      <c r="CB542" s="30">
        <v>3000.0</v>
      </c>
      <c r="CC542" s="31"/>
      <c r="CD542" s="28">
        <v>3000.0</v>
      </c>
      <c r="CE542" s="32" t="e">
        <v>#REF!</v>
      </c>
      <c r="CF542" s="33"/>
      <c r="CG542" s="34">
        <v>0.0</v>
      </c>
      <c r="CH542" s="35">
        <v>0.0</v>
      </c>
      <c r="CI542" s="36">
        <v>50.0</v>
      </c>
      <c r="CJ542" s="36">
        <v>2453.0</v>
      </c>
      <c r="CK542" s="93">
        <f t="shared" si="12"/>
        <v>167</v>
      </c>
      <c r="CL542" s="36">
        <v>2620.0</v>
      </c>
      <c r="CM542" s="38">
        <v>885.0</v>
      </c>
      <c r="CN542" s="36">
        <v>0.0</v>
      </c>
      <c r="CO542" s="39">
        <v>17.7</v>
      </c>
      <c r="CP542" s="40">
        <v>0.0</v>
      </c>
      <c r="CQ542" s="36">
        <v>139.0</v>
      </c>
      <c r="CR542" s="36">
        <v>139.0</v>
      </c>
      <c r="CS542" s="36">
        <v>243.0</v>
      </c>
      <c r="CT542" s="41"/>
      <c r="CU542" s="42"/>
      <c r="CV542" s="43"/>
      <c r="CW542" s="44">
        <v>10.0</v>
      </c>
      <c r="CX542" s="44" t="s">
        <v>138</v>
      </c>
      <c r="CY542" s="44" t="s">
        <v>139</v>
      </c>
      <c r="CZ542" s="45"/>
      <c r="DA542" s="44">
        <v>3000.0</v>
      </c>
      <c r="DB542" s="44">
        <v>0.0</v>
      </c>
      <c r="DC542" s="46" t="s">
        <v>127</v>
      </c>
      <c r="DD542" s="47">
        <v>46186.0</v>
      </c>
      <c r="DE542" s="43"/>
      <c r="DF542" s="43"/>
      <c r="DG542" s="48" t="s">
        <v>128</v>
      </c>
      <c r="DH542" s="48" t="s">
        <v>128</v>
      </c>
      <c r="DI542" s="48" t="s">
        <v>128</v>
      </c>
      <c r="DJ542" s="49">
        <v>1.0</v>
      </c>
      <c r="DK542" s="48" t="b">
        <v>0</v>
      </c>
      <c r="DL542" s="50" t="s">
        <v>1296</v>
      </c>
      <c r="DM542" s="50" t="s">
        <v>128</v>
      </c>
      <c r="DN542" s="50" t="s">
        <v>952</v>
      </c>
      <c r="DO542" s="49">
        <v>0.89</v>
      </c>
      <c r="DP542" s="48" t="s">
        <v>128</v>
      </c>
      <c r="DQ542" s="48" t="s">
        <v>128</v>
      </c>
      <c r="DR542" s="51"/>
      <c r="DS542" s="48" t="s">
        <v>134</v>
      </c>
    </row>
    <row r="543">
      <c r="A543" s="52" t="s">
        <v>118</v>
      </c>
      <c r="B543" s="53">
        <v>4.0</v>
      </c>
      <c r="C543" s="52" t="s">
        <v>1123</v>
      </c>
      <c r="D543" s="53">
        <v>627274.0</v>
      </c>
      <c r="E543" s="52" t="s">
        <v>173</v>
      </c>
      <c r="F543" s="52" t="s">
        <v>1323</v>
      </c>
      <c r="G543" s="52" t="s">
        <v>1324</v>
      </c>
      <c r="H543" s="53">
        <v>77699.0</v>
      </c>
      <c r="I543" s="53">
        <v>22.0</v>
      </c>
      <c r="J543" s="53">
        <v>0.0</v>
      </c>
      <c r="K543" s="53">
        <v>0.0</v>
      </c>
      <c r="L543" s="53">
        <v>0.0</v>
      </c>
      <c r="M543" s="53">
        <v>0.0</v>
      </c>
      <c r="N543" s="53">
        <v>0.0</v>
      </c>
      <c r="O543" s="53">
        <v>0.0</v>
      </c>
      <c r="P543" s="53">
        <v>0.0</v>
      </c>
      <c r="Q543" s="53">
        <v>0.0</v>
      </c>
      <c r="R543" s="53">
        <v>0.0</v>
      </c>
      <c r="S543" s="53">
        <v>1.0</v>
      </c>
      <c r="T543" s="53">
        <v>0.0</v>
      </c>
      <c r="U543" s="53">
        <v>0.0</v>
      </c>
      <c r="V543" s="53">
        <v>2.0</v>
      </c>
      <c r="W543" s="53">
        <v>0.0</v>
      </c>
      <c r="X543" s="53">
        <v>3.0</v>
      </c>
      <c r="Y543" s="53">
        <v>6.0</v>
      </c>
      <c r="Z543" s="53">
        <v>0.0</v>
      </c>
      <c r="AA543" s="53">
        <v>0.0</v>
      </c>
      <c r="AB543" s="53">
        <v>1.0</v>
      </c>
      <c r="AC543" s="53">
        <v>0.0</v>
      </c>
      <c r="AD543" s="53">
        <v>1.0</v>
      </c>
      <c r="AE543" s="53">
        <v>2.0</v>
      </c>
      <c r="AF543" s="53">
        <v>1.0</v>
      </c>
      <c r="AG543" s="53">
        <v>0.0</v>
      </c>
      <c r="AH543" s="53">
        <v>1.0</v>
      </c>
      <c r="AI543" s="53">
        <v>0.0</v>
      </c>
      <c r="AJ543" s="53">
        <v>1.0</v>
      </c>
      <c r="AK543" s="53">
        <v>1.0</v>
      </c>
      <c r="AL543" s="53">
        <v>2.0</v>
      </c>
      <c r="AM543" s="53">
        <v>0.0</v>
      </c>
      <c r="AN543" s="53">
        <v>0.0</v>
      </c>
      <c r="AO543" s="55">
        <v>16.8</v>
      </c>
      <c r="AP543" s="54"/>
      <c r="AQ543" s="54"/>
      <c r="AR543" s="54"/>
      <c r="AS543" s="54"/>
      <c r="AT543" s="54"/>
      <c r="AU543" s="54"/>
      <c r="AV543" s="54"/>
      <c r="AW543" s="54"/>
      <c r="AX543" s="54"/>
      <c r="AY543" s="53">
        <v>12.67</v>
      </c>
      <c r="AZ543" s="54"/>
      <c r="BA543" s="54"/>
      <c r="BB543" s="53">
        <v>14.17</v>
      </c>
      <c r="BC543" s="54"/>
      <c r="BD543" s="53">
        <v>14.23</v>
      </c>
      <c r="BE543" s="53">
        <v>16.23</v>
      </c>
      <c r="BF543" s="54"/>
      <c r="BG543" s="54"/>
      <c r="BH543" s="53">
        <v>14.52</v>
      </c>
      <c r="BI543" s="54"/>
      <c r="BJ543" s="53">
        <v>15.22</v>
      </c>
      <c r="BK543" s="53">
        <v>18.23</v>
      </c>
      <c r="BL543" s="53">
        <v>15.1</v>
      </c>
      <c r="BM543" s="54"/>
      <c r="BN543" s="53">
        <v>17.83</v>
      </c>
      <c r="BO543" s="53">
        <v>0.37</v>
      </c>
      <c r="BP543" s="53">
        <v>1.58</v>
      </c>
      <c r="BQ543" s="53">
        <v>2.42</v>
      </c>
      <c r="BR543" s="53">
        <v>3.8</v>
      </c>
      <c r="BS543" s="25">
        <v>4.68</v>
      </c>
      <c r="BT543" s="91">
        <v>15.8</v>
      </c>
      <c r="BU543" s="55">
        <v>3.0</v>
      </c>
      <c r="BV543" s="55">
        <v>6.3</v>
      </c>
      <c r="BW543" s="54"/>
      <c r="BX543" s="53">
        <v>3000.0</v>
      </c>
      <c r="BY543" s="52" t="s">
        <v>123</v>
      </c>
      <c r="BZ543" s="58">
        <v>3000.0</v>
      </c>
      <c r="CA543" s="72"/>
      <c r="CB543" s="30">
        <v>3000.0</v>
      </c>
      <c r="CC543" s="31"/>
      <c r="CD543" s="58">
        <v>3000.0</v>
      </c>
      <c r="CE543" s="59" t="e">
        <v>#REF!</v>
      </c>
      <c r="CF543" s="60"/>
      <c r="CG543" s="61">
        <v>0.0</v>
      </c>
      <c r="CH543" s="62">
        <v>0.0</v>
      </c>
      <c r="CI543" s="63">
        <v>22.0</v>
      </c>
      <c r="CJ543" s="63">
        <v>2453.0</v>
      </c>
      <c r="CK543" s="94">
        <f t="shared" si="12"/>
        <v>167</v>
      </c>
      <c r="CL543" s="63">
        <v>2620.0</v>
      </c>
      <c r="CM543" s="65">
        <v>370.0</v>
      </c>
      <c r="CN543" s="63">
        <v>0.0</v>
      </c>
      <c r="CO543" s="66">
        <v>16.8</v>
      </c>
      <c r="CP543" s="67">
        <v>0.0</v>
      </c>
      <c r="CQ543" s="63">
        <v>35.0</v>
      </c>
      <c r="CR543" s="63">
        <v>35.0</v>
      </c>
      <c r="CS543" s="63">
        <v>103.0</v>
      </c>
      <c r="CT543" s="68"/>
      <c r="CU543" s="69"/>
      <c r="CV543" s="70"/>
      <c r="CW543" s="71">
        <v>10.0</v>
      </c>
      <c r="CX543" s="71" t="s">
        <v>138</v>
      </c>
      <c r="CY543" s="71" t="s">
        <v>139</v>
      </c>
      <c r="CZ543" s="45"/>
      <c r="DA543" s="44">
        <v>3000.0</v>
      </c>
      <c r="DB543" s="44">
        <v>0.0</v>
      </c>
      <c r="DC543" s="46" t="s">
        <v>127</v>
      </c>
      <c r="DD543" s="47">
        <v>46213.0</v>
      </c>
      <c r="DE543" s="43"/>
      <c r="DF543" s="43"/>
      <c r="DG543" s="48" t="s">
        <v>128</v>
      </c>
      <c r="DH543" s="48" t="s">
        <v>128</v>
      </c>
      <c r="DI543" s="48" t="s">
        <v>128</v>
      </c>
      <c r="DJ543" s="49">
        <v>1.0</v>
      </c>
      <c r="DK543" s="48" t="b">
        <v>1</v>
      </c>
      <c r="DL543" s="50" t="s">
        <v>1296</v>
      </c>
      <c r="DM543" s="50" t="s">
        <v>128</v>
      </c>
      <c r="DN543" s="50" t="s">
        <v>952</v>
      </c>
      <c r="DO543" s="49">
        <v>0.89</v>
      </c>
      <c r="DP543" s="48" t="s">
        <v>128</v>
      </c>
      <c r="DQ543" s="48" t="s">
        <v>128</v>
      </c>
      <c r="DR543" s="51"/>
      <c r="DS543" s="48" t="s">
        <v>134</v>
      </c>
    </row>
    <row r="544">
      <c r="A544" s="23" t="s">
        <v>118</v>
      </c>
      <c r="B544" s="24">
        <v>4.0</v>
      </c>
      <c r="C544" s="23" t="s">
        <v>1123</v>
      </c>
      <c r="D544" s="24">
        <v>576393.0</v>
      </c>
      <c r="E544" s="23" t="s">
        <v>164</v>
      </c>
      <c r="F544" s="23" t="s">
        <v>1325</v>
      </c>
      <c r="G544" s="23" t="s">
        <v>1326</v>
      </c>
      <c r="H544" s="24">
        <v>77699.0</v>
      </c>
      <c r="I544" s="24">
        <v>25.0</v>
      </c>
      <c r="J544" s="24">
        <v>0.0</v>
      </c>
      <c r="K544" s="24">
        <v>0.0</v>
      </c>
      <c r="L544" s="24">
        <v>0.0</v>
      </c>
      <c r="M544" s="24">
        <v>1.0</v>
      </c>
      <c r="N544" s="24">
        <v>0.0</v>
      </c>
      <c r="O544" s="24">
        <v>0.0</v>
      </c>
      <c r="P544" s="24">
        <v>0.0</v>
      </c>
      <c r="Q544" s="24">
        <v>0.0</v>
      </c>
      <c r="R544" s="24">
        <v>2.0</v>
      </c>
      <c r="S544" s="24">
        <v>2.0</v>
      </c>
      <c r="T544" s="24">
        <v>0.0</v>
      </c>
      <c r="U544" s="24">
        <v>2.0</v>
      </c>
      <c r="V544" s="24">
        <v>2.0</v>
      </c>
      <c r="W544" s="24">
        <v>4.0</v>
      </c>
      <c r="X544" s="24">
        <v>2.0</v>
      </c>
      <c r="Y544" s="24">
        <v>1.0</v>
      </c>
      <c r="Z544" s="24">
        <v>0.0</v>
      </c>
      <c r="AA544" s="24">
        <v>3.0</v>
      </c>
      <c r="AB544" s="24">
        <v>1.0</v>
      </c>
      <c r="AC544" s="24">
        <v>0.0</v>
      </c>
      <c r="AD544" s="24">
        <v>1.0</v>
      </c>
      <c r="AE544" s="24">
        <v>1.0</v>
      </c>
      <c r="AF544" s="24">
        <v>0.0</v>
      </c>
      <c r="AG544" s="24">
        <v>0.0</v>
      </c>
      <c r="AH544" s="24">
        <v>0.0</v>
      </c>
      <c r="AI544" s="24">
        <v>0.0</v>
      </c>
      <c r="AJ544" s="24">
        <v>0.0</v>
      </c>
      <c r="AK544" s="24">
        <v>0.0</v>
      </c>
      <c r="AL544" s="24">
        <v>1.0</v>
      </c>
      <c r="AM544" s="24">
        <v>0.0</v>
      </c>
      <c r="AN544" s="24">
        <v>2.0</v>
      </c>
      <c r="AO544" s="55">
        <v>15.7</v>
      </c>
      <c r="AP544" s="26"/>
      <c r="AQ544" s="26"/>
      <c r="AR544" s="26"/>
      <c r="AS544" s="24">
        <v>14.98</v>
      </c>
      <c r="AT544" s="26"/>
      <c r="AU544" s="26"/>
      <c r="AV544" s="26"/>
      <c r="AW544" s="26"/>
      <c r="AX544" s="24">
        <v>13.05</v>
      </c>
      <c r="AY544" s="24">
        <v>10.19</v>
      </c>
      <c r="AZ544" s="26"/>
      <c r="BA544" s="24">
        <v>22.49</v>
      </c>
      <c r="BB544" s="24">
        <v>13.55</v>
      </c>
      <c r="BC544" s="24">
        <v>16.88</v>
      </c>
      <c r="BD544" s="24">
        <v>12.65</v>
      </c>
      <c r="BE544" s="24">
        <v>19.48</v>
      </c>
      <c r="BF544" s="26"/>
      <c r="BG544" s="24">
        <v>20.27</v>
      </c>
      <c r="BH544" s="24">
        <v>13.52</v>
      </c>
      <c r="BI544" s="26"/>
      <c r="BJ544" s="24">
        <v>10.78</v>
      </c>
      <c r="BK544" s="24">
        <v>10.97</v>
      </c>
      <c r="BL544" s="26"/>
      <c r="BM544" s="26"/>
      <c r="BN544" s="26"/>
      <c r="BO544" s="24">
        <v>0.27</v>
      </c>
      <c r="BP544" s="24">
        <v>1.66</v>
      </c>
      <c r="BQ544" s="24">
        <v>2.05</v>
      </c>
      <c r="BR544" s="24">
        <v>3.51</v>
      </c>
      <c r="BS544" s="25">
        <v>4.63</v>
      </c>
      <c r="BT544" s="91">
        <v>16.3</v>
      </c>
      <c r="BU544" s="25">
        <v>5.3</v>
      </c>
      <c r="BV544" s="57">
        <v>5.77</v>
      </c>
      <c r="BW544" s="26"/>
      <c r="BX544" s="24">
        <v>3000.0</v>
      </c>
      <c r="BY544" s="24" t="s">
        <v>123</v>
      </c>
      <c r="BZ544" s="28">
        <v>3000.0</v>
      </c>
      <c r="CA544" s="72"/>
      <c r="CB544" s="30">
        <v>3000.0</v>
      </c>
      <c r="CC544" s="31"/>
      <c r="CD544" s="28">
        <v>3000.0</v>
      </c>
      <c r="CE544" s="32" t="e">
        <v>#REF!</v>
      </c>
      <c r="CF544" s="33"/>
      <c r="CG544" s="34">
        <v>0.0</v>
      </c>
      <c r="CH544" s="35">
        <v>0.0</v>
      </c>
      <c r="CI544" s="36">
        <v>25.0</v>
      </c>
      <c r="CJ544" s="36">
        <v>2453.0</v>
      </c>
      <c r="CK544" s="93">
        <f t="shared" si="12"/>
        <v>167</v>
      </c>
      <c r="CL544" s="36">
        <v>2620.0</v>
      </c>
      <c r="CM544" s="38">
        <v>393.0</v>
      </c>
      <c r="CN544" s="36">
        <v>0.0</v>
      </c>
      <c r="CO544" s="39">
        <v>15.7</v>
      </c>
      <c r="CP544" s="40">
        <v>0.0</v>
      </c>
      <c r="CQ544" s="36">
        <v>42.0</v>
      </c>
      <c r="CR544" s="36">
        <v>42.0</v>
      </c>
      <c r="CS544" s="36">
        <v>116.0</v>
      </c>
      <c r="CT544" s="41"/>
      <c r="CU544" s="42"/>
      <c r="CV544" s="43"/>
      <c r="CW544" s="44">
        <v>10.0</v>
      </c>
      <c r="CX544" s="44" t="s">
        <v>138</v>
      </c>
      <c r="CY544" s="44" t="s">
        <v>139</v>
      </c>
      <c r="CZ544" s="45"/>
      <c r="DA544" s="44">
        <v>3000.0</v>
      </c>
      <c r="DB544" s="44">
        <v>0.0</v>
      </c>
      <c r="DC544" s="46" t="s">
        <v>127</v>
      </c>
      <c r="DD544" s="47">
        <v>46197.0</v>
      </c>
      <c r="DE544" s="43"/>
      <c r="DF544" s="43"/>
      <c r="DG544" s="48" t="s">
        <v>128</v>
      </c>
      <c r="DH544" s="48" t="s">
        <v>128</v>
      </c>
      <c r="DI544" s="48" t="s">
        <v>128</v>
      </c>
      <c r="DJ544" s="49">
        <v>0.875</v>
      </c>
      <c r="DK544" s="48" t="b">
        <v>0</v>
      </c>
      <c r="DL544" s="50" t="s">
        <v>1296</v>
      </c>
      <c r="DM544" s="50" t="s">
        <v>128</v>
      </c>
      <c r="DN544" s="50" t="s">
        <v>952</v>
      </c>
      <c r="DO544" s="49">
        <v>0.89</v>
      </c>
      <c r="DP544" s="48" t="s">
        <v>128</v>
      </c>
      <c r="DQ544" s="48" t="s">
        <v>128</v>
      </c>
      <c r="DR544" s="51"/>
      <c r="DS544" s="48" t="s">
        <v>134</v>
      </c>
    </row>
    <row r="545">
      <c r="A545" s="52" t="s">
        <v>118</v>
      </c>
      <c r="B545" s="53">
        <v>4.0</v>
      </c>
      <c r="C545" s="52" t="s">
        <v>1123</v>
      </c>
      <c r="D545" s="53">
        <v>641645.0</v>
      </c>
      <c r="E545" s="52" t="s">
        <v>145</v>
      </c>
      <c r="F545" s="52" t="s">
        <v>1327</v>
      </c>
      <c r="G545" s="52" t="s">
        <v>1328</v>
      </c>
      <c r="H545" s="53">
        <v>77699.0</v>
      </c>
      <c r="I545" s="53">
        <v>17.0</v>
      </c>
      <c r="J545" s="53">
        <v>0.0</v>
      </c>
      <c r="K545" s="53">
        <v>0.0</v>
      </c>
      <c r="L545" s="53">
        <v>0.0</v>
      </c>
      <c r="M545" s="53">
        <v>0.0</v>
      </c>
      <c r="N545" s="53">
        <v>2.0</v>
      </c>
      <c r="O545" s="53">
        <v>1.0</v>
      </c>
      <c r="P545" s="53">
        <v>0.0</v>
      </c>
      <c r="Q545" s="53">
        <v>0.0</v>
      </c>
      <c r="R545" s="53">
        <v>1.0</v>
      </c>
      <c r="S545" s="53">
        <v>1.0</v>
      </c>
      <c r="T545" s="53">
        <v>0.0</v>
      </c>
      <c r="U545" s="53">
        <v>0.0</v>
      </c>
      <c r="V545" s="53">
        <v>0.0</v>
      </c>
      <c r="W545" s="53">
        <v>0.0</v>
      </c>
      <c r="X545" s="53">
        <v>0.0</v>
      </c>
      <c r="Y545" s="53">
        <v>0.0</v>
      </c>
      <c r="Z545" s="53">
        <v>1.0</v>
      </c>
      <c r="AA545" s="53">
        <v>1.0</v>
      </c>
      <c r="AB545" s="53">
        <v>0.0</v>
      </c>
      <c r="AC545" s="53">
        <v>0.0</v>
      </c>
      <c r="AD545" s="53">
        <v>0.0</v>
      </c>
      <c r="AE545" s="53">
        <v>0.0</v>
      </c>
      <c r="AF545" s="53">
        <v>8.0</v>
      </c>
      <c r="AG545" s="53">
        <v>1.0</v>
      </c>
      <c r="AH545" s="53">
        <v>0.0</v>
      </c>
      <c r="AI545" s="53">
        <v>1.0</v>
      </c>
      <c r="AJ545" s="53">
        <v>0.0</v>
      </c>
      <c r="AK545" s="53">
        <v>0.0</v>
      </c>
      <c r="AL545" s="53">
        <v>0.0</v>
      </c>
      <c r="AM545" s="53">
        <v>0.0</v>
      </c>
      <c r="AN545" s="53">
        <v>0.0</v>
      </c>
      <c r="AO545" s="57">
        <v>14.7</v>
      </c>
      <c r="AP545" s="54"/>
      <c r="AQ545" s="54"/>
      <c r="AR545" s="54"/>
      <c r="AS545" s="54"/>
      <c r="AT545" s="53">
        <v>0.0</v>
      </c>
      <c r="AU545" s="53">
        <v>9.95</v>
      </c>
      <c r="AV545" s="54"/>
      <c r="AW545" s="54"/>
      <c r="AX545" s="53">
        <v>11.28</v>
      </c>
      <c r="AY545" s="53">
        <v>14.42</v>
      </c>
      <c r="AZ545" s="54"/>
      <c r="BA545" s="54"/>
      <c r="BB545" s="54"/>
      <c r="BC545" s="54"/>
      <c r="BD545" s="54"/>
      <c r="BE545" s="54"/>
      <c r="BF545" s="53">
        <v>15.07</v>
      </c>
      <c r="BG545" s="53">
        <v>9.38</v>
      </c>
      <c r="BH545" s="54"/>
      <c r="BI545" s="54"/>
      <c r="BJ545" s="54"/>
      <c r="BK545" s="54"/>
      <c r="BL545" s="53">
        <v>14.88</v>
      </c>
      <c r="BM545" s="53">
        <v>25.5</v>
      </c>
      <c r="BN545" s="54"/>
      <c r="BO545" s="53">
        <v>0.47</v>
      </c>
      <c r="BP545" s="53">
        <v>1.33</v>
      </c>
      <c r="BQ545" s="53">
        <v>2.58</v>
      </c>
      <c r="BR545" s="53">
        <v>3.7</v>
      </c>
      <c r="BS545" s="55">
        <v>3.47</v>
      </c>
      <c r="BT545" s="91">
        <v>16.0</v>
      </c>
      <c r="BU545" s="25">
        <v>4.8</v>
      </c>
      <c r="BV545" s="57">
        <v>5.93</v>
      </c>
      <c r="BW545" s="54"/>
      <c r="BX545" s="53">
        <v>3000.0</v>
      </c>
      <c r="BY545" s="53" t="s">
        <v>123</v>
      </c>
      <c r="BZ545" s="58">
        <v>3000.0</v>
      </c>
      <c r="CA545" s="72"/>
      <c r="CB545" s="30">
        <v>3000.0</v>
      </c>
      <c r="CC545" s="31"/>
      <c r="CD545" s="58">
        <v>3000.0</v>
      </c>
      <c r="CE545" s="59" t="e">
        <v>#REF!</v>
      </c>
      <c r="CF545" s="60"/>
      <c r="CG545" s="61">
        <v>0.0</v>
      </c>
      <c r="CH545" s="62">
        <v>0.0</v>
      </c>
      <c r="CI545" s="63">
        <v>17.0</v>
      </c>
      <c r="CJ545" s="63">
        <v>2453.0</v>
      </c>
      <c r="CK545" s="94">
        <f t="shared" si="12"/>
        <v>167</v>
      </c>
      <c r="CL545" s="63">
        <v>2620.0</v>
      </c>
      <c r="CM545" s="65">
        <v>250.0</v>
      </c>
      <c r="CN545" s="63">
        <v>0.0</v>
      </c>
      <c r="CO545" s="66">
        <v>14.7</v>
      </c>
      <c r="CP545" s="67">
        <v>0.0</v>
      </c>
      <c r="CQ545" s="63">
        <v>23.0</v>
      </c>
      <c r="CR545" s="63">
        <v>23.0</v>
      </c>
      <c r="CS545" s="63">
        <v>59.0</v>
      </c>
      <c r="CT545" s="68"/>
      <c r="CU545" s="69"/>
      <c r="CV545" s="70"/>
      <c r="CW545" s="71">
        <v>10.0</v>
      </c>
      <c r="CX545" s="71" t="s">
        <v>138</v>
      </c>
      <c r="CY545" s="71" t="s">
        <v>139</v>
      </c>
      <c r="CZ545" s="45"/>
      <c r="DA545" s="44">
        <v>3000.0</v>
      </c>
      <c r="DB545" s="44">
        <v>0.0</v>
      </c>
      <c r="DC545" s="46" t="s">
        <v>127</v>
      </c>
      <c r="DD545" s="47">
        <v>46197.0</v>
      </c>
      <c r="DE545" s="43"/>
      <c r="DF545" s="43"/>
      <c r="DG545" s="48" t="s">
        <v>128</v>
      </c>
      <c r="DH545" s="48" t="s">
        <v>128</v>
      </c>
      <c r="DI545" s="48" t="s">
        <v>128</v>
      </c>
      <c r="DJ545" s="49">
        <v>1.0</v>
      </c>
      <c r="DK545" s="48" t="b">
        <v>0</v>
      </c>
      <c r="DL545" s="50" t="s">
        <v>1296</v>
      </c>
      <c r="DM545" s="50" t="s">
        <v>128</v>
      </c>
      <c r="DN545" s="50" t="s">
        <v>952</v>
      </c>
      <c r="DO545" s="49">
        <v>0.89</v>
      </c>
      <c r="DP545" s="48" t="s">
        <v>128</v>
      </c>
      <c r="DQ545" s="48" t="s">
        <v>128</v>
      </c>
      <c r="DR545" s="51"/>
      <c r="DS545" s="48" t="s">
        <v>134</v>
      </c>
    </row>
    <row r="546">
      <c r="A546" s="23" t="s">
        <v>118</v>
      </c>
      <c r="B546" s="24">
        <v>4.0</v>
      </c>
      <c r="C546" s="23" t="s">
        <v>1123</v>
      </c>
      <c r="D546" s="24">
        <v>610881.0</v>
      </c>
      <c r="E546" s="23" t="s">
        <v>167</v>
      </c>
      <c r="F546" s="23" t="s">
        <v>1329</v>
      </c>
      <c r="G546" s="23" t="s">
        <v>1330</v>
      </c>
      <c r="H546" s="24">
        <v>77699.0</v>
      </c>
      <c r="I546" s="24">
        <v>4.0</v>
      </c>
      <c r="J546" s="24">
        <v>0.0</v>
      </c>
      <c r="K546" s="24">
        <v>0.0</v>
      </c>
      <c r="L546" s="24">
        <v>0.0</v>
      </c>
      <c r="M546" s="24">
        <v>0.0</v>
      </c>
      <c r="N546" s="24">
        <v>0.0</v>
      </c>
      <c r="O546" s="24">
        <v>0.0</v>
      </c>
      <c r="P546" s="24">
        <v>0.0</v>
      </c>
      <c r="Q546" s="24">
        <v>1.0</v>
      </c>
      <c r="R546" s="24">
        <v>0.0</v>
      </c>
      <c r="S546" s="24">
        <v>1.0</v>
      </c>
      <c r="T546" s="24">
        <v>0.0</v>
      </c>
      <c r="U546" s="24">
        <v>0.0</v>
      </c>
      <c r="V546" s="24">
        <v>0.0</v>
      </c>
      <c r="W546" s="24">
        <v>0.0</v>
      </c>
      <c r="X546" s="24">
        <v>0.0</v>
      </c>
      <c r="Y546" s="24">
        <v>1.0</v>
      </c>
      <c r="Z546" s="24">
        <v>0.0</v>
      </c>
      <c r="AA546" s="24">
        <v>1.0</v>
      </c>
      <c r="AB546" s="24">
        <v>0.0</v>
      </c>
      <c r="AC546" s="24">
        <v>0.0</v>
      </c>
      <c r="AD546" s="24">
        <v>0.0</v>
      </c>
      <c r="AE546" s="24">
        <v>0.0</v>
      </c>
      <c r="AF546" s="24">
        <v>0.0</v>
      </c>
      <c r="AG546" s="24">
        <v>0.0</v>
      </c>
      <c r="AH546" s="24">
        <v>0.0</v>
      </c>
      <c r="AI546" s="24">
        <v>0.0</v>
      </c>
      <c r="AJ546" s="24">
        <v>0.0</v>
      </c>
      <c r="AK546" s="24">
        <v>0.0</v>
      </c>
      <c r="AL546" s="24">
        <v>0.0</v>
      </c>
      <c r="AM546" s="24">
        <v>0.0</v>
      </c>
      <c r="AN546" s="24">
        <v>0.0</v>
      </c>
      <c r="AO546" s="57">
        <v>11.9</v>
      </c>
      <c r="AP546" s="26"/>
      <c r="AQ546" s="26"/>
      <c r="AR546" s="26"/>
      <c r="AS546" s="26"/>
      <c r="AT546" s="26"/>
      <c r="AU546" s="26"/>
      <c r="AV546" s="26"/>
      <c r="AW546" s="24">
        <v>9.12</v>
      </c>
      <c r="AX546" s="26"/>
      <c r="AY546" s="24">
        <v>8.25</v>
      </c>
      <c r="AZ546" s="26"/>
      <c r="BA546" s="26"/>
      <c r="BB546" s="26"/>
      <c r="BC546" s="26"/>
      <c r="BD546" s="26"/>
      <c r="BE546" s="24">
        <v>13.6</v>
      </c>
      <c r="BF546" s="26"/>
      <c r="BG546" s="24">
        <v>16.45</v>
      </c>
      <c r="BH546" s="26"/>
      <c r="BI546" s="26"/>
      <c r="BJ546" s="26"/>
      <c r="BK546" s="26"/>
      <c r="BL546" s="26"/>
      <c r="BM546" s="26"/>
      <c r="BN546" s="26"/>
      <c r="BO546" s="26"/>
      <c r="BP546" s="24">
        <v>0.78</v>
      </c>
      <c r="BQ546" s="24">
        <v>2.2</v>
      </c>
      <c r="BR546" s="24">
        <v>2.78</v>
      </c>
      <c r="BS546" s="57">
        <v>2.23</v>
      </c>
      <c r="BT546" s="77">
        <v>11.4</v>
      </c>
      <c r="BU546" s="55">
        <v>3.0</v>
      </c>
      <c r="BV546" s="57">
        <v>3.33</v>
      </c>
      <c r="BW546" s="26"/>
      <c r="BX546" s="24">
        <v>3000.0</v>
      </c>
      <c r="BY546" s="24" t="s">
        <v>123</v>
      </c>
      <c r="BZ546" s="28">
        <v>3000.0</v>
      </c>
      <c r="CA546" s="72"/>
      <c r="CB546" s="30">
        <v>3000.0</v>
      </c>
      <c r="CC546" s="31"/>
      <c r="CD546" s="28">
        <v>3000.0</v>
      </c>
      <c r="CE546" s="32" t="e">
        <v>#REF!</v>
      </c>
      <c r="CF546" s="33"/>
      <c r="CG546" s="34">
        <v>0.0</v>
      </c>
      <c r="CH546" s="35">
        <v>0.0</v>
      </c>
      <c r="CI546" s="36">
        <v>4.0</v>
      </c>
      <c r="CJ546" s="36">
        <v>2453.0</v>
      </c>
      <c r="CK546" s="93">
        <f t="shared" si="12"/>
        <v>167</v>
      </c>
      <c r="CL546" s="36">
        <v>2620.0</v>
      </c>
      <c r="CM546" s="38">
        <v>48.0</v>
      </c>
      <c r="CN546" s="36">
        <v>0.0</v>
      </c>
      <c r="CO546" s="39">
        <v>11.9</v>
      </c>
      <c r="CP546" s="40">
        <v>0.0</v>
      </c>
      <c r="CQ546" s="36">
        <v>3.0</v>
      </c>
      <c r="CR546" s="36">
        <v>3.0</v>
      </c>
      <c r="CS546" s="36">
        <v>9.0</v>
      </c>
      <c r="CT546" s="41"/>
      <c r="CU546" s="42"/>
      <c r="CV546" s="43"/>
      <c r="CW546" s="44">
        <v>10.0</v>
      </c>
      <c r="CX546" s="44" t="s">
        <v>138</v>
      </c>
      <c r="CY546" s="44" t="s">
        <v>139</v>
      </c>
      <c r="CZ546" s="45"/>
      <c r="DA546" s="44">
        <v>3000.0</v>
      </c>
      <c r="DB546" s="44">
        <v>0.0</v>
      </c>
      <c r="DC546" s="46" t="s">
        <v>127</v>
      </c>
      <c r="DD546" s="47">
        <v>46213.0</v>
      </c>
      <c r="DE546" s="43"/>
      <c r="DF546" s="43"/>
      <c r="DG546" s="48" t="s">
        <v>128</v>
      </c>
      <c r="DH546" s="48" t="s">
        <v>128</v>
      </c>
      <c r="DI546" s="48" t="s">
        <v>128</v>
      </c>
      <c r="DJ546" s="49">
        <v>1.0</v>
      </c>
      <c r="DK546" s="48" t="b">
        <v>1</v>
      </c>
      <c r="DL546" s="50" t="s">
        <v>1296</v>
      </c>
      <c r="DM546" s="50" t="s">
        <v>128</v>
      </c>
      <c r="DN546" s="50" t="s">
        <v>952</v>
      </c>
      <c r="DO546" s="49">
        <v>0.89</v>
      </c>
      <c r="DP546" s="48" t="s">
        <v>128</v>
      </c>
      <c r="DQ546" s="48" t="s">
        <v>128</v>
      </c>
      <c r="DR546" s="51"/>
      <c r="DS546" s="48" t="s">
        <v>134</v>
      </c>
    </row>
    <row r="547">
      <c r="A547" s="52" t="s">
        <v>118</v>
      </c>
      <c r="B547" s="53">
        <v>4.0</v>
      </c>
      <c r="C547" s="52" t="s">
        <v>1123</v>
      </c>
      <c r="D547" s="53">
        <v>680607.0</v>
      </c>
      <c r="E547" s="52" t="s">
        <v>246</v>
      </c>
      <c r="F547" s="52" t="s">
        <v>1331</v>
      </c>
      <c r="G547" s="52" t="s">
        <v>1332</v>
      </c>
      <c r="H547" s="53">
        <v>77699.0</v>
      </c>
      <c r="I547" s="53">
        <v>3.0</v>
      </c>
      <c r="J547" s="53">
        <v>0.0</v>
      </c>
      <c r="K547" s="53">
        <v>0.0</v>
      </c>
      <c r="L547" s="53">
        <v>0.0</v>
      </c>
      <c r="M547" s="53">
        <v>0.0</v>
      </c>
      <c r="N547" s="53">
        <v>0.0</v>
      </c>
      <c r="O547" s="53">
        <v>0.0</v>
      </c>
      <c r="P547" s="53">
        <v>0.0</v>
      </c>
      <c r="Q547" s="53">
        <v>0.0</v>
      </c>
      <c r="R547" s="53">
        <v>0.0</v>
      </c>
      <c r="S547" s="53">
        <v>0.0</v>
      </c>
      <c r="T547" s="53">
        <v>0.0</v>
      </c>
      <c r="U547" s="53">
        <v>0.0</v>
      </c>
      <c r="V547" s="53">
        <v>0.0</v>
      </c>
      <c r="W547" s="53">
        <v>0.0</v>
      </c>
      <c r="X547" s="53">
        <v>0.0</v>
      </c>
      <c r="Y547" s="53">
        <v>0.0</v>
      </c>
      <c r="Z547" s="53">
        <v>0.0</v>
      </c>
      <c r="AA547" s="53">
        <v>0.0</v>
      </c>
      <c r="AB547" s="53">
        <v>0.0</v>
      </c>
      <c r="AC547" s="53">
        <v>0.0</v>
      </c>
      <c r="AD547" s="53">
        <v>0.0</v>
      </c>
      <c r="AE547" s="53">
        <v>0.0</v>
      </c>
      <c r="AF547" s="53">
        <v>2.0</v>
      </c>
      <c r="AG547" s="53">
        <v>1.0</v>
      </c>
      <c r="AH547" s="53">
        <v>0.0</v>
      </c>
      <c r="AI547" s="53">
        <v>0.0</v>
      </c>
      <c r="AJ547" s="53">
        <v>0.0</v>
      </c>
      <c r="AK547" s="53">
        <v>0.0</v>
      </c>
      <c r="AL547" s="53">
        <v>0.0</v>
      </c>
      <c r="AM547" s="53">
        <v>0.0</v>
      </c>
      <c r="AN547" s="53">
        <v>0.0</v>
      </c>
      <c r="AO547" s="55">
        <v>16.6</v>
      </c>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3">
        <v>18.23</v>
      </c>
      <c r="BM547" s="53">
        <v>13.4</v>
      </c>
      <c r="BN547" s="54"/>
      <c r="BO547" s="54"/>
      <c r="BP547" s="53">
        <v>0.74</v>
      </c>
      <c r="BQ547" s="53">
        <v>4.65</v>
      </c>
      <c r="BR547" s="53">
        <v>5.21</v>
      </c>
      <c r="BS547" s="57">
        <v>1.48</v>
      </c>
      <c r="BT547" s="56">
        <v>21.3</v>
      </c>
      <c r="BU547" s="57">
        <v>0.7</v>
      </c>
      <c r="BV547" s="25">
        <v>7.07</v>
      </c>
      <c r="BW547" s="54"/>
      <c r="BX547" s="53">
        <v>3000.0</v>
      </c>
      <c r="BY547" s="53" t="s">
        <v>123</v>
      </c>
      <c r="BZ547" s="58">
        <v>3000.0</v>
      </c>
      <c r="CA547" s="72"/>
      <c r="CB547" s="30">
        <v>3000.0</v>
      </c>
      <c r="CC547" s="31"/>
      <c r="CD547" s="58">
        <v>3000.0</v>
      </c>
      <c r="CE547" s="59" t="e">
        <v>#REF!</v>
      </c>
      <c r="CF547" s="60"/>
      <c r="CG547" s="61">
        <v>0.0</v>
      </c>
      <c r="CH547" s="62">
        <v>0.0</v>
      </c>
      <c r="CI547" s="63">
        <v>3.0</v>
      </c>
      <c r="CJ547" s="63">
        <v>2453.0</v>
      </c>
      <c r="CK547" s="94">
        <f t="shared" si="12"/>
        <v>167</v>
      </c>
      <c r="CL547" s="63">
        <v>2620.0</v>
      </c>
      <c r="CM547" s="65">
        <v>50.0</v>
      </c>
      <c r="CN547" s="63">
        <v>0.0</v>
      </c>
      <c r="CO547" s="66">
        <v>16.6</v>
      </c>
      <c r="CP547" s="67">
        <v>0.0</v>
      </c>
      <c r="CQ547" s="63">
        <v>2.0</v>
      </c>
      <c r="CR547" s="63">
        <v>2.0</v>
      </c>
      <c r="CS547" s="63">
        <v>4.0</v>
      </c>
      <c r="CT547" s="68"/>
      <c r="CU547" s="69"/>
      <c r="CV547" s="70"/>
      <c r="CW547" s="71">
        <v>10.0</v>
      </c>
      <c r="CX547" s="71" t="s">
        <v>138</v>
      </c>
      <c r="CY547" s="71" t="s">
        <v>139</v>
      </c>
      <c r="CZ547" s="45"/>
      <c r="DA547" s="44">
        <v>3000.0</v>
      </c>
      <c r="DB547" s="44">
        <v>0.0</v>
      </c>
      <c r="DC547" s="46" t="s">
        <v>127</v>
      </c>
      <c r="DD547" s="47">
        <v>46197.0</v>
      </c>
      <c r="DE547" s="43"/>
      <c r="DF547" s="43"/>
      <c r="DG547" s="48" t="s">
        <v>128</v>
      </c>
      <c r="DH547" s="48" t="s">
        <v>128</v>
      </c>
      <c r="DI547" s="48" t="s">
        <v>128</v>
      </c>
      <c r="DJ547" s="49">
        <v>1.0</v>
      </c>
      <c r="DK547" s="48" t="b">
        <v>0</v>
      </c>
      <c r="DL547" s="50" t="s">
        <v>1296</v>
      </c>
      <c r="DM547" s="50" t="s">
        <v>128</v>
      </c>
      <c r="DN547" s="50" t="s">
        <v>952</v>
      </c>
      <c r="DO547" s="49">
        <v>0.89</v>
      </c>
      <c r="DP547" s="48" t="s">
        <v>128</v>
      </c>
      <c r="DQ547" s="48" t="s">
        <v>128</v>
      </c>
      <c r="DR547" s="51"/>
      <c r="DS547" s="48" t="s">
        <v>134</v>
      </c>
    </row>
    <row r="548">
      <c r="A548" s="23" t="s">
        <v>118</v>
      </c>
      <c r="B548" s="24">
        <v>4.0</v>
      </c>
      <c r="C548" s="23" t="s">
        <v>1123</v>
      </c>
      <c r="D548" s="24">
        <v>625804.0</v>
      </c>
      <c r="E548" s="23" t="s">
        <v>882</v>
      </c>
      <c r="F548" s="23" t="s">
        <v>1333</v>
      </c>
      <c r="G548" s="23" t="s">
        <v>1334</v>
      </c>
      <c r="H548" s="24">
        <v>77699.0</v>
      </c>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7"/>
      <c r="BU548" s="26"/>
      <c r="BV548" s="26"/>
      <c r="BW548" s="26"/>
      <c r="BX548" s="24">
        <v>2400.0</v>
      </c>
      <c r="BY548" s="24" t="s">
        <v>123</v>
      </c>
      <c r="BZ548" s="28">
        <v>2400.0</v>
      </c>
      <c r="CA548" s="72"/>
      <c r="CB548" s="30">
        <v>3000.0</v>
      </c>
      <c r="CC548" s="31"/>
      <c r="CD548" s="28">
        <v>3000.0</v>
      </c>
      <c r="CE548" s="88" t="s">
        <v>185</v>
      </c>
      <c r="CF548" s="73">
        <f>+600</f>
        <v>600</v>
      </c>
      <c r="CG548" s="34">
        <v>0.0</v>
      </c>
      <c r="CH548" s="89"/>
      <c r="CI548" s="36">
        <v>0.0</v>
      </c>
      <c r="CJ548" s="36">
        <v>2453.0</v>
      </c>
      <c r="CK548" s="93">
        <f t="shared" si="12"/>
        <v>167</v>
      </c>
      <c r="CL548" s="36">
        <v>2620.0</v>
      </c>
      <c r="CM548" s="38">
        <v>0.0</v>
      </c>
      <c r="CN548" s="36">
        <v>-7.0</v>
      </c>
      <c r="CO548" s="39">
        <v>0.0</v>
      </c>
      <c r="CP548" s="40">
        <v>0.0</v>
      </c>
      <c r="CQ548" s="36">
        <v>0.0</v>
      </c>
      <c r="CR548" s="36">
        <v>0.0</v>
      </c>
      <c r="CS548" s="36">
        <v>0.0</v>
      </c>
      <c r="CT548" s="41"/>
      <c r="CU548" s="42"/>
      <c r="CV548" s="43"/>
      <c r="CW548" s="44">
        <v>10.0</v>
      </c>
      <c r="CX548" s="44" t="s">
        <v>138</v>
      </c>
      <c r="CY548" s="44" t="s">
        <v>139</v>
      </c>
      <c r="CZ548" s="76" t="s">
        <v>151</v>
      </c>
      <c r="DA548" s="43"/>
      <c r="DB548" s="44">
        <v>0.0</v>
      </c>
      <c r="DC548" s="43"/>
      <c r="DD548" s="78"/>
      <c r="DE548" s="43"/>
      <c r="DF548" s="43"/>
      <c r="DG548" s="48" t="s">
        <v>128</v>
      </c>
      <c r="DH548" s="48" t="s">
        <v>128</v>
      </c>
      <c r="DI548" s="48" t="s">
        <v>343</v>
      </c>
      <c r="DJ548" s="51"/>
      <c r="DK548" s="48" t="b">
        <v>0</v>
      </c>
      <c r="DL548" s="50" t="s">
        <v>1296</v>
      </c>
      <c r="DM548" s="50" t="s">
        <v>128</v>
      </c>
      <c r="DN548" s="50" t="s">
        <v>952</v>
      </c>
      <c r="DO548" s="49">
        <v>0.89</v>
      </c>
      <c r="DP548" s="51"/>
      <c r="DQ548" s="48" t="s">
        <v>197</v>
      </c>
      <c r="DR548" s="51"/>
      <c r="DS548" s="48" t="s">
        <v>134</v>
      </c>
    </row>
    <row r="549">
      <c r="A549" s="52" t="s">
        <v>118</v>
      </c>
      <c r="B549" s="53">
        <v>4.0</v>
      </c>
      <c r="C549" s="52" t="s">
        <v>1123</v>
      </c>
      <c r="D549" s="53">
        <v>681287.0</v>
      </c>
      <c r="E549" s="52" t="s">
        <v>354</v>
      </c>
      <c r="F549" s="52" t="s">
        <v>1335</v>
      </c>
      <c r="G549" s="52" t="s">
        <v>1336</v>
      </c>
      <c r="H549" s="53">
        <v>77699.0</v>
      </c>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81"/>
      <c r="BU549" s="54"/>
      <c r="BV549" s="54"/>
      <c r="BW549" s="54"/>
      <c r="BX549" s="53">
        <v>1.0</v>
      </c>
      <c r="BY549" s="53" t="s">
        <v>123</v>
      </c>
      <c r="BZ549" s="87">
        <v>1.0</v>
      </c>
      <c r="CA549" s="72"/>
      <c r="CB549" s="82"/>
      <c r="CC549" s="31"/>
      <c r="CD549" s="58">
        <v>1.0</v>
      </c>
      <c r="CE549" s="83" t="s">
        <v>185</v>
      </c>
      <c r="CF549" s="60"/>
      <c r="CG549" s="61">
        <v>0.0</v>
      </c>
      <c r="CH549" s="84"/>
      <c r="CI549" s="63">
        <v>0.0</v>
      </c>
      <c r="CJ549" s="63">
        <v>2453.0</v>
      </c>
      <c r="CK549" s="94">
        <f t="shared" si="12"/>
        <v>167</v>
      </c>
      <c r="CL549" s="63">
        <v>2620.0</v>
      </c>
      <c r="CM549" s="65">
        <v>0.0</v>
      </c>
      <c r="CN549" s="63">
        <v>0.0</v>
      </c>
      <c r="CO549" s="66">
        <v>0.0</v>
      </c>
      <c r="CP549" s="67">
        <v>0.0</v>
      </c>
      <c r="CQ549" s="63">
        <v>0.0</v>
      </c>
      <c r="CR549" s="63">
        <v>0.0</v>
      </c>
      <c r="CS549" s="63">
        <v>0.0</v>
      </c>
      <c r="CT549" s="68"/>
      <c r="CU549" s="69"/>
      <c r="CV549" s="70"/>
      <c r="CW549" s="71">
        <v>1.0</v>
      </c>
      <c r="CX549" s="71">
        <v>1.0</v>
      </c>
      <c r="CY549" s="71">
        <v>0.1</v>
      </c>
      <c r="CZ549" s="45"/>
      <c r="DA549" s="43"/>
      <c r="DB549" s="44">
        <v>0.0</v>
      </c>
      <c r="DC549" s="43"/>
      <c r="DD549" s="78"/>
      <c r="DE549" s="43"/>
      <c r="DF549" s="43"/>
      <c r="DG549" s="48" t="s">
        <v>128</v>
      </c>
      <c r="DH549" s="48" t="s">
        <v>131</v>
      </c>
      <c r="DI549" s="48" t="s">
        <v>188</v>
      </c>
      <c r="DJ549" s="49">
        <v>1.0</v>
      </c>
      <c r="DK549" s="48" t="b">
        <v>0</v>
      </c>
      <c r="DL549" s="50" t="s">
        <v>1296</v>
      </c>
      <c r="DM549" s="50" t="s">
        <v>128</v>
      </c>
      <c r="DN549" s="50" t="s">
        <v>952</v>
      </c>
      <c r="DO549" s="49">
        <v>0.89</v>
      </c>
      <c r="DP549" s="51"/>
      <c r="DQ549" s="48" t="s">
        <v>188</v>
      </c>
      <c r="DR549" s="51"/>
      <c r="DS549" s="48" t="s">
        <v>134</v>
      </c>
    </row>
    <row r="550">
      <c r="A550" s="23" t="s">
        <v>118</v>
      </c>
      <c r="B550" s="24">
        <v>4.0</v>
      </c>
      <c r="C550" s="23" t="s">
        <v>1123</v>
      </c>
      <c r="D550" s="24">
        <v>631195.0</v>
      </c>
      <c r="E550" s="23" t="s">
        <v>140</v>
      </c>
      <c r="F550" s="23" t="s">
        <v>1337</v>
      </c>
      <c r="G550" s="23" t="s">
        <v>1338</v>
      </c>
      <c r="H550" s="24">
        <v>77699.0</v>
      </c>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7"/>
      <c r="BU550" s="26"/>
      <c r="BV550" s="26"/>
      <c r="BW550" s="26"/>
      <c r="BX550" s="24">
        <v>2700.0</v>
      </c>
      <c r="BY550" s="24" t="s">
        <v>123</v>
      </c>
      <c r="BZ550" s="28">
        <v>2700.0</v>
      </c>
      <c r="CA550" s="72"/>
      <c r="CB550" s="30">
        <v>3000.0</v>
      </c>
      <c r="CC550" s="31"/>
      <c r="CD550" s="28">
        <v>3000.0</v>
      </c>
      <c r="CE550" s="88" t="s">
        <v>185</v>
      </c>
      <c r="CF550" s="73">
        <f>+300</f>
        <v>300</v>
      </c>
      <c r="CG550" s="34">
        <v>0.0</v>
      </c>
      <c r="CH550" s="89"/>
      <c r="CI550" s="36">
        <v>0.0</v>
      </c>
      <c r="CJ550" s="36">
        <v>2453.0</v>
      </c>
      <c r="CK550" s="93">
        <f t="shared" si="12"/>
        <v>167</v>
      </c>
      <c r="CL550" s="36">
        <v>2620.0</v>
      </c>
      <c r="CM550" s="38">
        <v>0.0</v>
      </c>
      <c r="CN550" s="36">
        <v>-2.0</v>
      </c>
      <c r="CO550" s="39">
        <v>0.0</v>
      </c>
      <c r="CP550" s="40">
        <v>0.0</v>
      </c>
      <c r="CQ550" s="36">
        <v>0.0</v>
      </c>
      <c r="CR550" s="36">
        <v>0.0</v>
      </c>
      <c r="CS550" s="36">
        <v>0.0</v>
      </c>
      <c r="CT550" s="41"/>
      <c r="CU550" s="42"/>
      <c r="CV550" s="43"/>
      <c r="CW550" s="44">
        <v>10.0</v>
      </c>
      <c r="CX550" s="44" t="s">
        <v>138</v>
      </c>
      <c r="CY550" s="44" t="s">
        <v>139</v>
      </c>
      <c r="CZ550" s="76" t="s">
        <v>151</v>
      </c>
      <c r="DA550" s="43"/>
      <c r="DB550" s="44">
        <v>0.0</v>
      </c>
      <c r="DC550" s="43"/>
      <c r="DD550" s="78"/>
      <c r="DE550" s="43"/>
      <c r="DF550" s="43"/>
      <c r="DG550" s="48" t="s">
        <v>128</v>
      </c>
      <c r="DH550" s="48" t="s">
        <v>128</v>
      </c>
      <c r="DI550" s="85" t="str">
        <f>+ OFF 30 DIAS SIN VENTA</f>
        <v>#ERROR!</v>
      </c>
      <c r="DJ550" s="49">
        <v>1.0</v>
      </c>
      <c r="DK550" s="48" t="b">
        <v>0</v>
      </c>
      <c r="DL550" s="50" t="s">
        <v>1296</v>
      </c>
      <c r="DM550" s="50" t="s">
        <v>128</v>
      </c>
      <c r="DN550" s="50" t="s">
        <v>952</v>
      </c>
      <c r="DO550" s="49">
        <v>0.89</v>
      </c>
      <c r="DP550" s="48" t="s">
        <v>128</v>
      </c>
      <c r="DQ550" s="86" t="str">
        <f>+ OFF 30 DIAS SIN VENTA</f>
        <v>#ERROR!</v>
      </c>
      <c r="DR550" s="51"/>
      <c r="DS550" s="48" t="s">
        <v>134</v>
      </c>
    </row>
    <row r="551">
      <c r="A551" s="52" t="s">
        <v>118</v>
      </c>
      <c r="B551" s="53">
        <v>4.0</v>
      </c>
      <c r="C551" s="52" t="s">
        <v>1123</v>
      </c>
      <c r="D551" s="53">
        <v>648803.0</v>
      </c>
      <c r="E551" s="52" t="s">
        <v>189</v>
      </c>
      <c r="F551" s="52" t="s">
        <v>1339</v>
      </c>
      <c r="G551" s="52" t="s">
        <v>1340</v>
      </c>
      <c r="H551" s="53">
        <v>77699.0</v>
      </c>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81"/>
      <c r="BU551" s="54"/>
      <c r="BV551" s="54"/>
      <c r="BW551" s="54"/>
      <c r="BX551" s="53">
        <v>3000.0</v>
      </c>
      <c r="BY551" s="53" t="s">
        <v>123</v>
      </c>
      <c r="BZ551" s="58">
        <v>3000.0</v>
      </c>
      <c r="CA551" s="72"/>
      <c r="CB551" s="82"/>
      <c r="CC551" s="31"/>
      <c r="CD551" s="58">
        <v>3000.0</v>
      </c>
      <c r="CE551" s="83" t="s">
        <v>185</v>
      </c>
      <c r="CF551" s="60"/>
      <c r="CG551" s="61">
        <v>0.0</v>
      </c>
      <c r="CH551" s="84"/>
      <c r="CI551" s="63">
        <v>0.0</v>
      </c>
      <c r="CJ551" s="63">
        <v>2453.0</v>
      </c>
      <c r="CK551" s="94">
        <f t="shared" si="12"/>
        <v>167</v>
      </c>
      <c r="CL551" s="63">
        <v>2620.0</v>
      </c>
      <c r="CM551" s="65">
        <v>0.0</v>
      </c>
      <c r="CN551" s="63">
        <v>0.0</v>
      </c>
      <c r="CO551" s="66">
        <v>0.0</v>
      </c>
      <c r="CP551" s="67">
        <v>0.0</v>
      </c>
      <c r="CQ551" s="63">
        <v>0.0</v>
      </c>
      <c r="CR551" s="63">
        <v>0.0</v>
      </c>
      <c r="CS551" s="63">
        <v>0.0</v>
      </c>
      <c r="CT551" s="68"/>
      <c r="CU551" s="69"/>
      <c r="CV551" s="70"/>
      <c r="CW551" s="71">
        <v>10.0</v>
      </c>
      <c r="CX551" s="71" t="s">
        <v>138</v>
      </c>
      <c r="CY551" s="71" t="s">
        <v>139</v>
      </c>
      <c r="CZ551" s="45"/>
      <c r="DA551" s="43"/>
      <c r="DB551" s="44">
        <v>0.0</v>
      </c>
      <c r="DC551" s="43"/>
      <c r="DD551" s="78"/>
      <c r="DE551" s="43"/>
      <c r="DF551" s="43"/>
      <c r="DG551" s="48" t="s">
        <v>128</v>
      </c>
      <c r="DH551" s="48" t="s">
        <v>128</v>
      </c>
      <c r="DI551" s="85" t="str">
        <f>+ OFF 30 DIAS SIN VENTA</f>
        <v>#ERROR!</v>
      </c>
      <c r="DJ551" s="49">
        <v>1.0</v>
      </c>
      <c r="DK551" s="48" t="b">
        <v>0</v>
      </c>
      <c r="DL551" s="50" t="s">
        <v>1296</v>
      </c>
      <c r="DM551" s="50" t="s">
        <v>128</v>
      </c>
      <c r="DN551" s="50" t="s">
        <v>952</v>
      </c>
      <c r="DO551" s="49">
        <v>0.89</v>
      </c>
      <c r="DP551" s="48" t="s">
        <v>128</v>
      </c>
      <c r="DQ551" s="86" t="str">
        <f>+ OFF 30 DIAS SIN VENTA</f>
        <v>#ERROR!</v>
      </c>
      <c r="DR551" s="51"/>
      <c r="DS551" s="48" t="s">
        <v>134</v>
      </c>
    </row>
    <row r="552">
      <c r="A552" s="23" t="s">
        <v>118</v>
      </c>
      <c r="B552" s="24">
        <v>4.0</v>
      </c>
      <c r="C552" s="23" t="s">
        <v>1123</v>
      </c>
      <c r="D552" s="24">
        <v>536832.0</v>
      </c>
      <c r="E552" s="23" t="s">
        <v>158</v>
      </c>
      <c r="F552" s="23" t="s">
        <v>1341</v>
      </c>
      <c r="G552" s="23" t="s">
        <v>1342</v>
      </c>
      <c r="H552" s="24">
        <v>77699.0</v>
      </c>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7"/>
      <c r="BU552" s="26"/>
      <c r="BV552" s="26"/>
      <c r="BW552" s="26"/>
      <c r="BX552" s="24">
        <v>1.0</v>
      </c>
      <c r="BY552" s="24" t="s">
        <v>123</v>
      </c>
      <c r="BZ552" s="87">
        <v>1.0</v>
      </c>
      <c r="CA552" s="72"/>
      <c r="CB552" s="82"/>
      <c r="CC552" s="31"/>
      <c r="CD552" s="28">
        <v>1.0</v>
      </c>
      <c r="CE552" s="88" t="s">
        <v>185</v>
      </c>
      <c r="CF552" s="33"/>
      <c r="CG552" s="34">
        <v>0.0</v>
      </c>
      <c r="CH552" s="89"/>
      <c r="CI552" s="36">
        <v>0.0</v>
      </c>
      <c r="CJ552" s="36">
        <v>2453.0</v>
      </c>
      <c r="CK552" s="93">
        <f t="shared" si="12"/>
        <v>167</v>
      </c>
      <c r="CL552" s="36">
        <v>2620.0</v>
      </c>
      <c r="CM552" s="38">
        <v>0.0</v>
      </c>
      <c r="CN552" s="36">
        <v>0.0</v>
      </c>
      <c r="CO552" s="39">
        <v>0.0</v>
      </c>
      <c r="CP552" s="40">
        <v>0.0</v>
      </c>
      <c r="CQ552" s="36">
        <v>0.0</v>
      </c>
      <c r="CR552" s="36">
        <v>0.0</v>
      </c>
      <c r="CS552" s="36">
        <v>0.0</v>
      </c>
      <c r="CT552" s="41"/>
      <c r="CU552" s="42"/>
      <c r="CV552" s="43"/>
      <c r="CW552" s="44">
        <v>1.0</v>
      </c>
      <c r="CX552" s="44">
        <v>1.0</v>
      </c>
      <c r="CY552" s="44">
        <v>0.1</v>
      </c>
      <c r="CZ552" s="45"/>
      <c r="DA552" s="43"/>
      <c r="DB552" s="44">
        <v>0.0</v>
      </c>
      <c r="DC552" s="43"/>
      <c r="DD552" s="78"/>
      <c r="DE552" s="43"/>
      <c r="DF552" s="43"/>
      <c r="DG552" s="48" t="s">
        <v>128</v>
      </c>
      <c r="DH552" s="48" t="s">
        <v>131</v>
      </c>
      <c r="DI552" s="48" t="s">
        <v>188</v>
      </c>
      <c r="DJ552" s="49">
        <v>1.0</v>
      </c>
      <c r="DK552" s="48" t="b">
        <v>0</v>
      </c>
      <c r="DL552" s="50" t="s">
        <v>1296</v>
      </c>
      <c r="DM552" s="50" t="s">
        <v>128</v>
      </c>
      <c r="DN552" s="50" t="s">
        <v>952</v>
      </c>
      <c r="DO552" s="49">
        <v>0.89</v>
      </c>
      <c r="DP552" s="51"/>
      <c r="DQ552" s="48" t="s">
        <v>188</v>
      </c>
      <c r="DR552" s="51"/>
      <c r="DS552" s="48" t="s">
        <v>134</v>
      </c>
    </row>
    <row r="553">
      <c r="A553" s="52" t="s">
        <v>118</v>
      </c>
      <c r="B553" s="53">
        <v>4.0</v>
      </c>
      <c r="C553" s="52" t="s">
        <v>1123</v>
      </c>
      <c r="D553" s="53">
        <v>680603.0</v>
      </c>
      <c r="E553" s="52" t="s">
        <v>182</v>
      </c>
      <c r="F553" s="52" t="s">
        <v>1343</v>
      </c>
      <c r="G553" s="52" t="s">
        <v>1344</v>
      </c>
      <c r="H553" s="53">
        <v>77699.0</v>
      </c>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81"/>
      <c r="BU553" s="54"/>
      <c r="BV553" s="54"/>
      <c r="BW553" s="54"/>
      <c r="BX553" s="53">
        <v>2400.0</v>
      </c>
      <c r="BY553" s="53" t="s">
        <v>123</v>
      </c>
      <c r="BZ553" s="58">
        <v>2400.0</v>
      </c>
      <c r="CA553" s="72"/>
      <c r="CB553" s="30">
        <v>3000.0</v>
      </c>
      <c r="CC553" s="31"/>
      <c r="CD553" s="58">
        <v>3000.0</v>
      </c>
      <c r="CE553" s="83" t="s">
        <v>185</v>
      </c>
      <c r="CF553" s="79">
        <f>+600</f>
        <v>600</v>
      </c>
      <c r="CG553" s="61">
        <v>0.0</v>
      </c>
      <c r="CH553" s="84"/>
      <c r="CI553" s="63">
        <v>0.0</v>
      </c>
      <c r="CJ553" s="63">
        <v>2453.0</v>
      </c>
      <c r="CK553" s="94">
        <f t="shared" si="12"/>
        <v>167</v>
      </c>
      <c r="CL553" s="63">
        <v>2620.0</v>
      </c>
      <c r="CM553" s="65">
        <v>0.0</v>
      </c>
      <c r="CN553" s="63">
        <v>-7.0</v>
      </c>
      <c r="CO553" s="66">
        <v>0.0</v>
      </c>
      <c r="CP553" s="67">
        <v>0.0</v>
      </c>
      <c r="CQ553" s="63">
        <v>0.0</v>
      </c>
      <c r="CR553" s="63">
        <v>0.0</v>
      </c>
      <c r="CS553" s="63">
        <v>0.0</v>
      </c>
      <c r="CT553" s="68"/>
      <c r="CU553" s="69"/>
      <c r="CV553" s="70"/>
      <c r="CW553" s="71">
        <v>10.0</v>
      </c>
      <c r="CX553" s="71" t="s">
        <v>138</v>
      </c>
      <c r="CY553" s="71" t="s">
        <v>139</v>
      </c>
      <c r="CZ553" s="76" t="s">
        <v>151</v>
      </c>
      <c r="DA553" s="43"/>
      <c r="DB553" s="44">
        <v>0.0</v>
      </c>
      <c r="DC553" s="43"/>
      <c r="DD553" s="78"/>
      <c r="DE553" s="43"/>
      <c r="DF553" s="43"/>
      <c r="DG553" s="48" t="s">
        <v>128</v>
      </c>
      <c r="DH553" s="48" t="s">
        <v>128</v>
      </c>
      <c r="DI553" s="48" t="s">
        <v>128</v>
      </c>
      <c r="DJ553" s="49">
        <v>1.0</v>
      </c>
      <c r="DK553" s="48" t="b">
        <v>0</v>
      </c>
      <c r="DL553" s="50" t="s">
        <v>1296</v>
      </c>
      <c r="DM553" s="50" t="s">
        <v>128</v>
      </c>
      <c r="DN553" s="50" t="s">
        <v>952</v>
      </c>
      <c r="DO553" s="49">
        <v>0.89</v>
      </c>
      <c r="DP553" s="48" t="s">
        <v>128</v>
      </c>
      <c r="DQ553" s="48" t="s">
        <v>128</v>
      </c>
      <c r="DR553" s="51"/>
      <c r="DS553" s="48" t="s">
        <v>134</v>
      </c>
    </row>
    <row r="554">
      <c r="A554" s="23" t="s">
        <v>118</v>
      </c>
      <c r="B554" s="24">
        <v>4.0</v>
      </c>
      <c r="C554" s="23" t="s">
        <v>1123</v>
      </c>
      <c r="D554" s="24">
        <v>680588.0</v>
      </c>
      <c r="E554" s="23" t="s">
        <v>251</v>
      </c>
      <c r="F554" s="23" t="s">
        <v>1345</v>
      </c>
      <c r="G554" s="23" t="s">
        <v>1346</v>
      </c>
      <c r="H554" s="24">
        <v>77699.0</v>
      </c>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7"/>
      <c r="BU554" s="26"/>
      <c r="BV554" s="26"/>
      <c r="BW554" s="26"/>
      <c r="BX554" s="24">
        <v>3000.0</v>
      </c>
      <c r="BY554" s="23" t="s">
        <v>123</v>
      </c>
      <c r="BZ554" s="28">
        <v>3000.0</v>
      </c>
      <c r="CA554" s="72"/>
      <c r="CB554" s="82"/>
      <c r="CC554" s="31"/>
      <c r="CD554" s="28">
        <v>3000.0</v>
      </c>
      <c r="CE554" s="88" t="s">
        <v>185</v>
      </c>
      <c r="CF554" s="33"/>
      <c r="CG554" s="34">
        <v>0.0</v>
      </c>
      <c r="CH554" s="89"/>
      <c r="CI554" s="36">
        <v>0.0</v>
      </c>
      <c r="CJ554" s="36">
        <v>2453.0</v>
      </c>
      <c r="CK554" s="93">
        <f t="shared" si="12"/>
        <v>167</v>
      </c>
      <c r="CL554" s="36">
        <v>2620.0</v>
      </c>
      <c r="CM554" s="38">
        <v>0.0</v>
      </c>
      <c r="CN554" s="36">
        <v>0.0</v>
      </c>
      <c r="CO554" s="39">
        <v>0.0</v>
      </c>
      <c r="CP554" s="40">
        <v>0.0</v>
      </c>
      <c r="CQ554" s="36">
        <v>0.0</v>
      </c>
      <c r="CR554" s="36">
        <v>0.0</v>
      </c>
      <c r="CS554" s="36">
        <v>0.0</v>
      </c>
      <c r="CT554" s="41"/>
      <c r="CU554" s="42"/>
      <c r="CV554" s="43"/>
      <c r="CW554" s="44">
        <v>10.0</v>
      </c>
      <c r="CX554" s="44" t="s">
        <v>138</v>
      </c>
      <c r="CY554" s="44" t="s">
        <v>139</v>
      </c>
      <c r="CZ554" s="45"/>
      <c r="DA554" s="43"/>
      <c r="DB554" s="44">
        <v>0.0</v>
      </c>
      <c r="DC554" s="43"/>
      <c r="DD554" s="78"/>
      <c r="DE554" s="43"/>
      <c r="DF554" s="43"/>
      <c r="DG554" s="48" t="s">
        <v>128</v>
      </c>
      <c r="DH554" s="48" t="s">
        <v>128</v>
      </c>
      <c r="DI554" s="85" t="str">
        <f>+ OFF 30 DIAS SIN VENTA</f>
        <v>#ERROR!</v>
      </c>
      <c r="DJ554" s="49">
        <v>1.0</v>
      </c>
      <c r="DK554" s="48" t="b">
        <v>0</v>
      </c>
      <c r="DL554" s="50" t="s">
        <v>1296</v>
      </c>
      <c r="DM554" s="50" t="s">
        <v>128</v>
      </c>
      <c r="DN554" s="50" t="s">
        <v>952</v>
      </c>
      <c r="DO554" s="49">
        <v>0.89</v>
      </c>
      <c r="DP554" s="48" t="s">
        <v>128</v>
      </c>
      <c r="DQ554" s="86" t="str">
        <f>+ OFF 30 DIAS SIN VENTA</f>
        <v>#ERROR!</v>
      </c>
      <c r="DR554" s="51"/>
      <c r="DS554" s="48" t="s">
        <v>134</v>
      </c>
    </row>
    <row r="555">
      <c r="A555" s="52" t="s">
        <v>118</v>
      </c>
      <c r="B555" s="53">
        <v>4.0</v>
      </c>
      <c r="C555" s="52" t="s">
        <v>1123</v>
      </c>
      <c r="D555" s="53">
        <v>627274.0</v>
      </c>
      <c r="E555" s="52" t="s">
        <v>173</v>
      </c>
      <c r="F555" s="52" t="s">
        <v>1347</v>
      </c>
      <c r="G555" s="52" t="s">
        <v>1348</v>
      </c>
      <c r="H555" s="53">
        <v>77718.0</v>
      </c>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81"/>
      <c r="BU555" s="54"/>
      <c r="BV555" s="54"/>
      <c r="BW555" s="54"/>
      <c r="BX555" s="53">
        <v>1.0</v>
      </c>
      <c r="BY555" s="53" t="s">
        <v>123</v>
      </c>
      <c r="BZ555" s="87">
        <v>1.0</v>
      </c>
      <c r="CA555" s="72"/>
      <c r="CB555" s="82"/>
      <c r="CC555" s="31"/>
      <c r="CD555" s="58">
        <v>1.0</v>
      </c>
      <c r="CE555" s="83" t="s">
        <v>185</v>
      </c>
      <c r="CF555" s="60"/>
      <c r="CG555" s="61">
        <v>0.0</v>
      </c>
      <c r="CH555" s="84"/>
      <c r="CI555" s="63">
        <v>0.0</v>
      </c>
      <c r="CJ555" s="63">
        <v>1150.0</v>
      </c>
      <c r="CK555" s="64">
        <v>-23.0</v>
      </c>
      <c r="CL555" s="63">
        <v>1127.0</v>
      </c>
      <c r="CM555" s="65">
        <v>0.0</v>
      </c>
      <c r="CN555" s="63">
        <v>0.0</v>
      </c>
      <c r="CO555" s="66">
        <v>0.0</v>
      </c>
      <c r="CP555" s="67">
        <v>0.0</v>
      </c>
      <c r="CQ555" s="63">
        <v>0.0</v>
      </c>
      <c r="CR555" s="63">
        <v>0.0</v>
      </c>
      <c r="CS555" s="63">
        <v>0.0</v>
      </c>
      <c r="CT555" s="68"/>
      <c r="CU555" s="69"/>
      <c r="CV555" s="70"/>
      <c r="CW555" s="71">
        <v>1.0</v>
      </c>
      <c r="CX555" s="71">
        <v>1.0</v>
      </c>
      <c r="CY555" s="71">
        <v>0.1</v>
      </c>
      <c r="CZ555" s="45"/>
      <c r="DA555" s="43"/>
      <c r="DB555" s="44">
        <v>0.0</v>
      </c>
      <c r="DC555" s="43"/>
      <c r="DD555" s="78"/>
      <c r="DE555" s="43"/>
      <c r="DF555" s="43"/>
      <c r="DG555" s="48" t="s">
        <v>128</v>
      </c>
      <c r="DH555" s="48" t="s">
        <v>131</v>
      </c>
      <c r="DI555" s="48" t="s">
        <v>188</v>
      </c>
      <c r="DJ555" s="49">
        <v>1.0</v>
      </c>
      <c r="DK555" s="48" t="b">
        <v>0</v>
      </c>
      <c r="DL555" s="50" t="s">
        <v>1349</v>
      </c>
      <c r="DM555" s="50" t="s">
        <v>131</v>
      </c>
      <c r="DN555" s="50" t="s">
        <v>1350</v>
      </c>
      <c r="DO555" s="49">
        <v>0.19</v>
      </c>
      <c r="DP555" s="51"/>
      <c r="DQ555" s="48" t="s">
        <v>188</v>
      </c>
      <c r="DR555" s="51"/>
      <c r="DS555" s="48" t="s">
        <v>134</v>
      </c>
    </row>
    <row r="556">
      <c r="A556" s="23" t="s">
        <v>118</v>
      </c>
      <c r="B556" s="24">
        <v>4.0</v>
      </c>
      <c r="C556" s="23" t="s">
        <v>1123</v>
      </c>
      <c r="D556" s="24">
        <v>588071.0</v>
      </c>
      <c r="E556" s="23" t="s">
        <v>152</v>
      </c>
      <c r="F556" s="23" t="s">
        <v>1351</v>
      </c>
      <c r="G556" s="23" t="s">
        <v>1352</v>
      </c>
      <c r="H556" s="24">
        <v>77733.0</v>
      </c>
      <c r="I556" s="24">
        <v>1.0</v>
      </c>
      <c r="J556" s="24">
        <v>0.0</v>
      </c>
      <c r="K556" s="24">
        <v>0.0</v>
      </c>
      <c r="L556" s="24">
        <v>0.0</v>
      </c>
      <c r="M556" s="24">
        <v>0.0</v>
      </c>
      <c r="N556" s="24">
        <v>0.0</v>
      </c>
      <c r="O556" s="24">
        <v>0.0</v>
      </c>
      <c r="P556" s="24">
        <v>0.0</v>
      </c>
      <c r="Q556" s="24">
        <v>0.0</v>
      </c>
      <c r="R556" s="24">
        <v>0.0</v>
      </c>
      <c r="S556" s="24">
        <v>0.0</v>
      </c>
      <c r="T556" s="24">
        <v>0.0</v>
      </c>
      <c r="U556" s="24">
        <v>1.0</v>
      </c>
      <c r="V556" s="24">
        <v>0.0</v>
      </c>
      <c r="W556" s="24">
        <v>0.0</v>
      </c>
      <c r="X556" s="24">
        <v>0.0</v>
      </c>
      <c r="Y556" s="24">
        <v>0.0</v>
      </c>
      <c r="Z556" s="24">
        <v>0.0</v>
      </c>
      <c r="AA556" s="24">
        <v>0.0</v>
      </c>
      <c r="AB556" s="24">
        <v>0.0</v>
      </c>
      <c r="AC556" s="24">
        <v>0.0</v>
      </c>
      <c r="AD556" s="24">
        <v>0.0</v>
      </c>
      <c r="AE556" s="24">
        <v>0.0</v>
      </c>
      <c r="AF556" s="24">
        <v>0.0</v>
      </c>
      <c r="AG556" s="24">
        <v>0.0</v>
      </c>
      <c r="AH556" s="24">
        <v>0.0</v>
      </c>
      <c r="AI556" s="24">
        <v>0.0</v>
      </c>
      <c r="AJ556" s="24">
        <v>0.0</v>
      </c>
      <c r="AK556" s="24">
        <v>0.0</v>
      </c>
      <c r="AL556" s="24">
        <v>0.0</v>
      </c>
      <c r="AM556" s="24">
        <v>0.0</v>
      </c>
      <c r="AN556" s="24">
        <v>0.0</v>
      </c>
      <c r="AO556" s="25">
        <v>40.3</v>
      </c>
      <c r="AP556" s="26"/>
      <c r="AQ556" s="26"/>
      <c r="AR556" s="26"/>
      <c r="AS556" s="26"/>
      <c r="AT556" s="26"/>
      <c r="AU556" s="26"/>
      <c r="AV556" s="26"/>
      <c r="AW556" s="26"/>
      <c r="AX556" s="26"/>
      <c r="AY556" s="26"/>
      <c r="AZ556" s="26"/>
      <c r="BA556" s="24">
        <v>40.27</v>
      </c>
      <c r="BB556" s="26"/>
      <c r="BC556" s="26"/>
      <c r="BD556" s="26"/>
      <c r="BE556" s="26"/>
      <c r="BF556" s="26"/>
      <c r="BG556" s="26"/>
      <c r="BH556" s="26"/>
      <c r="BI556" s="26"/>
      <c r="BJ556" s="26"/>
      <c r="BK556" s="26"/>
      <c r="BL556" s="26"/>
      <c r="BM556" s="26"/>
      <c r="BN556" s="26"/>
      <c r="BO556" s="26"/>
      <c r="BP556" s="24">
        <v>18.95</v>
      </c>
      <c r="BQ556" s="24">
        <v>4.65</v>
      </c>
      <c r="BR556" s="24">
        <v>23.4</v>
      </c>
      <c r="BS556" s="25">
        <v>10.32</v>
      </c>
      <c r="BT556" s="56">
        <v>40.3</v>
      </c>
      <c r="BU556" s="25">
        <v>10.3</v>
      </c>
      <c r="BV556" s="55">
        <v>6.35</v>
      </c>
      <c r="BW556" s="26"/>
      <c r="BX556" s="24">
        <v>2400.0</v>
      </c>
      <c r="BY556" s="24" t="s">
        <v>123</v>
      </c>
      <c r="BZ556" s="28">
        <v>2100.0</v>
      </c>
      <c r="CA556" s="29" t="s">
        <v>124</v>
      </c>
      <c r="CB556" s="30">
        <v>2100.0</v>
      </c>
      <c r="CC556" s="31"/>
      <c r="CD556" s="28">
        <v>2100.0</v>
      </c>
      <c r="CE556" s="32" t="e">
        <v>#REF!</v>
      </c>
      <c r="CF556" s="109">
        <v>-300.0</v>
      </c>
      <c r="CG556" s="34">
        <v>0.0</v>
      </c>
      <c r="CH556" s="35">
        <v>0.0</v>
      </c>
      <c r="CI556" s="36">
        <v>1.0</v>
      </c>
      <c r="CJ556" s="36">
        <v>580.0</v>
      </c>
      <c r="CK556" s="37">
        <v>-2.0</v>
      </c>
      <c r="CL556" s="36">
        <v>578.0</v>
      </c>
      <c r="CM556" s="38">
        <v>40.0</v>
      </c>
      <c r="CN556" s="110"/>
      <c r="CO556" s="39">
        <v>40.3</v>
      </c>
      <c r="CP556" s="40">
        <v>0.0</v>
      </c>
      <c r="CQ556" s="36">
        <v>19.0</v>
      </c>
      <c r="CR556" s="36">
        <v>19.0</v>
      </c>
      <c r="CS556" s="36">
        <v>10.0</v>
      </c>
      <c r="CT556" s="41"/>
      <c r="CU556" s="42"/>
      <c r="CV556" s="43"/>
      <c r="CW556" s="44">
        <v>7.0</v>
      </c>
      <c r="CX556" s="44" t="s">
        <v>201</v>
      </c>
      <c r="CY556" s="44" t="s">
        <v>202</v>
      </c>
      <c r="CZ556" s="107" t="s">
        <v>124</v>
      </c>
      <c r="DA556" s="44">
        <v>2100.0</v>
      </c>
      <c r="DB556" s="44">
        <v>0.0</v>
      </c>
      <c r="DC556" s="43"/>
      <c r="DD556" s="78"/>
      <c r="DE556" s="43"/>
      <c r="DF556" s="43"/>
      <c r="DG556" s="48" t="s">
        <v>128</v>
      </c>
      <c r="DH556" s="48" t="s">
        <v>128</v>
      </c>
      <c r="DI556" s="48" t="s">
        <v>129</v>
      </c>
      <c r="DJ556" s="49">
        <v>1.0</v>
      </c>
      <c r="DK556" s="48" t="b">
        <v>0</v>
      </c>
      <c r="DL556" s="50" t="s">
        <v>1353</v>
      </c>
      <c r="DM556" s="50" t="s">
        <v>131</v>
      </c>
      <c r="DN556" s="50" t="s">
        <v>1354</v>
      </c>
      <c r="DO556" s="49">
        <v>0.14</v>
      </c>
      <c r="DP556" s="48" t="s">
        <v>128</v>
      </c>
      <c r="DQ556" s="48" t="s">
        <v>417</v>
      </c>
      <c r="DR556" s="51"/>
      <c r="DS556" s="48" t="s">
        <v>134</v>
      </c>
    </row>
    <row r="557">
      <c r="A557" s="52" t="s">
        <v>118</v>
      </c>
      <c r="B557" s="53">
        <v>4.0</v>
      </c>
      <c r="C557" s="52" t="s">
        <v>1123</v>
      </c>
      <c r="D557" s="53">
        <v>639495.0</v>
      </c>
      <c r="E557" s="52" t="s">
        <v>155</v>
      </c>
      <c r="F557" s="52" t="s">
        <v>1355</v>
      </c>
      <c r="G557" s="52" t="s">
        <v>1356</v>
      </c>
      <c r="H557" s="53">
        <v>77733.0</v>
      </c>
      <c r="I557" s="53">
        <v>5.0</v>
      </c>
      <c r="J557" s="53">
        <v>0.0</v>
      </c>
      <c r="K557" s="53">
        <v>0.0</v>
      </c>
      <c r="L557" s="53">
        <v>0.0</v>
      </c>
      <c r="M557" s="53">
        <v>0.0</v>
      </c>
      <c r="N557" s="53">
        <v>0.0</v>
      </c>
      <c r="O557" s="53">
        <v>0.0</v>
      </c>
      <c r="P557" s="53">
        <v>3.0</v>
      </c>
      <c r="Q557" s="53">
        <v>1.0</v>
      </c>
      <c r="R557" s="53">
        <v>0.0</v>
      </c>
      <c r="S557" s="53">
        <v>0.0</v>
      </c>
      <c r="T557" s="53">
        <v>0.0</v>
      </c>
      <c r="U557" s="53">
        <v>0.0</v>
      </c>
      <c r="V557" s="53">
        <v>0.0</v>
      </c>
      <c r="W557" s="53">
        <v>0.0</v>
      </c>
      <c r="X557" s="53">
        <v>0.0</v>
      </c>
      <c r="Y557" s="53">
        <v>0.0</v>
      </c>
      <c r="Z557" s="53">
        <v>0.0</v>
      </c>
      <c r="AA557" s="53">
        <v>0.0</v>
      </c>
      <c r="AB557" s="53">
        <v>0.0</v>
      </c>
      <c r="AC557" s="53">
        <v>0.0</v>
      </c>
      <c r="AD557" s="53">
        <v>1.0</v>
      </c>
      <c r="AE557" s="53">
        <v>0.0</v>
      </c>
      <c r="AF557" s="53">
        <v>0.0</v>
      </c>
      <c r="AG557" s="53">
        <v>0.0</v>
      </c>
      <c r="AH557" s="53">
        <v>0.0</v>
      </c>
      <c r="AI557" s="53">
        <v>0.0</v>
      </c>
      <c r="AJ557" s="53">
        <v>0.0</v>
      </c>
      <c r="AK557" s="53">
        <v>0.0</v>
      </c>
      <c r="AL557" s="53">
        <v>0.0</v>
      </c>
      <c r="AM557" s="53">
        <v>0.0</v>
      </c>
      <c r="AN557" s="53">
        <v>0.0</v>
      </c>
      <c r="AO557" s="25">
        <v>17.2</v>
      </c>
      <c r="AP557" s="54"/>
      <c r="AQ557" s="54"/>
      <c r="AR557" s="54"/>
      <c r="AS557" s="54"/>
      <c r="AT557" s="54"/>
      <c r="AU557" s="54"/>
      <c r="AV557" s="53">
        <v>15.48</v>
      </c>
      <c r="AW557" s="53">
        <v>18.27</v>
      </c>
      <c r="AX557" s="54"/>
      <c r="AY557" s="54"/>
      <c r="AZ557" s="54"/>
      <c r="BA557" s="54"/>
      <c r="BB557" s="54"/>
      <c r="BC557" s="54"/>
      <c r="BD557" s="54"/>
      <c r="BE557" s="54"/>
      <c r="BF557" s="54"/>
      <c r="BG557" s="54"/>
      <c r="BH557" s="54"/>
      <c r="BI557" s="54"/>
      <c r="BJ557" s="53">
        <v>21.32</v>
      </c>
      <c r="BK557" s="54"/>
      <c r="BL557" s="54"/>
      <c r="BM557" s="54"/>
      <c r="BN557" s="54"/>
      <c r="BO557" s="54"/>
      <c r="BP557" s="53">
        <v>2.18</v>
      </c>
      <c r="BQ557" s="53">
        <v>6.37</v>
      </c>
      <c r="BR557" s="53">
        <v>8.35</v>
      </c>
      <c r="BS557" s="25">
        <v>4.04</v>
      </c>
      <c r="BT557" s="91">
        <v>15.8</v>
      </c>
      <c r="BU557" s="57">
        <v>2.4</v>
      </c>
      <c r="BV557" s="57">
        <v>3.43</v>
      </c>
      <c r="BW557" s="54"/>
      <c r="BX557" s="53">
        <v>2400.0</v>
      </c>
      <c r="BY557" s="53" t="s">
        <v>123</v>
      </c>
      <c r="BZ557" s="58">
        <v>2400.0</v>
      </c>
      <c r="CA557" s="72"/>
      <c r="CB557" s="30">
        <v>2700.0</v>
      </c>
      <c r="CC557" s="31"/>
      <c r="CD557" s="58">
        <v>2700.0</v>
      </c>
      <c r="CE557" s="59" t="e">
        <v>#REF!</v>
      </c>
      <c r="CF557" s="79">
        <f>+300</f>
        <v>300</v>
      </c>
      <c r="CG557" s="80">
        <f>+1</f>
        <v>1</v>
      </c>
      <c r="CH557" s="62">
        <v>0.2</v>
      </c>
      <c r="CI557" s="63">
        <v>6.0</v>
      </c>
      <c r="CJ557" s="63">
        <v>580.0</v>
      </c>
      <c r="CK557" s="64">
        <v>-2.0</v>
      </c>
      <c r="CL557" s="63">
        <v>578.0</v>
      </c>
      <c r="CM557" s="65">
        <v>86.0</v>
      </c>
      <c r="CN557" s="63">
        <v>-16.0</v>
      </c>
      <c r="CO557" s="66">
        <v>17.0</v>
      </c>
      <c r="CP557" s="67">
        <v>-0.2</v>
      </c>
      <c r="CQ557" s="63">
        <v>11.0</v>
      </c>
      <c r="CR557" s="63">
        <v>13.0</v>
      </c>
      <c r="CS557" s="63">
        <v>24.0</v>
      </c>
      <c r="CT557" s="68"/>
      <c r="CU557" s="69"/>
      <c r="CV557" s="70"/>
      <c r="CW557" s="71">
        <v>9.0</v>
      </c>
      <c r="CX557" s="71" t="s">
        <v>143</v>
      </c>
      <c r="CY557" s="71" t="s">
        <v>144</v>
      </c>
      <c r="CZ557" s="76" t="s">
        <v>151</v>
      </c>
      <c r="DA557" s="44">
        <v>2700.0</v>
      </c>
      <c r="DB557" s="44">
        <v>0.0</v>
      </c>
      <c r="DC557" s="43"/>
      <c r="DD557" s="78"/>
      <c r="DE557" s="43"/>
      <c r="DF557" s="43"/>
      <c r="DG557" s="48" t="s">
        <v>128</v>
      </c>
      <c r="DH557" s="48" t="s">
        <v>128</v>
      </c>
      <c r="DI557" s="48" t="s">
        <v>128</v>
      </c>
      <c r="DJ557" s="51"/>
      <c r="DK557" s="48" t="b">
        <v>0</v>
      </c>
      <c r="DL557" s="50" t="s">
        <v>1353</v>
      </c>
      <c r="DM557" s="50" t="s">
        <v>131</v>
      </c>
      <c r="DN557" s="50" t="s">
        <v>1354</v>
      </c>
      <c r="DO557" s="49">
        <v>0.14</v>
      </c>
      <c r="DP557" s="48" t="s">
        <v>128</v>
      </c>
      <c r="DQ557" s="48" t="s">
        <v>128</v>
      </c>
      <c r="DR557" s="51"/>
      <c r="DS557" s="48" t="s">
        <v>134</v>
      </c>
    </row>
    <row r="558">
      <c r="A558" s="23" t="s">
        <v>118</v>
      </c>
      <c r="B558" s="24">
        <v>4.0</v>
      </c>
      <c r="C558" s="23" t="s">
        <v>1123</v>
      </c>
      <c r="D558" s="24">
        <v>627274.0</v>
      </c>
      <c r="E558" s="23" t="s">
        <v>173</v>
      </c>
      <c r="F558" s="23" t="s">
        <v>1357</v>
      </c>
      <c r="G558" s="23" t="s">
        <v>1358</v>
      </c>
      <c r="H558" s="24">
        <v>77733.0</v>
      </c>
      <c r="I558" s="24">
        <v>3.0</v>
      </c>
      <c r="J558" s="24">
        <v>0.0</v>
      </c>
      <c r="K558" s="24">
        <v>0.0</v>
      </c>
      <c r="L558" s="24">
        <v>0.0</v>
      </c>
      <c r="M558" s="24">
        <v>0.0</v>
      </c>
      <c r="N558" s="24">
        <v>0.0</v>
      </c>
      <c r="O558" s="24">
        <v>0.0</v>
      </c>
      <c r="P558" s="24">
        <v>1.0</v>
      </c>
      <c r="Q558" s="24">
        <v>0.0</v>
      </c>
      <c r="R558" s="24">
        <v>1.0</v>
      </c>
      <c r="S558" s="24">
        <v>0.0</v>
      </c>
      <c r="T558" s="24">
        <v>0.0</v>
      </c>
      <c r="U558" s="24">
        <v>0.0</v>
      </c>
      <c r="V558" s="24">
        <v>1.0</v>
      </c>
      <c r="W558" s="24">
        <v>0.0</v>
      </c>
      <c r="X558" s="24">
        <v>0.0</v>
      </c>
      <c r="Y558" s="24">
        <v>0.0</v>
      </c>
      <c r="Z558" s="24">
        <v>0.0</v>
      </c>
      <c r="AA558" s="24">
        <v>0.0</v>
      </c>
      <c r="AB558" s="24">
        <v>0.0</v>
      </c>
      <c r="AC558" s="24">
        <v>0.0</v>
      </c>
      <c r="AD558" s="24">
        <v>0.0</v>
      </c>
      <c r="AE558" s="24">
        <v>0.0</v>
      </c>
      <c r="AF558" s="24">
        <v>0.0</v>
      </c>
      <c r="AG558" s="24">
        <v>0.0</v>
      </c>
      <c r="AH558" s="24">
        <v>0.0</v>
      </c>
      <c r="AI558" s="24">
        <v>0.0</v>
      </c>
      <c r="AJ558" s="24">
        <v>0.0</v>
      </c>
      <c r="AK558" s="24">
        <v>0.0</v>
      </c>
      <c r="AL558" s="24">
        <v>0.0</v>
      </c>
      <c r="AM558" s="24">
        <v>0.0</v>
      </c>
      <c r="AN558" s="24">
        <v>0.0</v>
      </c>
      <c r="AO558" s="25">
        <v>23.8</v>
      </c>
      <c r="AP558" s="26"/>
      <c r="AQ558" s="26"/>
      <c r="AR558" s="26"/>
      <c r="AS558" s="26"/>
      <c r="AT558" s="26"/>
      <c r="AU558" s="26"/>
      <c r="AV558" s="24">
        <v>19.85</v>
      </c>
      <c r="AW558" s="26"/>
      <c r="AX558" s="24">
        <v>33.57</v>
      </c>
      <c r="AY558" s="26"/>
      <c r="AZ558" s="26"/>
      <c r="BA558" s="26"/>
      <c r="BB558" s="24">
        <v>18.1</v>
      </c>
      <c r="BC558" s="26"/>
      <c r="BD558" s="26"/>
      <c r="BE558" s="26"/>
      <c r="BF558" s="26"/>
      <c r="BG558" s="26"/>
      <c r="BH558" s="26"/>
      <c r="BI558" s="26"/>
      <c r="BJ558" s="26"/>
      <c r="BK558" s="26"/>
      <c r="BL558" s="26"/>
      <c r="BM558" s="26"/>
      <c r="BN558" s="26"/>
      <c r="BO558" s="26"/>
      <c r="BP558" s="24">
        <v>11.7</v>
      </c>
      <c r="BQ558" s="24">
        <v>3.13</v>
      </c>
      <c r="BR558" s="24">
        <v>14.64</v>
      </c>
      <c r="BS558" s="55">
        <v>3.83</v>
      </c>
      <c r="BT558" s="27"/>
      <c r="BU558" s="26"/>
      <c r="BV558" s="26"/>
      <c r="BW558" s="26"/>
      <c r="BX558" s="24">
        <v>2400.0</v>
      </c>
      <c r="BY558" s="24" t="s">
        <v>123</v>
      </c>
      <c r="BZ558" s="28">
        <v>2100.0</v>
      </c>
      <c r="CA558" s="29" t="s">
        <v>124</v>
      </c>
      <c r="CB558" s="30">
        <v>2400.0</v>
      </c>
      <c r="CC558" s="31"/>
      <c r="CD558" s="28">
        <v>2400.0</v>
      </c>
      <c r="CE558" s="32" t="e">
        <v>#REF!</v>
      </c>
      <c r="CF558" s="33"/>
      <c r="CG558" s="34">
        <v>0.0</v>
      </c>
      <c r="CH558" s="35">
        <v>0.0</v>
      </c>
      <c r="CI558" s="36">
        <v>3.0</v>
      </c>
      <c r="CJ558" s="36">
        <v>580.0</v>
      </c>
      <c r="CK558" s="37">
        <v>-2.0</v>
      </c>
      <c r="CL558" s="36">
        <v>578.0</v>
      </c>
      <c r="CM558" s="38">
        <v>71.0</v>
      </c>
      <c r="CN558" s="36">
        <v>0.0</v>
      </c>
      <c r="CO558" s="39">
        <v>23.8</v>
      </c>
      <c r="CP558" s="40">
        <v>0.0</v>
      </c>
      <c r="CQ558" s="36">
        <v>35.0</v>
      </c>
      <c r="CR558" s="36">
        <v>35.0</v>
      </c>
      <c r="CS558" s="36">
        <v>11.0</v>
      </c>
      <c r="CT558" s="41"/>
      <c r="CU558" s="42"/>
      <c r="CV558" s="43"/>
      <c r="CW558" s="44">
        <v>8.0</v>
      </c>
      <c r="CX558" s="44" t="s">
        <v>125</v>
      </c>
      <c r="CY558" s="44" t="s">
        <v>126</v>
      </c>
      <c r="CZ558" s="45"/>
      <c r="DA558" s="44">
        <v>2400.0</v>
      </c>
      <c r="DB558" s="44">
        <v>0.0</v>
      </c>
      <c r="DC558" s="43"/>
      <c r="DD558" s="78"/>
      <c r="DE558" s="43"/>
      <c r="DF558" s="43"/>
      <c r="DG558" s="48" t="s">
        <v>128</v>
      </c>
      <c r="DH558" s="48" t="s">
        <v>128</v>
      </c>
      <c r="DI558" s="48" t="s">
        <v>129</v>
      </c>
      <c r="DJ558" s="51"/>
      <c r="DK558" s="48" t="b">
        <v>0</v>
      </c>
      <c r="DL558" s="50" t="s">
        <v>1353</v>
      </c>
      <c r="DM558" s="50" t="s">
        <v>131</v>
      </c>
      <c r="DN558" s="50" t="s">
        <v>1354</v>
      </c>
      <c r="DO558" s="49">
        <v>0.14</v>
      </c>
      <c r="DP558" s="48" t="s">
        <v>128</v>
      </c>
      <c r="DQ558" s="48" t="s">
        <v>133</v>
      </c>
      <c r="DR558" s="51"/>
      <c r="DS558" s="48" t="s">
        <v>134</v>
      </c>
    </row>
    <row r="559">
      <c r="A559" s="52" t="s">
        <v>118</v>
      </c>
      <c r="B559" s="53">
        <v>4.0</v>
      </c>
      <c r="C559" s="52" t="s">
        <v>1123</v>
      </c>
      <c r="D559" s="53">
        <v>536832.0</v>
      </c>
      <c r="E559" s="52" t="s">
        <v>158</v>
      </c>
      <c r="F559" s="52" t="s">
        <v>1359</v>
      </c>
      <c r="G559" s="52" t="s">
        <v>1360</v>
      </c>
      <c r="H559" s="53">
        <v>77733.0</v>
      </c>
      <c r="I559" s="53">
        <v>7.0</v>
      </c>
      <c r="J559" s="53">
        <v>0.0</v>
      </c>
      <c r="K559" s="53">
        <v>0.0</v>
      </c>
      <c r="L559" s="53">
        <v>0.0</v>
      </c>
      <c r="M559" s="53">
        <v>0.0</v>
      </c>
      <c r="N559" s="53">
        <v>0.0</v>
      </c>
      <c r="O559" s="53">
        <v>0.0</v>
      </c>
      <c r="P559" s="53">
        <v>0.0</v>
      </c>
      <c r="Q559" s="53">
        <v>1.0</v>
      </c>
      <c r="R559" s="53">
        <v>0.0</v>
      </c>
      <c r="S559" s="53">
        <v>1.0</v>
      </c>
      <c r="T559" s="53">
        <v>0.0</v>
      </c>
      <c r="U559" s="53">
        <v>0.0</v>
      </c>
      <c r="V559" s="53">
        <v>0.0</v>
      </c>
      <c r="W559" s="53">
        <v>0.0</v>
      </c>
      <c r="X559" s="53">
        <v>0.0</v>
      </c>
      <c r="Y559" s="53">
        <v>1.0</v>
      </c>
      <c r="Z559" s="53">
        <v>2.0</v>
      </c>
      <c r="AA559" s="53">
        <v>1.0</v>
      </c>
      <c r="AB559" s="53">
        <v>1.0</v>
      </c>
      <c r="AC559" s="53">
        <v>0.0</v>
      </c>
      <c r="AD559" s="53">
        <v>0.0</v>
      </c>
      <c r="AE559" s="53">
        <v>0.0</v>
      </c>
      <c r="AF559" s="53">
        <v>0.0</v>
      </c>
      <c r="AG559" s="53">
        <v>0.0</v>
      </c>
      <c r="AH559" s="53">
        <v>0.0</v>
      </c>
      <c r="AI559" s="53">
        <v>0.0</v>
      </c>
      <c r="AJ559" s="53">
        <v>0.0</v>
      </c>
      <c r="AK559" s="53">
        <v>0.0</v>
      </c>
      <c r="AL559" s="53">
        <v>0.0</v>
      </c>
      <c r="AM559" s="53">
        <v>0.0</v>
      </c>
      <c r="AN559" s="53">
        <v>0.0</v>
      </c>
      <c r="AO559" s="25">
        <v>22.6</v>
      </c>
      <c r="AP559" s="54"/>
      <c r="AQ559" s="54"/>
      <c r="AR559" s="54"/>
      <c r="AS559" s="54"/>
      <c r="AT559" s="54"/>
      <c r="AU559" s="54"/>
      <c r="AV559" s="54"/>
      <c r="AW559" s="53">
        <v>27.72</v>
      </c>
      <c r="AX559" s="54"/>
      <c r="AY559" s="53">
        <v>18.63</v>
      </c>
      <c r="AZ559" s="54"/>
      <c r="BA559" s="54"/>
      <c r="BB559" s="54"/>
      <c r="BC559" s="54"/>
      <c r="BD559" s="54"/>
      <c r="BE559" s="53">
        <v>23.65</v>
      </c>
      <c r="BF559" s="53">
        <v>26.16</v>
      </c>
      <c r="BG559" s="53">
        <v>15.5</v>
      </c>
      <c r="BH559" s="53">
        <v>20.1</v>
      </c>
      <c r="BI559" s="54"/>
      <c r="BJ559" s="54"/>
      <c r="BK559" s="54"/>
      <c r="BL559" s="54"/>
      <c r="BM559" s="54"/>
      <c r="BN559" s="54"/>
      <c r="BO559" s="54"/>
      <c r="BP559" s="53">
        <v>6.39</v>
      </c>
      <c r="BQ559" s="53">
        <v>7.83</v>
      </c>
      <c r="BR559" s="53">
        <v>14.01</v>
      </c>
      <c r="BS559" s="55">
        <v>3.27</v>
      </c>
      <c r="BT559" s="56">
        <v>20.1</v>
      </c>
      <c r="BU559" s="25">
        <v>8.8</v>
      </c>
      <c r="BV559" s="57">
        <v>4.12</v>
      </c>
      <c r="BW559" s="54"/>
      <c r="BX559" s="53">
        <v>2700.0</v>
      </c>
      <c r="BY559" s="52" t="s">
        <v>123</v>
      </c>
      <c r="BZ559" s="58">
        <v>2400.0</v>
      </c>
      <c r="CA559" s="29" t="s">
        <v>124</v>
      </c>
      <c r="CB559" s="30">
        <v>2700.0</v>
      </c>
      <c r="CC559" s="31"/>
      <c r="CD559" s="58">
        <v>2700.0</v>
      </c>
      <c r="CE559" s="59" t="e">
        <v>#REF!</v>
      </c>
      <c r="CF559" s="60"/>
      <c r="CG559" s="61">
        <v>0.0</v>
      </c>
      <c r="CH559" s="62">
        <v>0.0</v>
      </c>
      <c r="CI559" s="63">
        <v>7.0</v>
      </c>
      <c r="CJ559" s="63">
        <v>580.0</v>
      </c>
      <c r="CK559" s="64">
        <v>-2.0</v>
      </c>
      <c r="CL559" s="63">
        <v>578.0</v>
      </c>
      <c r="CM559" s="65">
        <v>158.0</v>
      </c>
      <c r="CN559" s="63">
        <v>0.0</v>
      </c>
      <c r="CO559" s="66">
        <v>22.6</v>
      </c>
      <c r="CP559" s="67">
        <v>0.0</v>
      </c>
      <c r="CQ559" s="63">
        <v>45.0</v>
      </c>
      <c r="CR559" s="63">
        <v>45.0</v>
      </c>
      <c r="CS559" s="63">
        <v>23.0</v>
      </c>
      <c r="CT559" s="68"/>
      <c r="CU559" s="69"/>
      <c r="CV559" s="70"/>
      <c r="CW559" s="71">
        <v>9.0</v>
      </c>
      <c r="CX559" s="71" t="s">
        <v>143</v>
      </c>
      <c r="CY559" s="71" t="s">
        <v>144</v>
      </c>
      <c r="CZ559" s="45"/>
      <c r="DA559" s="44">
        <v>2700.0</v>
      </c>
      <c r="DB559" s="44">
        <v>0.0</v>
      </c>
      <c r="DC559" s="46" t="s">
        <v>127</v>
      </c>
      <c r="DD559" s="47">
        <v>46228.0</v>
      </c>
      <c r="DE559" s="43"/>
      <c r="DF559" s="43"/>
      <c r="DG559" s="48" t="s">
        <v>128</v>
      </c>
      <c r="DH559" s="48" t="s">
        <v>128</v>
      </c>
      <c r="DI559" s="48" t="s">
        <v>129</v>
      </c>
      <c r="DJ559" s="51"/>
      <c r="DK559" s="48" t="b">
        <v>0</v>
      </c>
      <c r="DL559" s="50" t="s">
        <v>1353</v>
      </c>
      <c r="DM559" s="50" t="s">
        <v>131</v>
      </c>
      <c r="DN559" s="50" t="s">
        <v>1354</v>
      </c>
      <c r="DO559" s="49">
        <v>0.14</v>
      </c>
      <c r="DP559" s="48" t="s">
        <v>128</v>
      </c>
      <c r="DQ559" s="48" t="s">
        <v>133</v>
      </c>
      <c r="DR559" s="51"/>
      <c r="DS559" s="48" t="s">
        <v>134</v>
      </c>
    </row>
    <row r="560">
      <c r="A560" s="23" t="s">
        <v>118</v>
      </c>
      <c r="B560" s="24">
        <v>4.0</v>
      </c>
      <c r="C560" s="23" t="s">
        <v>1123</v>
      </c>
      <c r="D560" s="24">
        <v>610881.0</v>
      </c>
      <c r="E560" s="23" t="s">
        <v>167</v>
      </c>
      <c r="F560" s="23" t="s">
        <v>1361</v>
      </c>
      <c r="G560" s="23" t="s">
        <v>1362</v>
      </c>
      <c r="H560" s="24">
        <v>77733.0</v>
      </c>
      <c r="I560" s="24">
        <v>8.0</v>
      </c>
      <c r="J560" s="24">
        <v>0.0</v>
      </c>
      <c r="K560" s="24">
        <v>0.0</v>
      </c>
      <c r="L560" s="24">
        <v>0.0</v>
      </c>
      <c r="M560" s="24">
        <v>1.0</v>
      </c>
      <c r="N560" s="24">
        <v>0.0</v>
      </c>
      <c r="O560" s="24">
        <v>0.0</v>
      </c>
      <c r="P560" s="24">
        <v>1.0</v>
      </c>
      <c r="Q560" s="24">
        <v>1.0</v>
      </c>
      <c r="R560" s="24">
        <v>1.0</v>
      </c>
      <c r="S560" s="24">
        <v>1.0</v>
      </c>
      <c r="T560" s="24">
        <v>0.0</v>
      </c>
      <c r="U560" s="24">
        <v>0.0</v>
      </c>
      <c r="V560" s="24">
        <v>0.0</v>
      </c>
      <c r="W560" s="24">
        <v>0.0</v>
      </c>
      <c r="X560" s="24">
        <v>3.0</v>
      </c>
      <c r="Y560" s="24">
        <v>0.0</v>
      </c>
      <c r="Z560" s="24">
        <v>0.0</v>
      </c>
      <c r="AA560" s="24">
        <v>0.0</v>
      </c>
      <c r="AB560" s="24">
        <v>0.0</v>
      </c>
      <c r="AC560" s="24">
        <v>0.0</v>
      </c>
      <c r="AD560" s="24">
        <v>0.0</v>
      </c>
      <c r="AE560" s="24">
        <v>0.0</v>
      </c>
      <c r="AF560" s="24">
        <v>0.0</v>
      </c>
      <c r="AG560" s="24">
        <v>0.0</v>
      </c>
      <c r="AH560" s="24">
        <v>0.0</v>
      </c>
      <c r="AI560" s="24">
        <v>0.0</v>
      </c>
      <c r="AJ560" s="24">
        <v>0.0</v>
      </c>
      <c r="AK560" s="24">
        <v>0.0</v>
      </c>
      <c r="AL560" s="24">
        <v>0.0</v>
      </c>
      <c r="AM560" s="24">
        <v>0.0</v>
      </c>
      <c r="AN560" s="24">
        <v>0.0</v>
      </c>
      <c r="AO560" s="25">
        <v>31.9</v>
      </c>
      <c r="AP560" s="26"/>
      <c r="AQ560" s="26"/>
      <c r="AR560" s="26"/>
      <c r="AS560" s="24">
        <v>30.42</v>
      </c>
      <c r="AT560" s="26"/>
      <c r="AU560" s="26"/>
      <c r="AV560" s="24">
        <v>28.55</v>
      </c>
      <c r="AW560" s="24">
        <v>13.7</v>
      </c>
      <c r="AX560" s="24">
        <v>48.43</v>
      </c>
      <c r="AY560" s="24">
        <v>17.93</v>
      </c>
      <c r="AZ560" s="26"/>
      <c r="BA560" s="26"/>
      <c r="BB560" s="26"/>
      <c r="BC560" s="26"/>
      <c r="BD560" s="24">
        <v>38.76</v>
      </c>
      <c r="BE560" s="26"/>
      <c r="BF560" s="26"/>
      <c r="BG560" s="26"/>
      <c r="BH560" s="26"/>
      <c r="BI560" s="26"/>
      <c r="BJ560" s="26"/>
      <c r="BK560" s="26"/>
      <c r="BL560" s="26"/>
      <c r="BM560" s="26"/>
      <c r="BN560" s="26"/>
      <c r="BO560" s="26"/>
      <c r="BP560" s="24">
        <v>17.97</v>
      </c>
      <c r="BQ560" s="24">
        <v>6.21</v>
      </c>
      <c r="BR560" s="24">
        <v>23.99</v>
      </c>
      <c r="BS560" s="57">
        <v>2.61</v>
      </c>
      <c r="BT560" s="56">
        <v>26.7</v>
      </c>
      <c r="BU560" s="25">
        <v>5.7</v>
      </c>
      <c r="BV560" s="57">
        <v>4.7</v>
      </c>
      <c r="BW560" s="26"/>
      <c r="BX560" s="24">
        <v>2400.0</v>
      </c>
      <c r="BY560" s="24" t="s">
        <v>123</v>
      </c>
      <c r="BZ560" s="28">
        <v>2100.0</v>
      </c>
      <c r="CA560" s="29" t="s">
        <v>124</v>
      </c>
      <c r="CB560" s="30">
        <v>2400.0</v>
      </c>
      <c r="CC560" s="31"/>
      <c r="CD560" s="28">
        <v>2400.0</v>
      </c>
      <c r="CE560" s="32" t="e">
        <v>#REF!</v>
      </c>
      <c r="CF560" s="33"/>
      <c r="CG560" s="34">
        <v>0.0</v>
      </c>
      <c r="CH560" s="35">
        <v>0.0</v>
      </c>
      <c r="CI560" s="36">
        <v>8.0</v>
      </c>
      <c r="CJ560" s="36">
        <v>580.0</v>
      </c>
      <c r="CK560" s="37">
        <v>-2.0</v>
      </c>
      <c r="CL560" s="36">
        <v>578.0</v>
      </c>
      <c r="CM560" s="38">
        <v>255.0</v>
      </c>
      <c r="CN560" s="36">
        <v>0.0</v>
      </c>
      <c r="CO560" s="39">
        <v>31.9</v>
      </c>
      <c r="CP560" s="40">
        <v>0.0</v>
      </c>
      <c r="CQ560" s="36">
        <v>144.0</v>
      </c>
      <c r="CR560" s="36">
        <v>144.0</v>
      </c>
      <c r="CS560" s="36">
        <v>21.0</v>
      </c>
      <c r="CT560" s="41"/>
      <c r="CU560" s="42"/>
      <c r="CV560" s="43"/>
      <c r="CW560" s="44">
        <v>8.0</v>
      </c>
      <c r="CX560" s="44" t="s">
        <v>125</v>
      </c>
      <c r="CY560" s="44" t="s">
        <v>126</v>
      </c>
      <c r="CZ560" s="45"/>
      <c r="DA560" s="44">
        <v>2400.0</v>
      </c>
      <c r="DB560" s="44">
        <v>0.0</v>
      </c>
      <c r="DC560" s="43"/>
      <c r="DD560" s="78"/>
      <c r="DE560" s="43"/>
      <c r="DF560" s="43"/>
      <c r="DG560" s="48" t="s">
        <v>128</v>
      </c>
      <c r="DH560" s="48" t="s">
        <v>128</v>
      </c>
      <c r="DI560" s="48" t="s">
        <v>128</v>
      </c>
      <c r="DJ560" s="51"/>
      <c r="DK560" s="48" t="b">
        <v>0</v>
      </c>
      <c r="DL560" s="50" t="s">
        <v>1353</v>
      </c>
      <c r="DM560" s="50" t="s">
        <v>131</v>
      </c>
      <c r="DN560" s="50" t="s">
        <v>1354</v>
      </c>
      <c r="DO560" s="49">
        <v>0.14</v>
      </c>
      <c r="DP560" s="48" t="s">
        <v>128</v>
      </c>
      <c r="DQ560" s="48" t="s">
        <v>128</v>
      </c>
      <c r="DR560" s="51"/>
      <c r="DS560" s="48" t="s">
        <v>134</v>
      </c>
    </row>
    <row r="561">
      <c r="A561" s="52" t="s">
        <v>118</v>
      </c>
      <c r="B561" s="53">
        <v>4.0</v>
      </c>
      <c r="C561" s="52" t="s">
        <v>1123</v>
      </c>
      <c r="D561" s="53">
        <v>576393.0</v>
      </c>
      <c r="E561" s="52" t="s">
        <v>164</v>
      </c>
      <c r="F561" s="52" t="s">
        <v>1363</v>
      </c>
      <c r="G561" s="52" t="s">
        <v>1364</v>
      </c>
      <c r="H561" s="53">
        <v>77733.0</v>
      </c>
      <c r="I561" s="53">
        <v>7.0</v>
      </c>
      <c r="J561" s="53">
        <v>1.0</v>
      </c>
      <c r="K561" s="53">
        <v>0.0</v>
      </c>
      <c r="L561" s="53">
        <v>0.0</v>
      </c>
      <c r="M561" s="53">
        <v>0.0</v>
      </c>
      <c r="N561" s="53">
        <v>0.0</v>
      </c>
      <c r="O561" s="53">
        <v>1.0</v>
      </c>
      <c r="P561" s="53">
        <v>0.0</v>
      </c>
      <c r="Q561" s="53">
        <v>0.0</v>
      </c>
      <c r="R561" s="53">
        <v>0.0</v>
      </c>
      <c r="S561" s="53">
        <v>0.0</v>
      </c>
      <c r="T561" s="53">
        <v>1.0</v>
      </c>
      <c r="U561" s="53">
        <v>1.0</v>
      </c>
      <c r="V561" s="53">
        <v>0.0</v>
      </c>
      <c r="W561" s="53">
        <v>0.0</v>
      </c>
      <c r="X561" s="53">
        <v>1.0</v>
      </c>
      <c r="Y561" s="53">
        <v>0.0</v>
      </c>
      <c r="Z561" s="53">
        <v>0.0</v>
      </c>
      <c r="AA561" s="53">
        <v>0.0</v>
      </c>
      <c r="AB561" s="53">
        <v>0.0</v>
      </c>
      <c r="AC561" s="53">
        <v>0.0</v>
      </c>
      <c r="AD561" s="53">
        <v>1.0</v>
      </c>
      <c r="AE561" s="53">
        <v>0.0</v>
      </c>
      <c r="AF561" s="53">
        <v>0.0</v>
      </c>
      <c r="AG561" s="53">
        <v>0.0</v>
      </c>
      <c r="AH561" s="53">
        <v>1.0</v>
      </c>
      <c r="AI561" s="53">
        <v>0.0</v>
      </c>
      <c r="AJ561" s="53">
        <v>0.0</v>
      </c>
      <c r="AK561" s="53">
        <v>0.0</v>
      </c>
      <c r="AL561" s="53">
        <v>0.0</v>
      </c>
      <c r="AM561" s="53">
        <v>0.0</v>
      </c>
      <c r="AN561" s="53">
        <v>0.0</v>
      </c>
      <c r="AO561" s="55">
        <v>15.6</v>
      </c>
      <c r="AP561" s="53">
        <v>19.53</v>
      </c>
      <c r="AQ561" s="54"/>
      <c r="AR561" s="54"/>
      <c r="AS561" s="54"/>
      <c r="AT561" s="54"/>
      <c r="AU561" s="53">
        <v>12.23</v>
      </c>
      <c r="AV561" s="54"/>
      <c r="AW561" s="54"/>
      <c r="AX561" s="54"/>
      <c r="AY561" s="54"/>
      <c r="AZ561" s="53">
        <v>13.48</v>
      </c>
      <c r="BA561" s="53">
        <v>11.12</v>
      </c>
      <c r="BB561" s="54"/>
      <c r="BC561" s="54"/>
      <c r="BD561" s="53">
        <v>15.93</v>
      </c>
      <c r="BE561" s="54"/>
      <c r="BF561" s="54"/>
      <c r="BG561" s="54"/>
      <c r="BH561" s="54"/>
      <c r="BI561" s="54"/>
      <c r="BJ561" s="53">
        <v>23.4</v>
      </c>
      <c r="BK561" s="54"/>
      <c r="BL561" s="54"/>
      <c r="BM561" s="54"/>
      <c r="BN561" s="53">
        <v>13.52</v>
      </c>
      <c r="BO561" s="54"/>
      <c r="BP561" s="53">
        <v>2.38</v>
      </c>
      <c r="BQ561" s="53">
        <v>6.35</v>
      </c>
      <c r="BR561" s="53">
        <v>8.54</v>
      </c>
      <c r="BS561" s="57">
        <v>1.92</v>
      </c>
      <c r="BT561" s="77">
        <v>13.5</v>
      </c>
      <c r="BU561" s="57">
        <v>0.4</v>
      </c>
      <c r="BV561" s="55">
        <v>6.48</v>
      </c>
      <c r="BW561" s="54"/>
      <c r="BX561" s="53">
        <v>3000.0</v>
      </c>
      <c r="BY561" s="53" t="s">
        <v>123</v>
      </c>
      <c r="BZ561" s="58">
        <v>3000.0</v>
      </c>
      <c r="CA561" s="72"/>
      <c r="CB561" s="30">
        <v>3000.0</v>
      </c>
      <c r="CC561" s="31"/>
      <c r="CD561" s="58">
        <v>3000.0</v>
      </c>
      <c r="CE561" s="59" t="e">
        <v>#REF!</v>
      </c>
      <c r="CF561" s="60"/>
      <c r="CG561" s="61">
        <v>0.0</v>
      </c>
      <c r="CH561" s="62">
        <v>0.0</v>
      </c>
      <c r="CI561" s="63">
        <v>7.0</v>
      </c>
      <c r="CJ561" s="63">
        <v>580.0</v>
      </c>
      <c r="CK561" s="64">
        <v>-2.0</v>
      </c>
      <c r="CL561" s="63">
        <v>578.0</v>
      </c>
      <c r="CM561" s="65">
        <v>109.0</v>
      </c>
      <c r="CN561" s="63">
        <v>0.0</v>
      </c>
      <c r="CO561" s="66">
        <v>15.6</v>
      </c>
      <c r="CP561" s="67">
        <v>0.0</v>
      </c>
      <c r="CQ561" s="63">
        <v>17.0</v>
      </c>
      <c r="CR561" s="63">
        <v>17.0</v>
      </c>
      <c r="CS561" s="63">
        <v>13.0</v>
      </c>
      <c r="CT561" s="68"/>
      <c r="CU561" s="69"/>
      <c r="CV561" s="70"/>
      <c r="CW561" s="71">
        <v>10.0</v>
      </c>
      <c r="CX561" s="71" t="s">
        <v>138</v>
      </c>
      <c r="CY561" s="71" t="s">
        <v>139</v>
      </c>
      <c r="CZ561" s="45"/>
      <c r="DA561" s="44">
        <v>3000.0</v>
      </c>
      <c r="DB561" s="44">
        <v>0.0</v>
      </c>
      <c r="DC561" s="46" t="s">
        <v>127</v>
      </c>
      <c r="DD561" s="47">
        <v>46233.0</v>
      </c>
      <c r="DE561" s="43"/>
      <c r="DF561" s="43"/>
      <c r="DG561" s="48" t="s">
        <v>128</v>
      </c>
      <c r="DH561" s="48" t="s">
        <v>128</v>
      </c>
      <c r="DI561" s="48" t="s">
        <v>128</v>
      </c>
      <c r="DJ561" s="51"/>
      <c r="DK561" s="48" t="b">
        <v>0</v>
      </c>
      <c r="DL561" s="50" t="s">
        <v>1353</v>
      </c>
      <c r="DM561" s="50" t="s">
        <v>131</v>
      </c>
      <c r="DN561" s="50" t="s">
        <v>1354</v>
      </c>
      <c r="DO561" s="49">
        <v>0.14</v>
      </c>
      <c r="DP561" s="48" t="s">
        <v>128</v>
      </c>
      <c r="DQ561" s="48" t="s">
        <v>128</v>
      </c>
      <c r="DR561" s="51"/>
      <c r="DS561" s="48" t="s">
        <v>134</v>
      </c>
    </row>
    <row r="562">
      <c r="A562" s="23" t="s">
        <v>118</v>
      </c>
      <c r="B562" s="24">
        <v>4.0</v>
      </c>
      <c r="C562" s="23" t="s">
        <v>1123</v>
      </c>
      <c r="D562" s="24">
        <v>648803.0</v>
      </c>
      <c r="E562" s="23" t="s">
        <v>189</v>
      </c>
      <c r="F562" s="23" t="s">
        <v>1365</v>
      </c>
      <c r="G562" s="23" t="s">
        <v>1366</v>
      </c>
      <c r="H562" s="24">
        <v>77733.0</v>
      </c>
      <c r="I562" s="24">
        <v>1.0</v>
      </c>
      <c r="J562" s="24">
        <v>1.0</v>
      </c>
      <c r="K562" s="24">
        <v>0.0</v>
      </c>
      <c r="L562" s="24">
        <v>0.0</v>
      </c>
      <c r="M562" s="24">
        <v>0.0</v>
      </c>
      <c r="N562" s="24">
        <v>0.0</v>
      </c>
      <c r="O562" s="24">
        <v>0.0</v>
      </c>
      <c r="P562" s="24">
        <v>0.0</v>
      </c>
      <c r="Q562" s="24">
        <v>0.0</v>
      </c>
      <c r="R562" s="24">
        <v>0.0</v>
      </c>
      <c r="S562" s="24">
        <v>0.0</v>
      </c>
      <c r="T562" s="24">
        <v>0.0</v>
      </c>
      <c r="U562" s="24">
        <v>0.0</v>
      </c>
      <c r="V562" s="24">
        <v>0.0</v>
      </c>
      <c r="W562" s="24">
        <v>0.0</v>
      </c>
      <c r="X562" s="24">
        <v>0.0</v>
      </c>
      <c r="Y562" s="24">
        <v>0.0</v>
      </c>
      <c r="Z562" s="24">
        <v>0.0</v>
      </c>
      <c r="AA562" s="24">
        <v>0.0</v>
      </c>
      <c r="AB562" s="24">
        <v>0.0</v>
      </c>
      <c r="AC562" s="24">
        <v>0.0</v>
      </c>
      <c r="AD562" s="24">
        <v>0.0</v>
      </c>
      <c r="AE562" s="24">
        <v>0.0</v>
      </c>
      <c r="AF562" s="24">
        <v>0.0</v>
      </c>
      <c r="AG562" s="24">
        <v>0.0</v>
      </c>
      <c r="AH562" s="24">
        <v>0.0</v>
      </c>
      <c r="AI562" s="24">
        <v>0.0</v>
      </c>
      <c r="AJ562" s="24">
        <v>0.0</v>
      </c>
      <c r="AK562" s="24">
        <v>0.0</v>
      </c>
      <c r="AL562" s="24">
        <v>0.0</v>
      </c>
      <c r="AM562" s="24">
        <v>0.0</v>
      </c>
      <c r="AN562" s="24">
        <v>0.0</v>
      </c>
      <c r="AO562" s="25">
        <v>22.2</v>
      </c>
      <c r="AP562" s="24">
        <v>22.2</v>
      </c>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4">
        <v>1.38</v>
      </c>
      <c r="BQ562" s="24">
        <v>10.5</v>
      </c>
      <c r="BR562" s="24">
        <v>11.68</v>
      </c>
      <c r="BS562" s="57">
        <v>0.78</v>
      </c>
      <c r="BT562" s="56">
        <v>22.2</v>
      </c>
      <c r="BU562" s="57">
        <v>0.8</v>
      </c>
      <c r="BV562" s="25">
        <v>9.53</v>
      </c>
      <c r="BW562" s="26"/>
      <c r="BX562" s="24">
        <v>2400.0</v>
      </c>
      <c r="BY562" s="24" t="s">
        <v>123</v>
      </c>
      <c r="BZ562" s="28">
        <v>2100.0</v>
      </c>
      <c r="CA562" s="29" t="s">
        <v>124</v>
      </c>
      <c r="CB562" s="30">
        <v>2400.0</v>
      </c>
      <c r="CC562" s="31"/>
      <c r="CD562" s="28">
        <v>2400.0</v>
      </c>
      <c r="CE562" s="32" t="e">
        <v>#REF!</v>
      </c>
      <c r="CF562" s="33"/>
      <c r="CG562" s="34">
        <v>0.0</v>
      </c>
      <c r="CH562" s="35">
        <v>0.0</v>
      </c>
      <c r="CI562" s="36">
        <v>1.0</v>
      </c>
      <c r="CJ562" s="36">
        <v>580.0</v>
      </c>
      <c r="CK562" s="37">
        <v>-2.0</v>
      </c>
      <c r="CL562" s="36">
        <v>578.0</v>
      </c>
      <c r="CM562" s="38">
        <v>22.0</v>
      </c>
      <c r="CN562" s="36">
        <v>0.0</v>
      </c>
      <c r="CO562" s="39">
        <v>22.2</v>
      </c>
      <c r="CP562" s="40">
        <v>0.0</v>
      </c>
      <c r="CQ562" s="36">
        <v>1.0</v>
      </c>
      <c r="CR562" s="36">
        <v>1.0</v>
      </c>
      <c r="CS562" s="36">
        <v>1.0</v>
      </c>
      <c r="CT562" s="41"/>
      <c r="CU562" s="42"/>
      <c r="CV562" s="43"/>
      <c r="CW562" s="44">
        <v>8.0</v>
      </c>
      <c r="CX562" s="44" t="s">
        <v>125</v>
      </c>
      <c r="CY562" s="44" t="s">
        <v>126</v>
      </c>
      <c r="CZ562" s="45"/>
      <c r="DA562" s="44">
        <v>2400.0</v>
      </c>
      <c r="DB562" s="44">
        <v>0.0</v>
      </c>
      <c r="DC562" s="43"/>
      <c r="DD562" s="78"/>
      <c r="DE562" s="43"/>
      <c r="DF562" s="43"/>
      <c r="DG562" s="48" t="s">
        <v>128</v>
      </c>
      <c r="DH562" s="48" t="s">
        <v>128</v>
      </c>
      <c r="DI562" s="48" t="s">
        <v>128</v>
      </c>
      <c r="DJ562" s="49">
        <v>1.0</v>
      </c>
      <c r="DK562" s="48" t="b">
        <v>0</v>
      </c>
      <c r="DL562" s="50" t="s">
        <v>1353</v>
      </c>
      <c r="DM562" s="50" t="s">
        <v>131</v>
      </c>
      <c r="DN562" s="50" t="s">
        <v>1354</v>
      </c>
      <c r="DO562" s="49">
        <v>0.14</v>
      </c>
      <c r="DP562" s="48" t="s">
        <v>128</v>
      </c>
      <c r="DQ562" s="48" t="s">
        <v>128</v>
      </c>
      <c r="DR562" s="51"/>
      <c r="DS562" s="48" t="s">
        <v>134</v>
      </c>
    </row>
    <row r="563">
      <c r="A563" s="52" t="s">
        <v>118</v>
      </c>
      <c r="B563" s="53">
        <v>4.0</v>
      </c>
      <c r="C563" s="52" t="s">
        <v>1123</v>
      </c>
      <c r="D563" s="53">
        <v>640888.0</v>
      </c>
      <c r="E563" s="52" t="s">
        <v>161</v>
      </c>
      <c r="F563" s="52" t="s">
        <v>1367</v>
      </c>
      <c r="G563" s="52" t="s">
        <v>1368</v>
      </c>
      <c r="H563" s="53">
        <v>77733.0</v>
      </c>
      <c r="I563" s="53">
        <v>1.0</v>
      </c>
      <c r="J563" s="53">
        <v>1.0</v>
      </c>
      <c r="K563" s="53">
        <v>0.0</v>
      </c>
      <c r="L563" s="53">
        <v>0.0</v>
      </c>
      <c r="M563" s="53">
        <v>0.0</v>
      </c>
      <c r="N563" s="53">
        <v>0.0</v>
      </c>
      <c r="O563" s="53">
        <v>0.0</v>
      </c>
      <c r="P563" s="53">
        <v>0.0</v>
      </c>
      <c r="Q563" s="53">
        <v>0.0</v>
      </c>
      <c r="R563" s="53">
        <v>0.0</v>
      </c>
      <c r="S563" s="53">
        <v>0.0</v>
      </c>
      <c r="T563" s="53">
        <v>0.0</v>
      </c>
      <c r="U563" s="53">
        <v>0.0</v>
      </c>
      <c r="V563" s="53">
        <v>0.0</v>
      </c>
      <c r="W563" s="53">
        <v>0.0</v>
      </c>
      <c r="X563" s="53">
        <v>0.0</v>
      </c>
      <c r="Y563" s="53">
        <v>0.0</v>
      </c>
      <c r="Z563" s="53">
        <v>0.0</v>
      </c>
      <c r="AA563" s="53">
        <v>0.0</v>
      </c>
      <c r="AB563" s="53">
        <v>0.0</v>
      </c>
      <c r="AC563" s="53">
        <v>0.0</v>
      </c>
      <c r="AD563" s="53">
        <v>0.0</v>
      </c>
      <c r="AE563" s="53">
        <v>0.0</v>
      </c>
      <c r="AF563" s="53">
        <v>0.0</v>
      </c>
      <c r="AG563" s="53">
        <v>0.0</v>
      </c>
      <c r="AH563" s="53">
        <v>0.0</v>
      </c>
      <c r="AI563" s="53">
        <v>0.0</v>
      </c>
      <c r="AJ563" s="53">
        <v>0.0</v>
      </c>
      <c r="AK563" s="53">
        <v>0.0</v>
      </c>
      <c r="AL563" s="53">
        <v>0.0</v>
      </c>
      <c r="AM563" s="53">
        <v>0.0</v>
      </c>
      <c r="AN563" s="53">
        <v>0.0</v>
      </c>
      <c r="AO563" s="25">
        <v>21.3</v>
      </c>
      <c r="AP563" s="53">
        <v>21.3</v>
      </c>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3">
        <v>2.48</v>
      </c>
      <c r="BQ563" s="53">
        <v>15.47</v>
      </c>
      <c r="BR563" s="53">
        <v>17.77</v>
      </c>
      <c r="BS563" s="57">
        <v>0.62</v>
      </c>
      <c r="BT563" s="56">
        <v>21.3</v>
      </c>
      <c r="BU563" s="57">
        <v>0.6</v>
      </c>
      <c r="BV563" s="57">
        <v>2.73</v>
      </c>
      <c r="BW563" s="54"/>
      <c r="BX563" s="53">
        <v>2400.0</v>
      </c>
      <c r="BY563" s="53" t="s">
        <v>123</v>
      </c>
      <c r="BZ563" s="58">
        <v>2100.0</v>
      </c>
      <c r="CA563" s="29" t="s">
        <v>124</v>
      </c>
      <c r="CB563" s="30">
        <v>2400.0</v>
      </c>
      <c r="CC563" s="31"/>
      <c r="CD563" s="58">
        <v>2400.0</v>
      </c>
      <c r="CE563" s="59" t="e">
        <v>#REF!</v>
      </c>
      <c r="CF563" s="60"/>
      <c r="CG563" s="61">
        <v>0.0</v>
      </c>
      <c r="CH563" s="62">
        <v>0.0</v>
      </c>
      <c r="CI563" s="63">
        <v>1.0</v>
      </c>
      <c r="CJ563" s="63">
        <v>580.0</v>
      </c>
      <c r="CK563" s="64">
        <v>-2.0</v>
      </c>
      <c r="CL563" s="63">
        <v>578.0</v>
      </c>
      <c r="CM563" s="65">
        <v>21.0</v>
      </c>
      <c r="CN563" s="63">
        <v>0.0</v>
      </c>
      <c r="CO563" s="66">
        <v>21.3</v>
      </c>
      <c r="CP563" s="67">
        <v>0.0</v>
      </c>
      <c r="CQ563" s="63">
        <v>2.0</v>
      </c>
      <c r="CR563" s="63">
        <v>2.0</v>
      </c>
      <c r="CS563" s="63">
        <v>1.0</v>
      </c>
      <c r="CT563" s="68"/>
      <c r="CU563" s="69"/>
      <c r="CV563" s="70"/>
      <c r="CW563" s="71">
        <v>8.0</v>
      </c>
      <c r="CX563" s="71" t="s">
        <v>125</v>
      </c>
      <c r="CY563" s="71" t="s">
        <v>126</v>
      </c>
      <c r="CZ563" s="45"/>
      <c r="DA563" s="44">
        <v>2400.0</v>
      </c>
      <c r="DB563" s="44">
        <v>0.0</v>
      </c>
      <c r="DC563" s="43"/>
      <c r="DD563" s="78"/>
      <c r="DE563" s="43"/>
      <c r="DF563" s="43"/>
      <c r="DG563" s="48" t="s">
        <v>128</v>
      </c>
      <c r="DH563" s="48" t="s">
        <v>128</v>
      </c>
      <c r="DI563" s="48" t="s">
        <v>128</v>
      </c>
      <c r="DJ563" s="49">
        <v>1.0</v>
      </c>
      <c r="DK563" s="48" t="b">
        <v>0</v>
      </c>
      <c r="DL563" s="50" t="s">
        <v>1353</v>
      </c>
      <c r="DM563" s="50" t="s">
        <v>131</v>
      </c>
      <c r="DN563" s="50" t="s">
        <v>1354</v>
      </c>
      <c r="DO563" s="49">
        <v>0.14</v>
      </c>
      <c r="DP563" s="48" t="s">
        <v>128</v>
      </c>
      <c r="DQ563" s="48" t="s">
        <v>128</v>
      </c>
      <c r="DR563" s="51"/>
      <c r="DS563" s="48" t="s">
        <v>134</v>
      </c>
    </row>
    <row r="564">
      <c r="A564" s="23" t="s">
        <v>118</v>
      </c>
      <c r="B564" s="24">
        <v>4.0</v>
      </c>
      <c r="C564" s="23" t="s">
        <v>1123</v>
      </c>
      <c r="D564" s="24">
        <v>604008.0</v>
      </c>
      <c r="E564" s="23" t="s">
        <v>176</v>
      </c>
      <c r="F564" s="23" t="s">
        <v>1369</v>
      </c>
      <c r="G564" s="23" t="s">
        <v>1370</v>
      </c>
      <c r="H564" s="24">
        <v>77733.0</v>
      </c>
      <c r="I564" s="24">
        <v>2.0</v>
      </c>
      <c r="J564" s="24">
        <v>0.0</v>
      </c>
      <c r="K564" s="24">
        <v>0.0</v>
      </c>
      <c r="L564" s="24">
        <v>0.0</v>
      </c>
      <c r="M564" s="24">
        <v>0.0</v>
      </c>
      <c r="N564" s="24">
        <v>0.0</v>
      </c>
      <c r="O564" s="24">
        <v>0.0</v>
      </c>
      <c r="P564" s="24">
        <v>0.0</v>
      </c>
      <c r="Q564" s="24">
        <v>0.0</v>
      </c>
      <c r="R564" s="24">
        <v>0.0</v>
      </c>
      <c r="S564" s="24">
        <v>1.0</v>
      </c>
      <c r="T564" s="24">
        <v>0.0</v>
      </c>
      <c r="U564" s="24">
        <v>0.0</v>
      </c>
      <c r="V564" s="24">
        <v>0.0</v>
      </c>
      <c r="W564" s="24">
        <v>0.0</v>
      </c>
      <c r="X564" s="24">
        <v>0.0</v>
      </c>
      <c r="Y564" s="24">
        <v>0.0</v>
      </c>
      <c r="Z564" s="24">
        <v>0.0</v>
      </c>
      <c r="AA564" s="24">
        <v>1.0</v>
      </c>
      <c r="AB564" s="24">
        <v>0.0</v>
      </c>
      <c r="AC564" s="24">
        <v>0.0</v>
      </c>
      <c r="AD564" s="24">
        <v>0.0</v>
      </c>
      <c r="AE564" s="24">
        <v>0.0</v>
      </c>
      <c r="AF564" s="24">
        <v>0.0</v>
      </c>
      <c r="AG564" s="24">
        <v>0.0</v>
      </c>
      <c r="AH564" s="24">
        <v>0.0</v>
      </c>
      <c r="AI564" s="24">
        <v>0.0</v>
      </c>
      <c r="AJ564" s="24">
        <v>0.0</v>
      </c>
      <c r="AK564" s="24">
        <v>0.0</v>
      </c>
      <c r="AL564" s="24">
        <v>0.0</v>
      </c>
      <c r="AM564" s="24">
        <v>0.0</v>
      </c>
      <c r="AN564" s="24">
        <v>0.0</v>
      </c>
      <c r="AO564" s="25">
        <v>23.8</v>
      </c>
      <c r="AP564" s="26"/>
      <c r="AQ564" s="26"/>
      <c r="AR564" s="26"/>
      <c r="AS564" s="26"/>
      <c r="AT564" s="26"/>
      <c r="AU564" s="26"/>
      <c r="AV564" s="26"/>
      <c r="AW564" s="26"/>
      <c r="AX564" s="26"/>
      <c r="AY564" s="24">
        <v>36.18</v>
      </c>
      <c r="AZ564" s="26"/>
      <c r="BA564" s="26"/>
      <c r="BB564" s="26"/>
      <c r="BC564" s="26"/>
      <c r="BD564" s="26"/>
      <c r="BE564" s="26"/>
      <c r="BF564" s="26"/>
      <c r="BG564" s="24">
        <v>11.43</v>
      </c>
      <c r="BH564" s="26"/>
      <c r="BI564" s="26"/>
      <c r="BJ564" s="26"/>
      <c r="BK564" s="26"/>
      <c r="BL564" s="26"/>
      <c r="BM564" s="26"/>
      <c r="BN564" s="26"/>
      <c r="BO564" s="26"/>
      <c r="BP564" s="24">
        <v>12.46</v>
      </c>
      <c r="BQ564" s="24">
        <v>8.48</v>
      </c>
      <c r="BR564" s="24">
        <v>20.75</v>
      </c>
      <c r="BS564" s="57">
        <v>0.61</v>
      </c>
      <c r="BT564" s="56">
        <v>23.8</v>
      </c>
      <c r="BU564" s="57">
        <v>0.6</v>
      </c>
      <c r="BV564" s="57">
        <v>2.26</v>
      </c>
      <c r="BW564" s="26"/>
      <c r="BX564" s="24">
        <v>2400.0</v>
      </c>
      <c r="BY564" s="24" t="s">
        <v>123</v>
      </c>
      <c r="BZ564" s="28">
        <v>2100.0</v>
      </c>
      <c r="CA564" s="29" t="s">
        <v>124</v>
      </c>
      <c r="CB564" s="30">
        <v>2400.0</v>
      </c>
      <c r="CC564" s="31"/>
      <c r="CD564" s="28">
        <v>2400.0</v>
      </c>
      <c r="CE564" s="32" t="e">
        <v>#REF!</v>
      </c>
      <c r="CF564" s="33"/>
      <c r="CG564" s="34">
        <v>0.0</v>
      </c>
      <c r="CH564" s="35">
        <v>0.0</v>
      </c>
      <c r="CI564" s="36">
        <v>2.0</v>
      </c>
      <c r="CJ564" s="36">
        <v>580.0</v>
      </c>
      <c r="CK564" s="37">
        <v>-2.0</v>
      </c>
      <c r="CL564" s="36">
        <v>578.0</v>
      </c>
      <c r="CM564" s="38">
        <v>48.0</v>
      </c>
      <c r="CN564" s="36">
        <v>0.0</v>
      </c>
      <c r="CO564" s="39">
        <v>23.8</v>
      </c>
      <c r="CP564" s="40">
        <v>0.0</v>
      </c>
      <c r="CQ564" s="36">
        <v>25.0</v>
      </c>
      <c r="CR564" s="36">
        <v>25.0</v>
      </c>
      <c r="CS564" s="36">
        <v>1.0</v>
      </c>
      <c r="CT564" s="41"/>
      <c r="CU564" s="42"/>
      <c r="CV564" s="43"/>
      <c r="CW564" s="44">
        <v>8.0</v>
      </c>
      <c r="CX564" s="44" t="s">
        <v>125</v>
      </c>
      <c r="CY564" s="44" t="s">
        <v>126</v>
      </c>
      <c r="CZ564" s="45"/>
      <c r="DA564" s="44">
        <v>2400.0</v>
      </c>
      <c r="DB564" s="44">
        <v>0.0</v>
      </c>
      <c r="DC564" s="43"/>
      <c r="DD564" s="78"/>
      <c r="DE564" s="43"/>
      <c r="DF564" s="43"/>
      <c r="DG564" s="48" t="s">
        <v>128</v>
      </c>
      <c r="DH564" s="48" t="s">
        <v>128</v>
      </c>
      <c r="DI564" s="48" t="s">
        <v>128</v>
      </c>
      <c r="DJ564" s="49">
        <v>1.0</v>
      </c>
      <c r="DK564" s="48" t="b">
        <v>0</v>
      </c>
      <c r="DL564" s="50" t="s">
        <v>1353</v>
      </c>
      <c r="DM564" s="50" t="s">
        <v>131</v>
      </c>
      <c r="DN564" s="50" t="s">
        <v>1354</v>
      </c>
      <c r="DO564" s="49">
        <v>0.14</v>
      </c>
      <c r="DP564" s="48" t="s">
        <v>128</v>
      </c>
      <c r="DQ564" s="48" t="s">
        <v>128</v>
      </c>
      <c r="DR564" s="51"/>
      <c r="DS564" s="48" t="s">
        <v>134</v>
      </c>
    </row>
    <row r="565">
      <c r="A565" s="52" t="s">
        <v>118</v>
      </c>
      <c r="B565" s="53">
        <v>4.0</v>
      </c>
      <c r="C565" s="52" t="s">
        <v>1123</v>
      </c>
      <c r="D565" s="53">
        <v>536832.0</v>
      </c>
      <c r="E565" s="52" t="s">
        <v>158</v>
      </c>
      <c r="F565" s="52" t="s">
        <v>1371</v>
      </c>
      <c r="G565" s="52" t="s">
        <v>1372</v>
      </c>
      <c r="H565" s="53">
        <v>77733.0</v>
      </c>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81"/>
      <c r="BU565" s="54"/>
      <c r="BV565" s="54"/>
      <c r="BW565" s="54"/>
      <c r="BX565" s="53">
        <v>2400.0</v>
      </c>
      <c r="BY565" s="53" t="s">
        <v>123</v>
      </c>
      <c r="BZ565" s="58">
        <v>2400.0</v>
      </c>
      <c r="CA565" s="72"/>
      <c r="CB565" s="82"/>
      <c r="CC565" s="31"/>
      <c r="CD565" s="58">
        <v>2400.0</v>
      </c>
      <c r="CE565" s="83" t="s">
        <v>185</v>
      </c>
      <c r="CF565" s="60"/>
      <c r="CG565" s="61">
        <v>0.0</v>
      </c>
      <c r="CH565" s="84"/>
      <c r="CI565" s="63">
        <v>0.0</v>
      </c>
      <c r="CJ565" s="63">
        <v>580.0</v>
      </c>
      <c r="CK565" s="64">
        <v>-2.0</v>
      </c>
      <c r="CL565" s="63">
        <v>578.0</v>
      </c>
      <c r="CM565" s="65">
        <v>0.0</v>
      </c>
      <c r="CN565" s="63">
        <v>0.0</v>
      </c>
      <c r="CO565" s="66">
        <v>0.0</v>
      </c>
      <c r="CP565" s="67">
        <v>0.0</v>
      </c>
      <c r="CQ565" s="63">
        <v>0.0</v>
      </c>
      <c r="CR565" s="63">
        <v>0.0</v>
      </c>
      <c r="CS565" s="63">
        <v>0.0</v>
      </c>
      <c r="CT565" s="68"/>
      <c r="CU565" s="69"/>
      <c r="CV565" s="70"/>
      <c r="CW565" s="71">
        <v>8.0</v>
      </c>
      <c r="CX565" s="71" t="s">
        <v>125</v>
      </c>
      <c r="CY565" s="71" t="s">
        <v>126</v>
      </c>
      <c r="CZ565" s="45"/>
      <c r="DA565" s="43"/>
      <c r="DB565" s="44">
        <v>0.0</v>
      </c>
      <c r="DC565" s="43"/>
      <c r="DD565" s="78"/>
      <c r="DE565" s="43"/>
      <c r="DF565" s="43"/>
      <c r="DG565" s="48" t="s">
        <v>128</v>
      </c>
      <c r="DH565" s="48" t="s">
        <v>128</v>
      </c>
      <c r="DI565" s="48" t="s">
        <v>196</v>
      </c>
      <c r="DJ565" s="49">
        <v>1.0</v>
      </c>
      <c r="DK565" s="48" t="b">
        <v>0</v>
      </c>
      <c r="DL565" s="50" t="s">
        <v>1353</v>
      </c>
      <c r="DM565" s="50" t="s">
        <v>131</v>
      </c>
      <c r="DN565" s="50" t="s">
        <v>1354</v>
      </c>
      <c r="DO565" s="49">
        <v>0.14</v>
      </c>
      <c r="DP565" s="48" t="s">
        <v>245</v>
      </c>
      <c r="DQ565" s="48" t="s">
        <v>196</v>
      </c>
      <c r="DR565" s="51"/>
      <c r="DS565" s="48" t="s">
        <v>134</v>
      </c>
    </row>
    <row r="566">
      <c r="A566" s="23" t="s">
        <v>118</v>
      </c>
      <c r="B566" s="24">
        <v>4.0</v>
      </c>
      <c r="C566" s="23" t="s">
        <v>1123</v>
      </c>
      <c r="D566" s="24">
        <v>626041.0</v>
      </c>
      <c r="E566" s="23" t="s">
        <v>135</v>
      </c>
      <c r="F566" s="23" t="s">
        <v>1373</v>
      </c>
      <c r="G566" s="23" t="s">
        <v>1374</v>
      </c>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7"/>
      <c r="BU566" s="26"/>
      <c r="BV566" s="26"/>
      <c r="BW566" s="26"/>
      <c r="BX566" s="24">
        <v>1.0</v>
      </c>
      <c r="BY566" s="24" t="s">
        <v>123</v>
      </c>
      <c r="BZ566" s="87">
        <v>1.0</v>
      </c>
      <c r="CA566" s="72"/>
      <c r="CB566" s="82"/>
      <c r="CC566" s="31"/>
      <c r="CD566" s="28">
        <v>1.0</v>
      </c>
      <c r="CE566" s="88" t="s">
        <v>185</v>
      </c>
      <c r="CF566" s="33"/>
      <c r="CG566" s="34">
        <v>0.0</v>
      </c>
      <c r="CH566" s="89"/>
      <c r="CI566" s="36">
        <v>0.0</v>
      </c>
      <c r="CJ566" s="36">
        <v>0.0</v>
      </c>
      <c r="CK566" s="37">
        <v>0.0</v>
      </c>
      <c r="CL566" s="36">
        <v>0.0</v>
      </c>
      <c r="CM566" s="38">
        <v>0.0</v>
      </c>
      <c r="CN566" s="36">
        <v>0.0</v>
      </c>
      <c r="CO566" s="39">
        <v>0.0</v>
      </c>
      <c r="CP566" s="40">
        <v>0.0</v>
      </c>
      <c r="CQ566" s="36">
        <v>0.0</v>
      </c>
      <c r="CR566" s="36">
        <v>0.0</v>
      </c>
      <c r="CS566" s="36">
        <v>0.0</v>
      </c>
      <c r="CT566" s="41"/>
      <c r="CU566" s="42"/>
      <c r="CV566" s="43"/>
      <c r="CW566" s="44">
        <v>1.0</v>
      </c>
      <c r="CX566" s="44">
        <v>1.0</v>
      </c>
      <c r="CY566" s="44">
        <v>0.1</v>
      </c>
      <c r="CZ566" s="45"/>
      <c r="DA566" s="43"/>
      <c r="DB566" s="44">
        <v>0.0</v>
      </c>
      <c r="DC566" s="43"/>
      <c r="DD566" s="78"/>
      <c r="DE566" s="43"/>
      <c r="DF566" s="43"/>
      <c r="DG566" s="48" t="s">
        <v>128</v>
      </c>
      <c r="DH566" s="48" t="s">
        <v>131</v>
      </c>
      <c r="DI566" s="48" t="s">
        <v>574</v>
      </c>
      <c r="DJ566" s="49">
        <v>1.0</v>
      </c>
      <c r="DK566" s="48" t="b">
        <v>0</v>
      </c>
      <c r="DL566" s="50" t="s">
        <v>1375</v>
      </c>
      <c r="DM566" s="111"/>
      <c r="DN566" s="111"/>
      <c r="DO566" s="51"/>
      <c r="DP566" s="51"/>
      <c r="DQ566" s="48" t="s">
        <v>576</v>
      </c>
      <c r="DR566" s="51"/>
      <c r="DS566" s="48" t="s">
        <v>134</v>
      </c>
    </row>
    <row r="567">
      <c r="A567" s="52" t="s">
        <v>118</v>
      </c>
      <c r="B567" s="53">
        <v>4.0</v>
      </c>
      <c r="C567" s="52" t="s">
        <v>1123</v>
      </c>
      <c r="D567" s="53">
        <v>631195.0</v>
      </c>
      <c r="E567" s="52" t="s">
        <v>140</v>
      </c>
      <c r="F567" s="52" t="s">
        <v>1376</v>
      </c>
      <c r="G567" s="52" t="s">
        <v>1377</v>
      </c>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81"/>
      <c r="BU567" s="54"/>
      <c r="BV567" s="54"/>
      <c r="BW567" s="54"/>
      <c r="BX567" s="53">
        <v>1.0</v>
      </c>
      <c r="BY567" s="53" t="s">
        <v>123</v>
      </c>
      <c r="BZ567" s="87">
        <v>1.0</v>
      </c>
      <c r="CA567" s="72"/>
      <c r="CB567" s="82"/>
      <c r="CC567" s="31"/>
      <c r="CD567" s="58">
        <v>1.0</v>
      </c>
      <c r="CE567" s="83" t="s">
        <v>185</v>
      </c>
      <c r="CF567" s="60"/>
      <c r="CG567" s="61">
        <v>0.0</v>
      </c>
      <c r="CH567" s="84"/>
      <c r="CI567" s="63">
        <v>0.0</v>
      </c>
      <c r="CJ567" s="63">
        <v>0.0</v>
      </c>
      <c r="CK567" s="64">
        <v>0.0</v>
      </c>
      <c r="CL567" s="63">
        <v>0.0</v>
      </c>
      <c r="CM567" s="65">
        <v>0.0</v>
      </c>
      <c r="CN567" s="63">
        <v>0.0</v>
      </c>
      <c r="CO567" s="66">
        <v>0.0</v>
      </c>
      <c r="CP567" s="67">
        <v>0.0</v>
      </c>
      <c r="CQ567" s="63">
        <v>0.0</v>
      </c>
      <c r="CR567" s="63">
        <v>0.0</v>
      </c>
      <c r="CS567" s="63">
        <v>0.0</v>
      </c>
      <c r="CT567" s="68"/>
      <c r="CU567" s="69"/>
      <c r="CV567" s="70"/>
      <c r="CW567" s="71">
        <v>1.0</v>
      </c>
      <c r="CX567" s="71">
        <v>1.0</v>
      </c>
      <c r="CY567" s="71">
        <v>0.1</v>
      </c>
      <c r="CZ567" s="45"/>
      <c r="DA567" s="43"/>
      <c r="DB567" s="44">
        <v>0.0</v>
      </c>
      <c r="DC567" s="43"/>
      <c r="DD567" s="78"/>
      <c r="DE567" s="43"/>
      <c r="DF567" s="43"/>
      <c r="DG567" s="48" t="s">
        <v>128</v>
      </c>
      <c r="DH567" s="48" t="s">
        <v>131</v>
      </c>
      <c r="DI567" s="48" t="s">
        <v>574</v>
      </c>
      <c r="DJ567" s="49">
        <v>1.0</v>
      </c>
      <c r="DK567" s="48" t="b">
        <v>0</v>
      </c>
      <c r="DL567" s="50" t="s">
        <v>1375</v>
      </c>
      <c r="DM567" s="111"/>
      <c r="DN567" s="111"/>
      <c r="DO567" s="51"/>
      <c r="DP567" s="51"/>
      <c r="DQ567" s="48" t="s">
        <v>576</v>
      </c>
      <c r="DR567" s="51"/>
      <c r="DS567" s="48" t="s">
        <v>134</v>
      </c>
    </row>
    <row r="568">
      <c r="A568" s="23" t="s">
        <v>118</v>
      </c>
      <c r="B568" s="24">
        <v>4.0</v>
      </c>
      <c r="C568" s="23" t="s">
        <v>1123</v>
      </c>
      <c r="D568" s="24">
        <v>641892.0</v>
      </c>
      <c r="E568" s="23" t="s">
        <v>170</v>
      </c>
      <c r="F568" s="23" t="s">
        <v>1378</v>
      </c>
      <c r="G568" s="23" t="s">
        <v>1379</v>
      </c>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7"/>
      <c r="BU568" s="26"/>
      <c r="BV568" s="26"/>
      <c r="BW568" s="26"/>
      <c r="BX568" s="24">
        <v>1.0</v>
      </c>
      <c r="BY568" s="24" t="s">
        <v>123</v>
      </c>
      <c r="BZ568" s="87">
        <v>1.0</v>
      </c>
      <c r="CA568" s="72"/>
      <c r="CB568" s="82"/>
      <c r="CC568" s="31"/>
      <c r="CD568" s="28">
        <v>1.0</v>
      </c>
      <c r="CE568" s="88" t="s">
        <v>185</v>
      </c>
      <c r="CF568" s="33"/>
      <c r="CG568" s="34">
        <v>0.0</v>
      </c>
      <c r="CH568" s="89"/>
      <c r="CI568" s="36">
        <v>0.0</v>
      </c>
      <c r="CJ568" s="36">
        <v>0.0</v>
      </c>
      <c r="CK568" s="37">
        <v>0.0</v>
      </c>
      <c r="CL568" s="36">
        <v>0.0</v>
      </c>
      <c r="CM568" s="38">
        <v>0.0</v>
      </c>
      <c r="CN568" s="36">
        <v>0.0</v>
      </c>
      <c r="CO568" s="39">
        <v>0.0</v>
      </c>
      <c r="CP568" s="40">
        <v>0.0</v>
      </c>
      <c r="CQ568" s="36">
        <v>0.0</v>
      </c>
      <c r="CR568" s="36">
        <v>0.0</v>
      </c>
      <c r="CS568" s="36">
        <v>0.0</v>
      </c>
      <c r="CT568" s="41"/>
      <c r="CU568" s="42"/>
      <c r="CV568" s="43"/>
      <c r="CW568" s="44">
        <v>1.0</v>
      </c>
      <c r="CX568" s="44">
        <v>1.0</v>
      </c>
      <c r="CY568" s="44">
        <v>0.1</v>
      </c>
      <c r="CZ568" s="45"/>
      <c r="DA568" s="43"/>
      <c r="DB568" s="44">
        <v>0.0</v>
      </c>
      <c r="DC568" s="43"/>
      <c r="DD568" s="78"/>
      <c r="DE568" s="43"/>
      <c r="DF568" s="43"/>
      <c r="DG568" s="48" t="s">
        <v>128</v>
      </c>
      <c r="DH568" s="48" t="s">
        <v>131</v>
      </c>
      <c r="DI568" s="48" t="s">
        <v>574</v>
      </c>
      <c r="DJ568" s="49">
        <v>1.0</v>
      </c>
      <c r="DK568" s="48" t="b">
        <v>0</v>
      </c>
      <c r="DL568" s="50" t="s">
        <v>1375</v>
      </c>
      <c r="DM568" s="111"/>
      <c r="DN568" s="111"/>
      <c r="DO568" s="51"/>
      <c r="DP568" s="51"/>
      <c r="DQ568" s="48" t="s">
        <v>576</v>
      </c>
      <c r="DR568" s="51"/>
      <c r="DS568" s="48" t="s">
        <v>134</v>
      </c>
    </row>
    <row r="569">
      <c r="A569" s="52" t="s">
        <v>118</v>
      </c>
      <c r="B569" s="53">
        <v>4.0</v>
      </c>
      <c r="C569" s="52" t="s">
        <v>1123</v>
      </c>
      <c r="D569" s="53">
        <v>648803.0</v>
      </c>
      <c r="E569" s="52" t="s">
        <v>189</v>
      </c>
      <c r="F569" s="52" t="s">
        <v>1380</v>
      </c>
      <c r="G569" s="52" t="s">
        <v>1381</v>
      </c>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81"/>
      <c r="BU569" s="54"/>
      <c r="BV569" s="54"/>
      <c r="BW569" s="54"/>
      <c r="BX569" s="53">
        <v>1.0</v>
      </c>
      <c r="BY569" s="53" t="s">
        <v>123</v>
      </c>
      <c r="BZ569" s="87">
        <v>1.0</v>
      </c>
      <c r="CA569" s="72"/>
      <c r="CB569" s="82"/>
      <c r="CC569" s="31"/>
      <c r="CD569" s="58">
        <v>1.0</v>
      </c>
      <c r="CE569" s="83" t="s">
        <v>185</v>
      </c>
      <c r="CF569" s="60"/>
      <c r="CG569" s="61">
        <v>0.0</v>
      </c>
      <c r="CH569" s="84"/>
      <c r="CI569" s="63">
        <v>0.0</v>
      </c>
      <c r="CJ569" s="63">
        <v>0.0</v>
      </c>
      <c r="CK569" s="64">
        <v>0.0</v>
      </c>
      <c r="CL569" s="63">
        <v>0.0</v>
      </c>
      <c r="CM569" s="65">
        <v>0.0</v>
      </c>
      <c r="CN569" s="63">
        <v>0.0</v>
      </c>
      <c r="CO569" s="66">
        <v>0.0</v>
      </c>
      <c r="CP569" s="67">
        <v>0.0</v>
      </c>
      <c r="CQ569" s="63">
        <v>0.0</v>
      </c>
      <c r="CR569" s="63">
        <v>0.0</v>
      </c>
      <c r="CS569" s="63">
        <v>0.0</v>
      </c>
      <c r="CT569" s="68"/>
      <c r="CU569" s="69"/>
      <c r="CV569" s="70"/>
      <c r="CW569" s="71">
        <v>1.0</v>
      </c>
      <c r="CX569" s="71">
        <v>1.0</v>
      </c>
      <c r="CY569" s="71">
        <v>0.1</v>
      </c>
      <c r="CZ569" s="45"/>
      <c r="DA569" s="43"/>
      <c r="DB569" s="44">
        <v>0.0</v>
      </c>
      <c r="DC569" s="43"/>
      <c r="DD569" s="78"/>
      <c r="DE569" s="43"/>
      <c r="DF569" s="43"/>
      <c r="DG569" s="48" t="s">
        <v>128</v>
      </c>
      <c r="DH569" s="48" t="s">
        <v>131</v>
      </c>
      <c r="DI569" s="48" t="s">
        <v>574</v>
      </c>
      <c r="DJ569" s="49">
        <v>1.0</v>
      </c>
      <c r="DK569" s="48" t="b">
        <v>0</v>
      </c>
      <c r="DL569" s="50" t="s">
        <v>1382</v>
      </c>
      <c r="DM569" s="111"/>
      <c r="DN569" s="111"/>
      <c r="DO569" s="51"/>
      <c r="DP569" s="51"/>
      <c r="DQ569" s="48" t="s">
        <v>576</v>
      </c>
      <c r="DR569" s="51"/>
      <c r="DS569" s="48" t="s">
        <v>134</v>
      </c>
    </row>
    <row r="570">
      <c r="A570" s="23" t="s">
        <v>118</v>
      </c>
      <c r="B570" s="24">
        <v>4.0</v>
      </c>
      <c r="C570" s="23" t="s">
        <v>1123</v>
      </c>
      <c r="D570" s="24">
        <v>588071.0</v>
      </c>
      <c r="E570" s="23" t="s">
        <v>152</v>
      </c>
      <c r="F570" s="23" t="s">
        <v>1383</v>
      </c>
      <c r="G570" s="23" t="s">
        <v>1384</v>
      </c>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7"/>
      <c r="BU570" s="26"/>
      <c r="BV570" s="26"/>
      <c r="BW570" s="26"/>
      <c r="BX570" s="24">
        <v>1.0</v>
      </c>
      <c r="BY570" s="24" t="s">
        <v>123</v>
      </c>
      <c r="BZ570" s="87">
        <v>1.0</v>
      </c>
      <c r="CA570" s="72"/>
      <c r="CB570" s="82"/>
      <c r="CC570" s="31"/>
      <c r="CD570" s="28">
        <v>1.0</v>
      </c>
      <c r="CE570" s="88" t="s">
        <v>185</v>
      </c>
      <c r="CF570" s="33"/>
      <c r="CG570" s="34">
        <v>0.0</v>
      </c>
      <c r="CH570" s="89"/>
      <c r="CI570" s="36">
        <v>0.0</v>
      </c>
      <c r="CJ570" s="36">
        <v>0.0</v>
      </c>
      <c r="CK570" s="37">
        <v>0.0</v>
      </c>
      <c r="CL570" s="36">
        <v>0.0</v>
      </c>
      <c r="CM570" s="38">
        <v>0.0</v>
      </c>
      <c r="CN570" s="36">
        <v>0.0</v>
      </c>
      <c r="CO570" s="39">
        <v>0.0</v>
      </c>
      <c r="CP570" s="40">
        <v>0.0</v>
      </c>
      <c r="CQ570" s="36">
        <v>0.0</v>
      </c>
      <c r="CR570" s="36">
        <v>0.0</v>
      </c>
      <c r="CS570" s="36">
        <v>0.0</v>
      </c>
      <c r="CT570" s="41"/>
      <c r="CU570" s="42"/>
      <c r="CV570" s="43"/>
      <c r="CW570" s="44">
        <v>1.0</v>
      </c>
      <c r="CX570" s="44">
        <v>1.0</v>
      </c>
      <c r="CY570" s="44">
        <v>0.1</v>
      </c>
      <c r="CZ570" s="45"/>
      <c r="DA570" s="43"/>
      <c r="DB570" s="44">
        <v>0.0</v>
      </c>
      <c r="DC570" s="43"/>
      <c r="DD570" s="78"/>
      <c r="DE570" s="43"/>
      <c r="DF570" s="43"/>
      <c r="DG570" s="48" t="s">
        <v>128</v>
      </c>
      <c r="DH570" s="48" t="s">
        <v>131</v>
      </c>
      <c r="DI570" s="48" t="s">
        <v>574</v>
      </c>
      <c r="DJ570" s="49">
        <v>1.0</v>
      </c>
      <c r="DK570" s="48" t="b">
        <v>0</v>
      </c>
      <c r="DL570" s="50" t="s">
        <v>1382</v>
      </c>
      <c r="DM570" s="111"/>
      <c r="DN570" s="111"/>
      <c r="DO570" s="51"/>
      <c r="DP570" s="51"/>
      <c r="DQ570" s="48" t="s">
        <v>576</v>
      </c>
      <c r="DR570" s="51"/>
      <c r="DS570" s="48" t="s">
        <v>134</v>
      </c>
    </row>
    <row r="571">
      <c r="A571" s="52" t="s">
        <v>118</v>
      </c>
      <c r="B571" s="53">
        <v>4.0</v>
      </c>
      <c r="C571" s="52" t="s">
        <v>1123</v>
      </c>
      <c r="D571" s="53">
        <v>536832.0</v>
      </c>
      <c r="E571" s="52" t="s">
        <v>158</v>
      </c>
      <c r="F571" s="52" t="s">
        <v>1385</v>
      </c>
      <c r="G571" s="52" t="s">
        <v>1386</v>
      </c>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81"/>
      <c r="BU571" s="54"/>
      <c r="BV571" s="54"/>
      <c r="BW571" s="54"/>
      <c r="BX571" s="53">
        <v>1.0</v>
      </c>
      <c r="BY571" s="53" t="s">
        <v>123</v>
      </c>
      <c r="BZ571" s="87">
        <v>1.0</v>
      </c>
      <c r="CA571" s="72"/>
      <c r="CB571" s="82"/>
      <c r="CC571" s="31"/>
      <c r="CD571" s="58">
        <v>1.0</v>
      </c>
      <c r="CE571" s="83" t="s">
        <v>185</v>
      </c>
      <c r="CF571" s="60"/>
      <c r="CG571" s="61">
        <v>0.0</v>
      </c>
      <c r="CH571" s="84"/>
      <c r="CI571" s="63">
        <v>0.0</v>
      </c>
      <c r="CJ571" s="63">
        <v>0.0</v>
      </c>
      <c r="CK571" s="64">
        <v>0.0</v>
      </c>
      <c r="CL571" s="63">
        <v>0.0</v>
      </c>
      <c r="CM571" s="65">
        <v>0.0</v>
      </c>
      <c r="CN571" s="63">
        <v>0.0</v>
      </c>
      <c r="CO571" s="66">
        <v>0.0</v>
      </c>
      <c r="CP571" s="67">
        <v>0.0</v>
      </c>
      <c r="CQ571" s="63">
        <v>0.0</v>
      </c>
      <c r="CR571" s="63">
        <v>0.0</v>
      </c>
      <c r="CS571" s="63">
        <v>0.0</v>
      </c>
      <c r="CT571" s="68"/>
      <c r="CU571" s="69"/>
      <c r="CV571" s="70"/>
      <c r="CW571" s="71">
        <v>1.0</v>
      </c>
      <c r="CX571" s="71">
        <v>1.0</v>
      </c>
      <c r="CY571" s="71">
        <v>0.1</v>
      </c>
      <c r="CZ571" s="45"/>
      <c r="DA571" s="43"/>
      <c r="DB571" s="44">
        <v>0.0</v>
      </c>
      <c r="DC571" s="43"/>
      <c r="DD571" s="78"/>
      <c r="DE571" s="43"/>
      <c r="DF571" s="43"/>
      <c r="DG571" s="48" t="s">
        <v>128</v>
      </c>
      <c r="DH571" s="48" t="s">
        <v>131</v>
      </c>
      <c r="DI571" s="48" t="s">
        <v>574</v>
      </c>
      <c r="DJ571" s="49">
        <v>1.0</v>
      </c>
      <c r="DK571" s="48" t="b">
        <v>0</v>
      </c>
      <c r="DL571" s="50" t="s">
        <v>1382</v>
      </c>
      <c r="DM571" s="111"/>
      <c r="DN571" s="111"/>
      <c r="DO571" s="51"/>
      <c r="DP571" s="51"/>
      <c r="DQ571" s="48" t="s">
        <v>576</v>
      </c>
      <c r="DR571" s="51"/>
      <c r="DS571" s="48" t="s">
        <v>134</v>
      </c>
    </row>
    <row r="572">
      <c r="A572" s="23" t="s">
        <v>118</v>
      </c>
      <c r="B572" s="24">
        <v>4.0</v>
      </c>
      <c r="C572" s="23" t="s">
        <v>1123</v>
      </c>
      <c r="D572" s="24">
        <v>536832.0</v>
      </c>
      <c r="E572" s="23" t="s">
        <v>158</v>
      </c>
      <c r="F572" s="23" t="s">
        <v>1387</v>
      </c>
      <c r="G572" s="23" t="s">
        <v>1388</v>
      </c>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7"/>
      <c r="BU572" s="26"/>
      <c r="BV572" s="26"/>
      <c r="BW572" s="26"/>
      <c r="BX572" s="24">
        <v>1.0</v>
      </c>
      <c r="BY572" s="24" t="s">
        <v>123</v>
      </c>
      <c r="BZ572" s="87">
        <v>1.0</v>
      </c>
      <c r="CA572" s="72"/>
      <c r="CB572" s="82"/>
      <c r="CC572" s="31"/>
      <c r="CD572" s="28">
        <v>1.0</v>
      </c>
      <c r="CE572" s="88" t="s">
        <v>185</v>
      </c>
      <c r="CF572" s="33"/>
      <c r="CG572" s="34">
        <v>0.0</v>
      </c>
      <c r="CH572" s="89"/>
      <c r="CI572" s="36">
        <v>0.0</v>
      </c>
      <c r="CJ572" s="36">
        <v>0.0</v>
      </c>
      <c r="CK572" s="37">
        <v>0.0</v>
      </c>
      <c r="CL572" s="36">
        <v>0.0</v>
      </c>
      <c r="CM572" s="38">
        <v>0.0</v>
      </c>
      <c r="CN572" s="36">
        <v>0.0</v>
      </c>
      <c r="CO572" s="39">
        <v>0.0</v>
      </c>
      <c r="CP572" s="40">
        <v>0.0</v>
      </c>
      <c r="CQ572" s="36">
        <v>0.0</v>
      </c>
      <c r="CR572" s="36">
        <v>0.0</v>
      </c>
      <c r="CS572" s="36">
        <v>0.0</v>
      </c>
      <c r="CT572" s="41"/>
      <c r="CU572" s="42"/>
      <c r="CV572" s="43"/>
      <c r="CW572" s="44">
        <v>1.0</v>
      </c>
      <c r="CX572" s="44">
        <v>1.0</v>
      </c>
      <c r="CY572" s="44">
        <v>0.1</v>
      </c>
      <c r="CZ572" s="45"/>
      <c r="DA572" s="43"/>
      <c r="DB572" s="44">
        <v>0.0</v>
      </c>
      <c r="DC572" s="43"/>
      <c r="DD572" s="78"/>
      <c r="DE572" s="43"/>
      <c r="DF572" s="43"/>
      <c r="DG572" s="48" t="s">
        <v>128</v>
      </c>
      <c r="DH572" s="48" t="s">
        <v>131</v>
      </c>
      <c r="DI572" s="48" t="s">
        <v>574</v>
      </c>
      <c r="DJ572" s="49">
        <v>1.0</v>
      </c>
      <c r="DK572" s="48" t="b">
        <v>0</v>
      </c>
      <c r="DL572" s="111"/>
      <c r="DM572" s="111"/>
      <c r="DN572" s="111"/>
      <c r="DO572" s="51"/>
      <c r="DP572" s="51"/>
      <c r="DQ572" s="48" t="s">
        <v>576</v>
      </c>
      <c r="DR572" s="51"/>
      <c r="DS572" s="48" t="s">
        <v>134</v>
      </c>
    </row>
    <row r="573">
      <c r="A573" s="52" t="s">
        <v>118</v>
      </c>
      <c r="B573" s="53">
        <v>4.0</v>
      </c>
      <c r="C573" s="52" t="s">
        <v>1123</v>
      </c>
      <c r="D573" s="53">
        <v>648803.0</v>
      </c>
      <c r="E573" s="52" t="s">
        <v>189</v>
      </c>
      <c r="F573" s="52" t="s">
        <v>1389</v>
      </c>
      <c r="G573" s="52" t="s">
        <v>1390</v>
      </c>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81"/>
      <c r="BU573" s="54"/>
      <c r="BV573" s="54"/>
      <c r="BW573" s="54"/>
      <c r="BX573" s="53">
        <v>1.0</v>
      </c>
      <c r="BY573" s="53" t="s">
        <v>123</v>
      </c>
      <c r="BZ573" s="87">
        <v>1.0</v>
      </c>
      <c r="CA573" s="72"/>
      <c r="CB573" s="82"/>
      <c r="CC573" s="31"/>
      <c r="CD573" s="58">
        <v>1.0</v>
      </c>
      <c r="CE573" s="83" t="s">
        <v>185</v>
      </c>
      <c r="CF573" s="60"/>
      <c r="CG573" s="61">
        <v>0.0</v>
      </c>
      <c r="CH573" s="84"/>
      <c r="CI573" s="63">
        <v>0.0</v>
      </c>
      <c r="CJ573" s="63">
        <v>0.0</v>
      </c>
      <c r="CK573" s="64">
        <v>0.0</v>
      </c>
      <c r="CL573" s="63">
        <v>0.0</v>
      </c>
      <c r="CM573" s="65">
        <v>0.0</v>
      </c>
      <c r="CN573" s="63">
        <v>0.0</v>
      </c>
      <c r="CO573" s="66">
        <v>0.0</v>
      </c>
      <c r="CP573" s="67">
        <v>0.0</v>
      </c>
      <c r="CQ573" s="63">
        <v>0.0</v>
      </c>
      <c r="CR573" s="63">
        <v>0.0</v>
      </c>
      <c r="CS573" s="63">
        <v>0.0</v>
      </c>
      <c r="CT573" s="68"/>
      <c r="CU573" s="69"/>
      <c r="CV573" s="70"/>
      <c r="CW573" s="71">
        <v>1.0</v>
      </c>
      <c r="CX573" s="71">
        <v>1.0</v>
      </c>
      <c r="CY573" s="71">
        <v>0.1</v>
      </c>
      <c r="CZ573" s="45"/>
      <c r="DA573" s="43"/>
      <c r="DB573" s="44">
        <v>0.0</v>
      </c>
      <c r="DC573" s="43"/>
      <c r="DD573" s="78"/>
      <c r="DE573" s="43"/>
      <c r="DF573" s="43"/>
      <c r="DG573" s="48" t="s">
        <v>128</v>
      </c>
      <c r="DH573" s="48" t="s">
        <v>131</v>
      </c>
      <c r="DI573" s="48" t="s">
        <v>574</v>
      </c>
      <c r="DJ573" s="49">
        <v>1.0</v>
      </c>
      <c r="DK573" s="48" t="b">
        <v>0</v>
      </c>
      <c r="DL573" s="50" t="s">
        <v>1375</v>
      </c>
      <c r="DM573" s="111"/>
      <c r="DN573" s="111"/>
      <c r="DO573" s="51"/>
      <c r="DP573" s="51"/>
      <c r="DQ573" s="48" t="s">
        <v>576</v>
      </c>
      <c r="DR573" s="51"/>
      <c r="DS573" s="48" t="s">
        <v>134</v>
      </c>
    </row>
    <row r="574">
      <c r="A574" s="23" t="s">
        <v>118</v>
      </c>
      <c r="B574" s="24">
        <v>4.0</v>
      </c>
      <c r="C574" s="23" t="s">
        <v>1123</v>
      </c>
      <c r="D574" s="24">
        <v>626041.0</v>
      </c>
      <c r="E574" s="23" t="s">
        <v>135</v>
      </c>
      <c r="F574" s="23" t="s">
        <v>1391</v>
      </c>
      <c r="G574" s="23" t="s">
        <v>1392</v>
      </c>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7"/>
      <c r="BU574" s="26"/>
      <c r="BV574" s="26"/>
      <c r="BW574" s="26"/>
      <c r="BX574" s="24">
        <v>1.0</v>
      </c>
      <c r="BY574" s="24" t="s">
        <v>123</v>
      </c>
      <c r="BZ574" s="87">
        <v>1.0</v>
      </c>
      <c r="CA574" s="72"/>
      <c r="CB574" s="82"/>
      <c r="CC574" s="31"/>
      <c r="CD574" s="28">
        <v>1.0</v>
      </c>
      <c r="CE574" s="88" t="s">
        <v>185</v>
      </c>
      <c r="CF574" s="33"/>
      <c r="CG574" s="34">
        <v>0.0</v>
      </c>
      <c r="CH574" s="89"/>
      <c r="CI574" s="36">
        <v>0.0</v>
      </c>
      <c r="CJ574" s="36">
        <v>0.0</v>
      </c>
      <c r="CK574" s="37">
        <v>0.0</v>
      </c>
      <c r="CL574" s="36">
        <v>0.0</v>
      </c>
      <c r="CM574" s="38">
        <v>0.0</v>
      </c>
      <c r="CN574" s="36">
        <v>0.0</v>
      </c>
      <c r="CO574" s="39">
        <v>0.0</v>
      </c>
      <c r="CP574" s="40">
        <v>0.0</v>
      </c>
      <c r="CQ574" s="36">
        <v>0.0</v>
      </c>
      <c r="CR574" s="36">
        <v>0.0</v>
      </c>
      <c r="CS574" s="36">
        <v>0.0</v>
      </c>
      <c r="CT574" s="41"/>
      <c r="CU574" s="42"/>
      <c r="CV574" s="43"/>
      <c r="CW574" s="44">
        <v>1.0</v>
      </c>
      <c r="CX574" s="44">
        <v>1.0</v>
      </c>
      <c r="CY574" s="44">
        <v>0.1</v>
      </c>
      <c r="CZ574" s="45"/>
      <c r="DA574" s="43"/>
      <c r="DB574" s="44">
        <v>0.0</v>
      </c>
      <c r="DC574" s="43"/>
      <c r="DD574" s="78"/>
      <c r="DE574" s="43"/>
      <c r="DF574" s="43"/>
      <c r="DG574" s="48" t="s">
        <v>128</v>
      </c>
      <c r="DH574" s="48" t="s">
        <v>131</v>
      </c>
      <c r="DI574" s="48" t="s">
        <v>574</v>
      </c>
      <c r="DJ574" s="49">
        <v>1.0</v>
      </c>
      <c r="DK574" s="48" t="b">
        <v>0</v>
      </c>
      <c r="DL574" s="111"/>
      <c r="DM574" s="111"/>
      <c r="DN574" s="111"/>
      <c r="DO574" s="51"/>
      <c r="DP574" s="51"/>
      <c r="DQ574" s="48" t="s">
        <v>576</v>
      </c>
      <c r="DR574" s="51"/>
      <c r="DS574" s="48" t="s">
        <v>134</v>
      </c>
    </row>
    <row r="575">
      <c r="A575" s="52" t="s">
        <v>118</v>
      </c>
      <c r="B575" s="53">
        <v>81.0</v>
      </c>
      <c r="C575" s="52" t="s">
        <v>1123</v>
      </c>
      <c r="D575" s="53">
        <v>640888.0</v>
      </c>
      <c r="E575" s="52" t="s">
        <v>161</v>
      </c>
      <c r="F575" s="52" t="s">
        <v>1393</v>
      </c>
      <c r="G575" s="52" t="s">
        <v>1394</v>
      </c>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81"/>
      <c r="BU575" s="54"/>
      <c r="BV575" s="54"/>
      <c r="BW575" s="54"/>
      <c r="BX575" s="53">
        <v>1.0</v>
      </c>
      <c r="BY575" s="53" t="s">
        <v>123</v>
      </c>
      <c r="BZ575" s="87">
        <v>1.0</v>
      </c>
      <c r="CA575" s="72"/>
      <c r="CB575" s="82"/>
      <c r="CC575" s="31"/>
      <c r="CD575" s="58">
        <v>1.0</v>
      </c>
      <c r="CE575" s="83" t="s">
        <v>185</v>
      </c>
      <c r="CF575" s="60"/>
      <c r="CG575" s="61">
        <v>0.0</v>
      </c>
      <c r="CH575" s="84"/>
      <c r="CI575" s="63">
        <v>0.0</v>
      </c>
      <c r="CJ575" s="63">
        <v>0.0</v>
      </c>
      <c r="CK575" s="64">
        <v>0.0</v>
      </c>
      <c r="CL575" s="63">
        <v>0.0</v>
      </c>
      <c r="CM575" s="65">
        <v>0.0</v>
      </c>
      <c r="CN575" s="63">
        <v>0.0</v>
      </c>
      <c r="CO575" s="66">
        <v>0.0</v>
      </c>
      <c r="CP575" s="67">
        <v>0.0</v>
      </c>
      <c r="CQ575" s="63">
        <v>0.0</v>
      </c>
      <c r="CR575" s="63">
        <v>0.0</v>
      </c>
      <c r="CS575" s="63">
        <v>0.0</v>
      </c>
      <c r="CT575" s="68"/>
      <c r="CU575" s="69"/>
      <c r="CV575" s="70"/>
      <c r="CW575" s="71">
        <v>1.0</v>
      </c>
      <c r="CX575" s="71">
        <v>1.0</v>
      </c>
      <c r="CY575" s="71">
        <v>0.1</v>
      </c>
      <c r="CZ575" s="45"/>
      <c r="DA575" s="43"/>
      <c r="DB575" s="44">
        <v>0.0</v>
      </c>
      <c r="DC575" s="43"/>
      <c r="DD575" s="78"/>
      <c r="DE575" s="43"/>
      <c r="DF575" s="43"/>
      <c r="DG575" s="48" t="s">
        <v>128</v>
      </c>
      <c r="DH575" s="48" t="s">
        <v>131</v>
      </c>
      <c r="DI575" s="48" t="s">
        <v>574</v>
      </c>
      <c r="DJ575" s="49">
        <v>1.0</v>
      </c>
      <c r="DK575" s="48" t="b">
        <v>0</v>
      </c>
      <c r="DL575" s="111"/>
      <c r="DM575" s="111"/>
      <c r="DN575" s="111"/>
      <c r="DO575" s="51"/>
      <c r="DP575" s="51"/>
      <c r="DQ575" s="48" t="s">
        <v>576</v>
      </c>
      <c r="DR575" s="51"/>
      <c r="DS575" s="48" t="s">
        <v>134</v>
      </c>
    </row>
    <row r="576">
      <c r="A576" s="23" t="s">
        <v>118</v>
      </c>
      <c r="B576" s="24">
        <v>4.0</v>
      </c>
      <c r="C576" s="23" t="s">
        <v>1123</v>
      </c>
      <c r="D576" s="24">
        <v>536832.0</v>
      </c>
      <c r="E576" s="23" t="s">
        <v>158</v>
      </c>
      <c r="F576" s="23" t="s">
        <v>1395</v>
      </c>
      <c r="G576" s="23" t="s">
        <v>1396</v>
      </c>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7"/>
      <c r="BU576" s="26"/>
      <c r="BV576" s="26"/>
      <c r="BW576" s="26"/>
      <c r="BX576" s="24">
        <v>1.0</v>
      </c>
      <c r="BY576" s="24" t="s">
        <v>123</v>
      </c>
      <c r="BZ576" s="87">
        <v>1.0</v>
      </c>
      <c r="CA576" s="72"/>
      <c r="CB576" s="82"/>
      <c r="CC576" s="31"/>
      <c r="CD576" s="28">
        <v>1.0</v>
      </c>
      <c r="CE576" s="88" t="s">
        <v>185</v>
      </c>
      <c r="CF576" s="33"/>
      <c r="CG576" s="34">
        <v>0.0</v>
      </c>
      <c r="CH576" s="89"/>
      <c r="CI576" s="36">
        <v>0.0</v>
      </c>
      <c r="CJ576" s="36">
        <v>0.0</v>
      </c>
      <c r="CK576" s="37">
        <v>0.0</v>
      </c>
      <c r="CL576" s="36">
        <v>0.0</v>
      </c>
      <c r="CM576" s="38">
        <v>0.0</v>
      </c>
      <c r="CN576" s="36">
        <v>0.0</v>
      </c>
      <c r="CO576" s="39">
        <v>0.0</v>
      </c>
      <c r="CP576" s="40">
        <v>0.0</v>
      </c>
      <c r="CQ576" s="36">
        <v>0.0</v>
      </c>
      <c r="CR576" s="36">
        <v>0.0</v>
      </c>
      <c r="CS576" s="36">
        <v>0.0</v>
      </c>
      <c r="CT576" s="41"/>
      <c r="CU576" s="42"/>
      <c r="CV576" s="43"/>
      <c r="CW576" s="44">
        <v>1.0</v>
      </c>
      <c r="CX576" s="44">
        <v>1.0</v>
      </c>
      <c r="CY576" s="44">
        <v>0.1</v>
      </c>
      <c r="CZ576" s="45"/>
      <c r="DA576" s="43"/>
      <c r="DB576" s="44">
        <v>0.0</v>
      </c>
      <c r="DC576" s="43"/>
      <c r="DD576" s="78"/>
      <c r="DE576" s="43"/>
      <c r="DF576" s="43"/>
      <c r="DG576" s="48" t="s">
        <v>128</v>
      </c>
      <c r="DH576" s="48" t="s">
        <v>131</v>
      </c>
      <c r="DI576" s="48" t="s">
        <v>574</v>
      </c>
      <c r="DJ576" s="49">
        <v>1.0</v>
      </c>
      <c r="DK576" s="48" t="b">
        <v>0</v>
      </c>
      <c r="DL576" s="111"/>
      <c r="DM576" s="111"/>
      <c r="DN576" s="111"/>
      <c r="DO576" s="51"/>
      <c r="DP576" s="51"/>
      <c r="DQ576" s="48" t="s">
        <v>576</v>
      </c>
      <c r="DR576" s="51"/>
      <c r="DS576" s="48" t="s">
        <v>134</v>
      </c>
    </row>
    <row r="577">
      <c r="A577" s="52" t="s">
        <v>118</v>
      </c>
      <c r="B577" s="53">
        <v>4.0</v>
      </c>
      <c r="C577" s="52" t="s">
        <v>1123</v>
      </c>
      <c r="D577" s="53">
        <v>640888.0</v>
      </c>
      <c r="E577" s="52" t="s">
        <v>161</v>
      </c>
      <c r="F577" s="52" t="s">
        <v>1397</v>
      </c>
      <c r="G577" s="52" t="s">
        <v>1398</v>
      </c>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c r="BS577" s="54"/>
      <c r="BT577" s="81"/>
      <c r="BU577" s="54"/>
      <c r="BV577" s="54"/>
      <c r="BW577" s="54"/>
      <c r="BX577" s="53">
        <v>1.0</v>
      </c>
      <c r="BY577" s="53" t="s">
        <v>123</v>
      </c>
      <c r="BZ577" s="87">
        <v>1.0</v>
      </c>
      <c r="CA577" s="72"/>
      <c r="CB577" s="82"/>
      <c r="CC577" s="31"/>
      <c r="CD577" s="58">
        <v>1.0</v>
      </c>
      <c r="CE577" s="83" t="s">
        <v>185</v>
      </c>
      <c r="CF577" s="60"/>
      <c r="CG577" s="61">
        <v>0.0</v>
      </c>
      <c r="CH577" s="84"/>
      <c r="CI577" s="63">
        <v>0.0</v>
      </c>
      <c r="CJ577" s="63">
        <v>0.0</v>
      </c>
      <c r="CK577" s="64">
        <v>0.0</v>
      </c>
      <c r="CL577" s="63">
        <v>0.0</v>
      </c>
      <c r="CM577" s="65">
        <v>0.0</v>
      </c>
      <c r="CN577" s="63">
        <v>0.0</v>
      </c>
      <c r="CO577" s="66">
        <v>0.0</v>
      </c>
      <c r="CP577" s="67">
        <v>0.0</v>
      </c>
      <c r="CQ577" s="63">
        <v>0.0</v>
      </c>
      <c r="CR577" s="63">
        <v>0.0</v>
      </c>
      <c r="CS577" s="63">
        <v>0.0</v>
      </c>
      <c r="CT577" s="68"/>
      <c r="CU577" s="69"/>
      <c r="CV577" s="70"/>
      <c r="CW577" s="71">
        <v>1.0</v>
      </c>
      <c r="CX577" s="71">
        <v>1.0</v>
      </c>
      <c r="CY577" s="71">
        <v>0.1</v>
      </c>
      <c r="CZ577" s="45"/>
      <c r="DA577" s="43"/>
      <c r="DB577" s="44">
        <v>0.0</v>
      </c>
      <c r="DC577" s="43"/>
      <c r="DD577" s="78"/>
      <c r="DE577" s="43"/>
      <c r="DF577" s="43"/>
      <c r="DG577" s="48" t="s">
        <v>128</v>
      </c>
      <c r="DH577" s="48" t="s">
        <v>131</v>
      </c>
      <c r="DI577" s="48" t="s">
        <v>574</v>
      </c>
      <c r="DJ577" s="49">
        <v>1.0</v>
      </c>
      <c r="DK577" s="48" t="b">
        <v>0</v>
      </c>
      <c r="DL577" s="50" t="s">
        <v>1382</v>
      </c>
      <c r="DM577" s="111"/>
      <c r="DN577" s="111"/>
      <c r="DO577" s="51"/>
      <c r="DP577" s="51"/>
      <c r="DQ577" s="48" t="s">
        <v>576</v>
      </c>
      <c r="DR577" s="51"/>
      <c r="DS577" s="48" t="s">
        <v>134</v>
      </c>
    </row>
    <row r="578">
      <c r="A578" s="23" t="s">
        <v>118</v>
      </c>
      <c r="B578" s="24">
        <v>4.0</v>
      </c>
      <c r="C578" s="23" t="s">
        <v>1123</v>
      </c>
      <c r="D578" s="24">
        <v>626041.0</v>
      </c>
      <c r="E578" s="23" t="s">
        <v>135</v>
      </c>
      <c r="F578" s="23" t="s">
        <v>1399</v>
      </c>
      <c r="G578" s="23" t="s">
        <v>1400</v>
      </c>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7"/>
      <c r="BU578" s="26"/>
      <c r="BV578" s="26"/>
      <c r="BW578" s="26"/>
      <c r="BX578" s="24">
        <v>1.0</v>
      </c>
      <c r="BY578" s="24" t="s">
        <v>123</v>
      </c>
      <c r="BZ578" s="87">
        <v>1.0</v>
      </c>
      <c r="CA578" s="72"/>
      <c r="CB578" s="82"/>
      <c r="CC578" s="31"/>
      <c r="CD578" s="28">
        <v>1.0</v>
      </c>
      <c r="CE578" s="88" t="s">
        <v>185</v>
      </c>
      <c r="CF578" s="33"/>
      <c r="CG578" s="34">
        <v>0.0</v>
      </c>
      <c r="CH578" s="89"/>
      <c r="CI578" s="36">
        <v>0.0</v>
      </c>
      <c r="CJ578" s="36">
        <v>0.0</v>
      </c>
      <c r="CK578" s="37">
        <v>0.0</v>
      </c>
      <c r="CL578" s="36">
        <v>0.0</v>
      </c>
      <c r="CM578" s="38">
        <v>0.0</v>
      </c>
      <c r="CN578" s="36">
        <v>0.0</v>
      </c>
      <c r="CO578" s="39">
        <v>0.0</v>
      </c>
      <c r="CP578" s="40">
        <v>0.0</v>
      </c>
      <c r="CQ578" s="36">
        <v>0.0</v>
      </c>
      <c r="CR578" s="36">
        <v>0.0</v>
      </c>
      <c r="CS578" s="36">
        <v>0.0</v>
      </c>
      <c r="CT578" s="41"/>
      <c r="CU578" s="42"/>
      <c r="CV578" s="43"/>
      <c r="CW578" s="44">
        <v>1.0</v>
      </c>
      <c r="CX578" s="44">
        <v>1.0</v>
      </c>
      <c r="CY578" s="44">
        <v>0.1</v>
      </c>
      <c r="CZ578" s="45"/>
      <c r="DA578" s="43"/>
      <c r="DB578" s="44">
        <v>0.0</v>
      </c>
      <c r="DC578" s="43"/>
      <c r="DD578" s="78"/>
      <c r="DE578" s="43"/>
      <c r="DF578" s="43"/>
      <c r="DG578" s="48" t="s">
        <v>128</v>
      </c>
      <c r="DH578" s="48" t="s">
        <v>131</v>
      </c>
      <c r="DI578" s="48" t="s">
        <v>574</v>
      </c>
      <c r="DJ578" s="49">
        <v>1.0</v>
      </c>
      <c r="DK578" s="48" t="b">
        <v>0</v>
      </c>
      <c r="DL578" s="50" t="s">
        <v>1401</v>
      </c>
      <c r="DM578" s="111"/>
      <c r="DN578" s="111"/>
      <c r="DO578" s="51"/>
      <c r="DP578" s="51"/>
      <c r="DQ578" s="48" t="s">
        <v>576</v>
      </c>
      <c r="DR578" s="51"/>
      <c r="DS578" s="48" t="s">
        <v>134</v>
      </c>
    </row>
    <row r="579">
      <c r="A579" s="52" t="s">
        <v>118</v>
      </c>
      <c r="B579" s="53">
        <v>4.0</v>
      </c>
      <c r="C579" s="52" t="s">
        <v>1123</v>
      </c>
      <c r="D579" s="53">
        <v>536832.0</v>
      </c>
      <c r="E579" s="52" t="s">
        <v>158</v>
      </c>
      <c r="F579" s="52" t="s">
        <v>1402</v>
      </c>
      <c r="G579" s="52" t="s">
        <v>1403</v>
      </c>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81"/>
      <c r="BU579" s="54"/>
      <c r="BV579" s="54"/>
      <c r="BW579" s="54"/>
      <c r="BX579" s="53">
        <v>1.0</v>
      </c>
      <c r="BY579" s="53" t="s">
        <v>123</v>
      </c>
      <c r="BZ579" s="87">
        <v>1.0</v>
      </c>
      <c r="CA579" s="72"/>
      <c r="CB579" s="82"/>
      <c r="CC579" s="31"/>
      <c r="CD579" s="58">
        <v>1.0</v>
      </c>
      <c r="CE579" s="83" t="s">
        <v>185</v>
      </c>
      <c r="CF579" s="60"/>
      <c r="CG579" s="61">
        <v>0.0</v>
      </c>
      <c r="CH579" s="84"/>
      <c r="CI579" s="63">
        <v>0.0</v>
      </c>
      <c r="CJ579" s="63">
        <v>0.0</v>
      </c>
      <c r="CK579" s="64">
        <v>0.0</v>
      </c>
      <c r="CL579" s="63">
        <v>0.0</v>
      </c>
      <c r="CM579" s="65">
        <v>0.0</v>
      </c>
      <c r="CN579" s="63">
        <v>0.0</v>
      </c>
      <c r="CO579" s="66">
        <v>0.0</v>
      </c>
      <c r="CP579" s="67">
        <v>0.0</v>
      </c>
      <c r="CQ579" s="63">
        <v>0.0</v>
      </c>
      <c r="CR579" s="63">
        <v>0.0</v>
      </c>
      <c r="CS579" s="63">
        <v>0.0</v>
      </c>
      <c r="CT579" s="68"/>
      <c r="CU579" s="69"/>
      <c r="CV579" s="70"/>
      <c r="CW579" s="71">
        <v>1.0</v>
      </c>
      <c r="CX579" s="71">
        <v>1.0</v>
      </c>
      <c r="CY579" s="71">
        <v>0.1</v>
      </c>
      <c r="CZ579" s="45"/>
      <c r="DA579" s="43"/>
      <c r="DB579" s="44">
        <v>0.0</v>
      </c>
      <c r="DC579" s="43"/>
      <c r="DD579" s="78"/>
      <c r="DE579" s="43"/>
      <c r="DF579" s="43"/>
      <c r="DG579" s="48" t="s">
        <v>128</v>
      </c>
      <c r="DH579" s="48" t="s">
        <v>131</v>
      </c>
      <c r="DI579" s="48" t="s">
        <v>574</v>
      </c>
      <c r="DJ579" s="49">
        <v>1.0</v>
      </c>
      <c r="DK579" s="48" t="b">
        <v>0</v>
      </c>
      <c r="DL579" s="50" t="s">
        <v>1382</v>
      </c>
      <c r="DM579" s="111"/>
      <c r="DN579" s="111"/>
      <c r="DO579" s="51"/>
      <c r="DP579" s="51"/>
      <c r="DQ579" s="48" t="s">
        <v>576</v>
      </c>
      <c r="DR579" s="51"/>
      <c r="DS579" s="48" t="s">
        <v>134</v>
      </c>
    </row>
    <row r="580">
      <c r="A580" s="23" t="s">
        <v>118</v>
      </c>
      <c r="B580" s="24">
        <v>4.0</v>
      </c>
      <c r="C580" s="23" t="s">
        <v>1123</v>
      </c>
      <c r="D580" s="24">
        <v>641645.0</v>
      </c>
      <c r="E580" s="23" t="s">
        <v>145</v>
      </c>
      <c r="F580" s="23" t="s">
        <v>1404</v>
      </c>
      <c r="G580" s="23" t="s">
        <v>1405</v>
      </c>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7"/>
      <c r="BU580" s="26"/>
      <c r="BV580" s="26"/>
      <c r="BW580" s="26"/>
      <c r="BX580" s="24">
        <v>1.0</v>
      </c>
      <c r="BY580" s="24" t="s">
        <v>123</v>
      </c>
      <c r="BZ580" s="87">
        <v>1.0</v>
      </c>
      <c r="CA580" s="72"/>
      <c r="CB580" s="82"/>
      <c r="CC580" s="31"/>
      <c r="CD580" s="28">
        <v>1.0</v>
      </c>
      <c r="CE580" s="88" t="s">
        <v>185</v>
      </c>
      <c r="CF580" s="33"/>
      <c r="CG580" s="34">
        <v>0.0</v>
      </c>
      <c r="CH580" s="89"/>
      <c r="CI580" s="36">
        <v>0.0</v>
      </c>
      <c r="CJ580" s="36">
        <v>0.0</v>
      </c>
      <c r="CK580" s="37">
        <v>0.0</v>
      </c>
      <c r="CL580" s="36">
        <v>0.0</v>
      </c>
      <c r="CM580" s="38">
        <v>0.0</v>
      </c>
      <c r="CN580" s="36">
        <v>0.0</v>
      </c>
      <c r="CO580" s="39">
        <v>0.0</v>
      </c>
      <c r="CP580" s="40">
        <v>0.0</v>
      </c>
      <c r="CQ580" s="36">
        <v>0.0</v>
      </c>
      <c r="CR580" s="36">
        <v>0.0</v>
      </c>
      <c r="CS580" s="36">
        <v>0.0</v>
      </c>
      <c r="CT580" s="41"/>
      <c r="CU580" s="42"/>
      <c r="CV580" s="43"/>
      <c r="CW580" s="44">
        <v>1.0</v>
      </c>
      <c r="CX580" s="44">
        <v>1.0</v>
      </c>
      <c r="CY580" s="44">
        <v>0.1</v>
      </c>
      <c r="CZ580" s="45"/>
      <c r="DA580" s="43"/>
      <c r="DB580" s="44">
        <v>0.0</v>
      </c>
      <c r="DC580" s="43"/>
      <c r="DD580" s="78"/>
      <c r="DE580" s="43"/>
      <c r="DF580" s="43"/>
      <c r="DG580" s="48" t="s">
        <v>128</v>
      </c>
      <c r="DH580" s="48" t="s">
        <v>131</v>
      </c>
      <c r="DI580" s="48" t="s">
        <v>574</v>
      </c>
      <c r="DJ580" s="49">
        <v>1.0</v>
      </c>
      <c r="DK580" s="48" t="b">
        <v>0</v>
      </c>
      <c r="DL580" s="50" t="s">
        <v>1375</v>
      </c>
      <c r="DM580" s="111"/>
      <c r="DN580" s="111"/>
      <c r="DO580" s="51"/>
      <c r="DP580" s="51"/>
      <c r="DQ580" s="48" t="s">
        <v>576</v>
      </c>
      <c r="DR580" s="51"/>
      <c r="DS580" s="48" t="s">
        <v>134</v>
      </c>
    </row>
    <row r="581">
      <c r="A581" s="52" t="s">
        <v>118</v>
      </c>
      <c r="B581" s="53">
        <v>4.0</v>
      </c>
      <c r="C581" s="52" t="s">
        <v>1123</v>
      </c>
      <c r="D581" s="53">
        <v>627274.0</v>
      </c>
      <c r="E581" s="52" t="s">
        <v>173</v>
      </c>
      <c r="F581" s="52" t="s">
        <v>1406</v>
      </c>
      <c r="G581" s="52" t="s">
        <v>1407</v>
      </c>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c r="BS581" s="54"/>
      <c r="BT581" s="81"/>
      <c r="BU581" s="54"/>
      <c r="BV581" s="54"/>
      <c r="BW581" s="54"/>
      <c r="BX581" s="53">
        <v>1.0</v>
      </c>
      <c r="BY581" s="53" t="s">
        <v>123</v>
      </c>
      <c r="BZ581" s="87">
        <v>1.0</v>
      </c>
      <c r="CA581" s="72"/>
      <c r="CB581" s="82"/>
      <c r="CC581" s="31"/>
      <c r="CD581" s="58">
        <v>1.0</v>
      </c>
      <c r="CE581" s="83" t="s">
        <v>185</v>
      </c>
      <c r="CF581" s="60"/>
      <c r="CG581" s="61">
        <v>0.0</v>
      </c>
      <c r="CH581" s="84"/>
      <c r="CI581" s="63">
        <v>0.0</v>
      </c>
      <c r="CJ581" s="63">
        <v>0.0</v>
      </c>
      <c r="CK581" s="64">
        <v>0.0</v>
      </c>
      <c r="CL581" s="63">
        <v>0.0</v>
      </c>
      <c r="CM581" s="65">
        <v>0.0</v>
      </c>
      <c r="CN581" s="63">
        <v>0.0</v>
      </c>
      <c r="CO581" s="66">
        <v>0.0</v>
      </c>
      <c r="CP581" s="67">
        <v>0.0</v>
      </c>
      <c r="CQ581" s="63">
        <v>0.0</v>
      </c>
      <c r="CR581" s="63">
        <v>0.0</v>
      </c>
      <c r="CS581" s="63">
        <v>0.0</v>
      </c>
      <c r="CT581" s="68"/>
      <c r="CU581" s="69"/>
      <c r="CV581" s="70"/>
      <c r="CW581" s="71">
        <v>1.0</v>
      </c>
      <c r="CX581" s="71">
        <v>1.0</v>
      </c>
      <c r="CY581" s="71">
        <v>0.1</v>
      </c>
      <c r="CZ581" s="45"/>
      <c r="DA581" s="43"/>
      <c r="DB581" s="44">
        <v>0.0</v>
      </c>
      <c r="DC581" s="43"/>
      <c r="DD581" s="78"/>
      <c r="DE581" s="43"/>
      <c r="DF581" s="43"/>
      <c r="DG581" s="48" t="s">
        <v>128</v>
      </c>
      <c r="DH581" s="48" t="s">
        <v>131</v>
      </c>
      <c r="DI581" s="48" t="s">
        <v>574</v>
      </c>
      <c r="DJ581" s="49">
        <v>1.0</v>
      </c>
      <c r="DK581" s="48" t="b">
        <v>0</v>
      </c>
      <c r="DL581" s="111"/>
      <c r="DM581" s="111"/>
      <c r="DN581" s="111"/>
      <c r="DO581" s="51"/>
      <c r="DP581" s="48" t="s">
        <v>128</v>
      </c>
      <c r="DQ581" s="48" t="s">
        <v>576</v>
      </c>
      <c r="DR581" s="51"/>
      <c r="DS581" s="48" t="s">
        <v>134</v>
      </c>
    </row>
    <row r="582">
      <c r="A582" s="23" t="s">
        <v>118</v>
      </c>
      <c r="B582" s="24">
        <v>4.0</v>
      </c>
      <c r="C582" s="23" t="s">
        <v>1123</v>
      </c>
      <c r="D582" s="24">
        <v>643373.0</v>
      </c>
      <c r="E582" s="23" t="s">
        <v>120</v>
      </c>
      <c r="F582" s="23" t="s">
        <v>1408</v>
      </c>
      <c r="G582" s="23" t="s">
        <v>1409</v>
      </c>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7"/>
      <c r="BU582" s="26"/>
      <c r="BV582" s="26"/>
      <c r="BW582" s="26"/>
      <c r="BX582" s="24">
        <v>1.0</v>
      </c>
      <c r="BY582" s="24" t="s">
        <v>123</v>
      </c>
      <c r="BZ582" s="87">
        <v>1.0</v>
      </c>
      <c r="CA582" s="72"/>
      <c r="CB582" s="82"/>
      <c r="CC582" s="31"/>
      <c r="CD582" s="28">
        <v>1.0</v>
      </c>
      <c r="CE582" s="88" t="s">
        <v>185</v>
      </c>
      <c r="CF582" s="33"/>
      <c r="CG582" s="34">
        <v>0.0</v>
      </c>
      <c r="CH582" s="89"/>
      <c r="CI582" s="36">
        <v>0.0</v>
      </c>
      <c r="CJ582" s="36">
        <v>0.0</v>
      </c>
      <c r="CK582" s="37">
        <v>0.0</v>
      </c>
      <c r="CL582" s="36">
        <v>0.0</v>
      </c>
      <c r="CM582" s="38">
        <v>0.0</v>
      </c>
      <c r="CN582" s="36">
        <v>0.0</v>
      </c>
      <c r="CO582" s="39">
        <v>0.0</v>
      </c>
      <c r="CP582" s="40">
        <v>0.0</v>
      </c>
      <c r="CQ582" s="36">
        <v>0.0</v>
      </c>
      <c r="CR582" s="36">
        <v>0.0</v>
      </c>
      <c r="CS582" s="36">
        <v>0.0</v>
      </c>
      <c r="CT582" s="41"/>
      <c r="CU582" s="42"/>
      <c r="CV582" s="43"/>
      <c r="CW582" s="44">
        <v>1.0</v>
      </c>
      <c r="CX582" s="44">
        <v>1.0</v>
      </c>
      <c r="CY582" s="44">
        <v>0.1</v>
      </c>
      <c r="CZ582" s="45"/>
      <c r="DA582" s="43"/>
      <c r="DB582" s="44">
        <v>0.0</v>
      </c>
      <c r="DC582" s="43"/>
      <c r="DD582" s="78"/>
      <c r="DE582" s="43"/>
      <c r="DF582" s="43"/>
      <c r="DG582" s="48" t="s">
        <v>128</v>
      </c>
      <c r="DH582" s="48" t="s">
        <v>131</v>
      </c>
      <c r="DI582" s="48" t="s">
        <v>574</v>
      </c>
      <c r="DJ582" s="49">
        <v>1.0</v>
      </c>
      <c r="DK582" s="48" t="b">
        <v>0</v>
      </c>
      <c r="DL582" s="50" t="s">
        <v>1375</v>
      </c>
      <c r="DM582" s="111"/>
      <c r="DN582" s="111"/>
      <c r="DO582" s="51"/>
      <c r="DP582" s="51"/>
      <c r="DQ582" s="48" t="s">
        <v>576</v>
      </c>
      <c r="DR582" s="51"/>
      <c r="DS582" s="48" t="s">
        <v>134</v>
      </c>
    </row>
    <row r="583">
      <c r="A583" s="52" t="s">
        <v>118</v>
      </c>
      <c r="B583" s="53">
        <v>4.0</v>
      </c>
      <c r="C583" s="52" t="s">
        <v>1123</v>
      </c>
      <c r="D583" s="53">
        <v>588071.0</v>
      </c>
      <c r="E583" s="52" t="s">
        <v>152</v>
      </c>
      <c r="F583" s="52" t="s">
        <v>1410</v>
      </c>
      <c r="G583" s="52" t="s">
        <v>1411</v>
      </c>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c r="BS583" s="54"/>
      <c r="BT583" s="81"/>
      <c r="BU583" s="54"/>
      <c r="BV583" s="54"/>
      <c r="BW583" s="54"/>
      <c r="BX583" s="53">
        <v>1.0</v>
      </c>
      <c r="BY583" s="53" t="s">
        <v>123</v>
      </c>
      <c r="BZ583" s="87">
        <v>1.0</v>
      </c>
      <c r="CA583" s="72"/>
      <c r="CB583" s="82"/>
      <c r="CC583" s="31"/>
      <c r="CD583" s="58">
        <v>1.0</v>
      </c>
      <c r="CE583" s="83" t="s">
        <v>185</v>
      </c>
      <c r="CF583" s="60"/>
      <c r="CG583" s="61">
        <v>0.0</v>
      </c>
      <c r="CH583" s="84"/>
      <c r="CI583" s="63">
        <v>0.0</v>
      </c>
      <c r="CJ583" s="63">
        <v>0.0</v>
      </c>
      <c r="CK583" s="64">
        <v>0.0</v>
      </c>
      <c r="CL583" s="63">
        <v>0.0</v>
      </c>
      <c r="CM583" s="65">
        <v>0.0</v>
      </c>
      <c r="CN583" s="63">
        <v>0.0</v>
      </c>
      <c r="CO583" s="66">
        <v>0.0</v>
      </c>
      <c r="CP583" s="67">
        <v>0.0</v>
      </c>
      <c r="CQ583" s="63">
        <v>0.0</v>
      </c>
      <c r="CR583" s="63">
        <v>0.0</v>
      </c>
      <c r="CS583" s="63">
        <v>0.0</v>
      </c>
      <c r="CT583" s="68"/>
      <c r="CU583" s="69"/>
      <c r="CV583" s="70"/>
      <c r="CW583" s="71">
        <v>1.0</v>
      </c>
      <c r="CX583" s="71">
        <v>1.0</v>
      </c>
      <c r="CY583" s="71">
        <v>0.1</v>
      </c>
      <c r="CZ583" s="45"/>
      <c r="DA583" s="43"/>
      <c r="DB583" s="44">
        <v>0.0</v>
      </c>
      <c r="DC583" s="43"/>
      <c r="DD583" s="78"/>
      <c r="DE583" s="43"/>
      <c r="DF583" s="43"/>
      <c r="DG583" s="48" t="s">
        <v>128</v>
      </c>
      <c r="DH583" s="48" t="s">
        <v>131</v>
      </c>
      <c r="DI583" s="48" t="s">
        <v>574</v>
      </c>
      <c r="DJ583" s="49">
        <v>1.0</v>
      </c>
      <c r="DK583" s="48" t="b">
        <v>0</v>
      </c>
      <c r="DL583" s="50" t="s">
        <v>1375</v>
      </c>
      <c r="DM583" s="111"/>
      <c r="DN583" s="111"/>
      <c r="DO583" s="51"/>
      <c r="DP583" s="51"/>
      <c r="DQ583" s="48" t="s">
        <v>576</v>
      </c>
      <c r="DR583" s="51"/>
      <c r="DS583" s="48" t="s">
        <v>134</v>
      </c>
    </row>
    <row r="584">
      <c r="A584" s="23" t="s">
        <v>118</v>
      </c>
      <c r="B584" s="24">
        <v>4.0</v>
      </c>
      <c r="C584" s="23" t="s">
        <v>1123</v>
      </c>
      <c r="D584" s="24">
        <v>604008.0</v>
      </c>
      <c r="E584" s="23" t="s">
        <v>176</v>
      </c>
      <c r="F584" s="23" t="s">
        <v>1412</v>
      </c>
      <c r="G584" s="23" t="s">
        <v>1413</v>
      </c>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7"/>
      <c r="BU584" s="26"/>
      <c r="BV584" s="26"/>
      <c r="BW584" s="26"/>
      <c r="BX584" s="24">
        <v>1.0</v>
      </c>
      <c r="BY584" s="24" t="s">
        <v>123</v>
      </c>
      <c r="BZ584" s="87">
        <v>1.0</v>
      </c>
      <c r="CA584" s="72"/>
      <c r="CB584" s="82"/>
      <c r="CC584" s="31"/>
      <c r="CD584" s="28">
        <v>1.0</v>
      </c>
      <c r="CE584" s="88" t="s">
        <v>185</v>
      </c>
      <c r="CF584" s="33"/>
      <c r="CG584" s="34">
        <v>0.0</v>
      </c>
      <c r="CH584" s="89"/>
      <c r="CI584" s="36">
        <v>0.0</v>
      </c>
      <c r="CJ584" s="36">
        <v>0.0</v>
      </c>
      <c r="CK584" s="37">
        <v>0.0</v>
      </c>
      <c r="CL584" s="36">
        <v>0.0</v>
      </c>
      <c r="CM584" s="38">
        <v>0.0</v>
      </c>
      <c r="CN584" s="36">
        <v>0.0</v>
      </c>
      <c r="CO584" s="39">
        <v>0.0</v>
      </c>
      <c r="CP584" s="40">
        <v>0.0</v>
      </c>
      <c r="CQ584" s="36">
        <v>0.0</v>
      </c>
      <c r="CR584" s="36">
        <v>0.0</v>
      </c>
      <c r="CS584" s="36">
        <v>0.0</v>
      </c>
      <c r="CT584" s="41"/>
      <c r="CU584" s="42"/>
      <c r="CV584" s="43"/>
      <c r="CW584" s="44">
        <v>1.0</v>
      </c>
      <c r="CX584" s="44">
        <v>1.0</v>
      </c>
      <c r="CY584" s="44">
        <v>0.1</v>
      </c>
      <c r="CZ584" s="45"/>
      <c r="DA584" s="43"/>
      <c r="DB584" s="44">
        <v>0.0</v>
      </c>
      <c r="DC584" s="43"/>
      <c r="DD584" s="78"/>
      <c r="DE584" s="43"/>
      <c r="DF584" s="43"/>
      <c r="DG584" s="48" t="s">
        <v>128</v>
      </c>
      <c r="DH584" s="48" t="s">
        <v>131</v>
      </c>
      <c r="DI584" s="48" t="s">
        <v>574</v>
      </c>
      <c r="DJ584" s="49">
        <v>1.0</v>
      </c>
      <c r="DK584" s="48" t="b">
        <v>0</v>
      </c>
      <c r="DL584" s="50" t="s">
        <v>1382</v>
      </c>
      <c r="DM584" s="111"/>
      <c r="DN584" s="111"/>
      <c r="DO584" s="51"/>
      <c r="DP584" s="51"/>
      <c r="DQ584" s="48" t="s">
        <v>576</v>
      </c>
      <c r="DR584" s="51"/>
      <c r="DS584" s="48" t="s">
        <v>134</v>
      </c>
    </row>
    <row r="585">
      <c r="A585" s="52" t="s">
        <v>118</v>
      </c>
      <c r="B585" s="53">
        <v>4.0</v>
      </c>
      <c r="C585" s="52" t="s">
        <v>1123</v>
      </c>
      <c r="D585" s="53">
        <v>627274.0</v>
      </c>
      <c r="E585" s="52" t="s">
        <v>173</v>
      </c>
      <c r="F585" s="52" t="s">
        <v>1414</v>
      </c>
      <c r="G585" s="52" t="s">
        <v>1415</v>
      </c>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c r="BS585" s="54"/>
      <c r="BT585" s="81"/>
      <c r="BU585" s="54"/>
      <c r="BV585" s="54"/>
      <c r="BW585" s="54"/>
      <c r="BX585" s="53">
        <v>1.0</v>
      </c>
      <c r="BY585" s="53" t="s">
        <v>123</v>
      </c>
      <c r="BZ585" s="87">
        <v>1.0</v>
      </c>
      <c r="CA585" s="72"/>
      <c r="CB585" s="82"/>
      <c r="CC585" s="31"/>
      <c r="CD585" s="58">
        <v>1.0</v>
      </c>
      <c r="CE585" s="83" t="s">
        <v>185</v>
      </c>
      <c r="CF585" s="60"/>
      <c r="CG585" s="61">
        <v>0.0</v>
      </c>
      <c r="CH585" s="84"/>
      <c r="CI585" s="63">
        <v>0.0</v>
      </c>
      <c r="CJ585" s="63">
        <v>0.0</v>
      </c>
      <c r="CK585" s="64">
        <v>0.0</v>
      </c>
      <c r="CL585" s="63">
        <v>0.0</v>
      </c>
      <c r="CM585" s="65">
        <v>0.0</v>
      </c>
      <c r="CN585" s="63">
        <v>0.0</v>
      </c>
      <c r="CO585" s="66">
        <v>0.0</v>
      </c>
      <c r="CP585" s="67">
        <v>0.0</v>
      </c>
      <c r="CQ585" s="63">
        <v>0.0</v>
      </c>
      <c r="CR585" s="63">
        <v>0.0</v>
      </c>
      <c r="CS585" s="63">
        <v>0.0</v>
      </c>
      <c r="CT585" s="68"/>
      <c r="CU585" s="69"/>
      <c r="CV585" s="70"/>
      <c r="CW585" s="71">
        <v>1.0</v>
      </c>
      <c r="CX585" s="71">
        <v>1.0</v>
      </c>
      <c r="CY585" s="71">
        <v>0.1</v>
      </c>
      <c r="CZ585" s="45"/>
      <c r="DA585" s="43"/>
      <c r="DB585" s="44">
        <v>0.0</v>
      </c>
      <c r="DC585" s="43"/>
      <c r="DD585" s="78"/>
      <c r="DE585" s="43"/>
      <c r="DF585" s="43"/>
      <c r="DG585" s="48" t="s">
        <v>128</v>
      </c>
      <c r="DH585" s="48" t="s">
        <v>131</v>
      </c>
      <c r="DI585" s="48" t="s">
        <v>574</v>
      </c>
      <c r="DJ585" s="49">
        <v>1.0</v>
      </c>
      <c r="DK585" s="48" t="b">
        <v>0</v>
      </c>
      <c r="DL585" s="50" t="s">
        <v>1375</v>
      </c>
      <c r="DM585" s="111"/>
      <c r="DN585" s="111"/>
      <c r="DO585" s="51"/>
      <c r="DP585" s="51"/>
      <c r="DQ585" s="48" t="s">
        <v>576</v>
      </c>
      <c r="DR585" s="51"/>
      <c r="DS585" s="48" t="s">
        <v>134</v>
      </c>
    </row>
    <row r="586">
      <c r="A586" s="23" t="s">
        <v>118</v>
      </c>
      <c r="B586" s="24">
        <v>4.0</v>
      </c>
      <c r="C586" s="23" t="s">
        <v>1123</v>
      </c>
      <c r="D586" s="24">
        <v>558730.0</v>
      </c>
      <c r="E586" s="23" t="s">
        <v>148</v>
      </c>
      <c r="F586" s="23" t="s">
        <v>1416</v>
      </c>
      <c r="G586" s="23" t="s">
        <v>1417</v>
      </c>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7"/>
      <c r="BU586" s="26"/>
      <c r="BV586" s="26"/>
      <c r="BW586" s="26"/>
      <c r="BX586" s="24">
        <v>1.0</v>
      </c>
      <c r="BY586" s="23" t="s">
        <v>123</v>
      </c>
      <c r="BZ586" s="87">
        <v>1.0</v>
      </c>
      <c r="CA586" s="72"/>
      <c r="CB586" s="82"/>
      <c r="CC586" s="31"/>
      <c r="CD586" s="28">
        <v>1.0</v>
      </c>
      <c r="CE586" s="88" t="s">
        <v>185</v>
      </c>
      <c r="CF586" s="33"/>
      <c r="CG586" s="34">
        <v>0.0</v>
      </c>
      <c r="CH586" s="89"/>
      <c r="CI586" s="36">
        <v>0.0</v>
      </c>
      <c r="CJ586" s="36">
        <v>0.0</v>
      </c>
      <c r="CK586" s="37">
        <v>0.0</v>
      </c>
      <c r="CL586" s="36">
        <v>0.0</v>
      </c>
      <c r="CM586" s="38">
        <v>0.0</v>
      </c>
      <c r="CN586" s="36">
        <v>0.0</v>
      </c>
      <c r="CO586" s="39">
        <v>0.0</v>
      </c>
      <c r="CP586" s="40">
        <v>0.0</v>
      </c>
      <c r="CQ586" s="36">
        <v>0.0</v>
      </c>
      <c r="CR586" s="36">
        <v>0.0</v>
      </c>
      <c r="CS586" s="36">
        <v>0.0</v>
      </c>
      <c r="CT586" s="41"/>
      <c r="CU586" s="42"/>
      <c r="CV586" s="43"/>
      <c r="CW586" s="44">
        <v>1.0</v>
      </c>
      <c r="CX586" s="44">
        <v>1.0</v>
      </c>
      <c r="CY586" s="44">
        <v>0.1</v>
      </c>
      <c r="CZ586" s="45"/>
      <c r="DA586" s="43"/>
      <c r="DB586" s="44">
        <v>0.0</v>
      </c>
      <c r="DC586" s="43"/>
      <c r="DD586" s="78"/>
      <c r="DE586" s="43"/>
      <c r="DF586" s="43"/>
      <c r="DG586" s="48" t="s">
        <v>128</v>
      </c>
      <c r="DH586" s="48" t="s">
        <v>131</v>
      </c>
      <c r="DI586" s="48" t="s">
        <v>574</v>
      </c>
      <c r="DJ586" s="49">
        <v>1.0</v>
      </c>
      <c r="DK586" s="48" t="b">
        <v>0</v>
      </c>
      <c r="DL586" s="111"/>
      <c r="DM586" s="111"/>
      <c r="DN586" s="111"/>
      <c r="DO586" s="51"/>
      <c r="DP586" s="48" t="s">
        <v>128</v>
      </c>
      <c r="DQ586" s="48" t="s">
        <v>576</v>
      </c>
      <c r="DR586" s="51"/>
      <c r="DS586" s="48" t="s">
        <v>134</v>
      </c>
    </row>
    <row r="587">
      <c r="A587" s="52" t="s">
        <v>118</v>
      </c>
      <c r="B587" s="53">
        <v>4.0</v>
      </c>
      <c r="C587" s="52" t="s">
        <v>1123</v>
      </c>
      <c r="D587" s="53">
        <v>640888.0</v>
      </c>
      <c r="E587" s="52" t="s">
        <v>161</v>
      </c>
      <c r="F587" s="52" t="s">
        <v>1418</v>
      </c>
      <c r="G587" s="52" t="s">
        <v>1419</v>
      </c>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c r="BS587" s="54"/>
      <c r="BT587" s="81"/>
      <c r="BU587" s="54"/>
      <c r="BV587" s="54"/>
      <c r="BW587" s="54"/>
      <c r="BX587" s="53">
        <v>1.0</v>
      </c>
      <c r="BY587" s="53" t="s">
        <v>123</v>
      </c>
      <c r="BZ587" s="87">
        <v>1.0</v>
      </c>
      <c r="CA587" s="72"/>
      <c r="CB587" s="82"/>
      <c r="CC587" s="31"/>
      <c r="CD587" s="58">
        <v>1.0</v>
      </c>
      <c r="CE587" s="83" t="s">
        <v>185</v>
      </c>
      <c r="CF587" s="60"/>
      <c r="CG587" s="61">
        <v>0.0</v>
      </c>
      <c r="CH587" s="84"/>
      <c r="CI587" s="63">
        <v>0.0</v>
      </c>
      <c r="CJ587" s="63">
        <v>0.0</v>
      </c>
      <c r="CK587" s="64">
        <v>0.0</v>
      </c>
      <c r="CL587" s="63">
        <v>0.0</v>
      </c>
      <c r="CM587" s="65">
        <v>0.0</v>
      </c>
      <c r="CN587" s="63">
        <v>0.0</v>
      </c>
      <c r="CO587" s="66">
        <v>0.0</v>
      </c>
      <c r="CP587" s="67">
        <v>0.0</v>
      </c>
      <c r="CQ587" s="63">
        <v>0.0</v>
      </c>
      <c r="CR587" s="63">
        <v>0.0</v>
      </c>
      <c r="CS587" s="63">
        <v>0.0</v>
      </c>
      <c r="CT587" s="68"/>
      <c r="CU587" s="69"/>
      <c r="CV587" s="70"/>
      <c r="CW587" s="71">
        <v>1.0</v>
      </c>
      <c r="CX587" s="71">
        <v>1.0</v>
      </c>
      <c r="CY587" s="71">
        <v>0.1</v>
      </c>
      <c r="CZ587" s="45"/>
      <c r="DA587" s="43"/>
      <c r="DB587" s="44">
        <v>0.0</v>
      </c>
      <c r="DC587" s="43"/>
      <c r="DD587" s="78"/>
      <c r="DE587" s="43"/>
      <c r="DF587" s="43"/>
      <c r="DG587" s="48" t="s">
        <v>128</v>
      </c>
      <c r="DH587" s="48" t="s">
        <v>131</v>
      </c>
      <c r="DI587" s="48" t="s">
        <v>574</v>
      </c>
      <c r="DJ587" s="49">
        <v>1.0</v>
      </c>
      <c r="DK587" s="48" t="b">
        <v>0</v>
      </c>
      <c r="DL587" s="50" t="s">
        <v>977</v>
      </c>
      <c r="DM587" s="111"/>
      <c r="DN587" s="111"/>
      <c r="DO587" s="51"/>
      <c r="DP587" s="51"/>
      <c r="DQ587" s="48" t="s">
        <v>576</v>
      </c>
      <c r="DR587" s="51"/>
      <c r="DS587" s="48" t="s">
        <v>134</v>
      </c>
    </row>
    <row r="588">
      <c r="A588" s="23" t="s">
        <v>118</v>
      </c>
      <c r="B588" s="24">
        <v>4.0</v>
      </c>
      <c r="C588" s="23" t="s">
        <v>1123</v>
      </c>
      <c r="D588" s="24">
        <v>610881.0</v>
      </c>
      <c r="E588" s="23" t="s">
        <v>167</v>
      </c>
      <c r="F588" s="23" t="s">
        <v>1420</v>
      </c>
      <c r="G588" s="23" t="s">
        <v>1421</v>
      </c>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7"/>
      <c r="BU588" s="26"/>
      <c r="BV588" s="26"/>
      <c r="BW588" s="26"/>
      <c r="BX588" s="24">
        <v>1.0</v>
      </c>
      <c r="BY588" s="23" t="s">
        <v>123</v>
      </c>
      <c r="BZ588" s="87">
        <v>1.0</v>
      </c>
      <c r="CA588" s="72"/>
      <c r="CB588" s="82"/>
      <c r="CC588" s="31"/>
      <c r="CD588" s="28">
        <v>1.0</v>
      </c>
      <c r="CE588" s="88" t="s">
        <v>185</v>
      </c>
      <c r="CF588" s="33"/>
      <c r="CG588" s="34">
        <v>0.0</v>
      </c>
      <c r="CH588" s="89"/>
      <c r="CI588" s="36">
        <v>0.0</v>
      </c>
      <c r="CJ588" s="36">
        <v>0.0</v>
      </c>
      <c r="CK588" s="37">
        <v>0.0</v>
      </c>
      <c r="CL588" s="36">
        <v>0.0</v>
      </c>
      <c r="CM588" s="38">
        <v>0.0</v>
      </c>
      <c r="CN588" s="36">
        <v>0.0</v>
      </c>
      <c r="CO588" s="39">
        <v>0.0</v>
      </c>
      <c r="CP588" s="40">
        <v>0.0</v>
      </c>
      <c r="CQ588" s="36">
        <v>0.0</v>
      </c>
      <c r="CR588" s="36">
        <v>0.0</v>
      </c>
      <c r="CS588" s="36">
        <v>0.0</v>
      </c>
      <c r="CT588" s="41"/>
      <c r="CU588" s="42"/>
      <c r="CV588" s="43"/>
      <c r="CW588" s="44">
        <v>1.0</v>
      </c>
      <c r="CX588" s="44">
        <v>1.0</v>
      </c>
      <c r="CY588" s="44">
        <v>0.1</v>
      </c>
      <c r="CZ588" s="45"/>
      <c r="DA588" s="43"/>
      <c r="DB588" s="44">
        <v>0.0</v>
      </c>
      <c r="DC588" s="43"/>
      <c r="DD588" s="78"/>
      <c r="DE588" s="43"/>
      <c r="DF588" s="43"/>
      <c r="DG588" s="48" t="s">
        <v>128</v>
      </c>
      <c r="DH588" s="48" t="s">
        <v>131</v>
      </c>
      <c r="DI588" s="48" t="s">
        <v>574</v>
      </c>
      <c r="DJ588" s="49">
        <v>1.0</v>
      </c>
      <c r="DK588" s="48" t="b">
        <v>0</v>
      </c>
      <c r="DL588" s="50" t="s">
        <v>1375</v>
      </c>
      <c r="DM588" s="111"/>
      <c r="DN588" s="111"/>
      <c r="DO588" s="51"/>
      <c r="DP588" s="51"/>
      <c r="DQ588" s="48" t="s">
        <v>576</v>
      </c>
      <c r="DR588" s="51"/>
      <c r="DS588" s="48" t="s">
        <v>134</v>
      </c>
    </row>
    <row r="589">
      <c r="A589" s="52" t="s">
        <v>118</v>
      </c>
      <c r="B589" s="53">
        <v>4.0</v>
      </c>
      <c r="C589" s="52" t="s">
        <v>1123</v>
      </c>
      <c r="D589" s="53">
        <v>610881.0</v>
      </c>
      <c r="E589" s="52" t="s">
        <v>167</v>
      </c>
      <c r="F589" s="52" t="s">
        <v>1422</v>
      </c>
      <c r="G589" s="52" t="s">
        <v>1423</v>
      </c>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c r="BS589" s="54"/>
      <c r="BT589" s="81"/>
      <c r="BU589" s="54"/>
      <c r="BV589" s="54"/>
      <c r="BW589" s="54"/>
      <c r="BX589" s="53">
        <v>1.0</v>
      </c>
      <c r="BY589" s="53" t="s">
        <v>123</v>
      </c>
      <c r="BZ589" s="87">
        <v>1.0</v>
      </c>
      <c r="CA589" s="72"/>
      <c r="CB589" s="82"/>
      <c r="CC589" s="31"/>
      <c r="CD589" s="58">
        <v>1.0</v>
      </c>
      <c r="CE589" s="83" t="s">
        <v>185</v>
      </c>
      <c r="CF589" s="60"/>
      <c r="CG589" s="61">
        <v>0.0</v>
      </c>
      <c r="CH589" s="84"/>
      <c r="CI589" s="63">
        <v>0.0</v>
      </c>
      <c r="CJ589" s="63">
        <v>0.0</v>
      </c>
      <c r="CK589" s="64">
        <v>0.0</v>
      </c>
      <c r="CL589" s="63">
        <v>0.0</v>
      </c>
      <c r="CM589" s="65">
        <v>0.0</v>
      </c>
      <c r="CN589" s="63">
        <v>0.0</v>
      </c>
      <c r="CO589" s="66">
        <v>0.0</v>
      </c>
      <c r="CP589" s="67">
        <v>0.0</v>
      </c>
      <c r="CQ589" s="63">
        <v>0.0</v>
      </c>
      <c r="CR589" s="63">
        <v>0.0</v>
      </c>
      <c r="CS589" s="63">
        <v>0.0</v>
      </c>
      <c r="CT589" s="68"/>
      <c r="CU589" s="69"/>
      <c r="CV589" s="70"/>
      <c r="CW589" s="71">
        <v>1.0</v>
      </c>
      <c r="CX589" s="71">
        <v>1.0</v>
      </c>
      <c r="CY589" s="71">
        <v>0.1</v>
      </c>
      <c r="CZ589" s="45"/>
      <c r="DA589" s="43"/>
      <c r="DB589" s="44">
        <v>0.0</v>
      </c>
      <c r="DC589" s="43"/>
      <c r="DD589" s="78"/>
      <c r="DE589" s="43"/>
      <c r="DF589" s="43"/>
      <c r="DG589" s="48" t="s">
        <v>128</v>
      </c>
      <c r="DH589" s="48" t="s">
        <v>131</v>
      </c>
      <c r="DI589" s="48" t="s">
        <v>574</v>
      </c>
      <c r="DJ589" s="49">
        <v>1.0</v>
      </c>
      <c r="DK589" s="48" t="b">
        <v>0</v>
      </c>
      <c r="DL589" s="111"/>
      <c r="DM589" s="111"/>
      <c r="DN589" s="111"/>
      <c r="DO589" s="51"/>
      <c r="DP589" s="48" t="s">
        <v>128</v>
      </c>
      <c r="DQ589" s="48" t="s">
        <v>576</v>
      </c>
      <c r="DR589" s="51"/>
      <c r="DS589" s="48" t="s">
        <v>134</v>
      </c>
    </row>
    <row r="590">
      <c r="A590" s="23" t="s">
        <v>118</v>
      </c>
      <c r="B590" s="24">
        <v>4.0</v>
      </c>
      <c r="C590" s="23" t="s">
        <v>1123</v>
      </c>
      <c r="D590" s="24">
        <v>640888.0</v>
      </c>
      <c r="E590" s="23" t="s">
        <v>161</v>
      </c>
      <c r="F590" s="23" t="s">
        <v>1424</v>
      </c>
      <c r="G590" s="23" t="s">
        <v>1425</v>
      </c>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7"/>
      <c r="BU590" s="26"/>
      <c r="BV590" s="26"/>
      <c r="BW590" s="26"/>
      <c r="BX590" s="24">
        <v>1.0</v>
      </c>
      <c r="BY590" s="23" t="s">
        <v>123</v>
      </c>
      <c r="BZ590" s="87">
        <v>1.0</v>
      </c>
      <c r="CA590" s="72"/>
      <c r="CB590" s="82"/>
      <c r="CC590" s="31"/>
      <c r="CD590" s="28">
        <v>1.0</v>
      </c>
      <c r="CE590" s="88" t="s">
        <v>185</v>
      </c>
      <c r="CF590" s="33"/>
      <c r="CG590" s="34">
        <v>0.0</v>
      </c>
      <c r="CH590" s="89"/>
      <c r="CI590" s="36">
        <v>0.0</v>
      </c>
      <c r="CJ590" s="36">
        <v>0.0</v>
      </c>
      <c r="CK590" s="37">
        <v>0.0</v>
      </c>
      <c r="CL590" s="36">
        <v>0.0</v>
      </c>
      <c r="CM590" s="38">
        <v>0.0</v>
      </c>
      <c r="CN590" s="36">
        <v>0.0</v>
      </c>
      <c r="CO590" s="39">
        <v>0.0</v>
      </c>
      <c r="CP590" s="40">
        <v>0.0</v>
      </c>
      <c r="CQ590" s="36">
        <v>0.0</v>
      </c>
      <c r="CR590" s="36">
        <v>0.0</v>
      </c>
      <c r="CS590" s="36">
        <v>0.0</v>
      </c>
      <c r="CT590" s="41"/>
      <c r="CU590" s="42"/>
      <c r="CV590" s="43"/>
      <c r="CW590" s="44">
        <v>1.0</v>
      </c>
      <c r="CX590" s="44">
        <v>1.0</v>
      </c>
      <c r="CY590" s="44">
        <v>0.1</v>
      </c>
      <c r="CZ590" s="45"/>
      <c r="DA590" s="43"/>
      <c r="DB590" s="44">
        <v>0.0</v>
      </c>
      <c r="DC590" s="43"/>
      <c r="DD590" s="78"/>
      <c r="DE590" s="43"/>
      <c r="DF590" s="43"/>
      <c r="DG590" s="48" t="s">
        <v>128</v>
      </c>
      <c r="DH590" s="48" t="s">
        <v>131</v>
      </c>
      <c r="DI590" s="48" t="s">
        <v>574</v>
      </c>
      <c r="DJ590" s="49">
        <v>1.0</v>
      </c>
      <c r="DK590" s="48" t="b">
        <v>0</v>
      </c>
      <c r="DL590" s="50" t="s">
        <v>584</v>
      </c>
      <c r="DM590" s="111"/>
      <c r="DN590" s="111"/>
      <c r="DO590" s="51"/>
      <c r="DP590" s="51"/>
      <c r="DQ590" s="48" t="s">
        <v>576</v>
      </c>
      <c r="DR590" s="51"/>
      <c r="DS590" s="48" t="s">
        <v>134</v>
      </c>
    </row>
    <row r="591">
      <c r="A591" s="52" t="s">
        <v>118</v>
      </c>
      <c r="B591" s="53">
        <v>4.0</v>
      </c>
      <c r="C591" s="52" t="s">
        <v>1123</v>
      </c>
      <c r="D591" s="53">
        <v>576393.0</v>
      </c>
      <c r="E591" s="52" t="s">
        <v>164</v>
      </c>
      <c r="F591" s="52" t="s">
        <v>1426</v>
      </c>
      <c r="G591" s="52" t="s">
        <v>1427</v>
      </c>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c r="BS591" s="54"/>
      <c r="BT591" s="81"/>
      <c r="BU591" s="54"/>
      <c r="BV591" s="54"/>
      <c r="BW591" s="54"/>
      <c r="BX591" s="53">
        <v>1.0</v>
      </c>
      <c r="BY591" s="53" t="s">
        <v>123</v>
      </c>
      <c r="BZ591" s="87">
        <v>1.0</v>
      </c>
      <c r="CA591" s="72"/>
      <c r="CB591" s="82"/>
      <c r="CC591" s="31"/>
      <c r="CD591" s="58">
        <v>1.0</v>
      </c>
      <c r="CE591" s="83" t="s">
        <v>185</v>
      </c>
      <c r="CF591" s="60"/>
      <c r="CG591" s="61">
        <v>0.0</v>
      </c>
      <c r="CH591" s="84"/>
      <c r="CI591" s="63">
        <v>0.0</v>
      </c>
      <c r="CJ591" s="63">
        <v>0.0</v>
      </c>
      <c r="CK591" s="64">
        <v>0.0</v>
      </c>
      <c r="CL591" s="63">
        <v>0.0</v>
      </c>
      <c r="CM591" s="65">
        <v>0.0</v>
      </c>
      <c r="CN591" s="63">
        <v>0.0</v>
      </c>
      <c r="CO591" s="66">
        <v>0.0</v>
      </c>
      <c r="CP591" s="67">
        <v>0.0</v>
      </c>
      <c r="CQ591" s="63">
        <v>0.0</v>
      </c>
      <c r="CR591" s="63">
        <v>0.0</v>
      </c>
      <c r="CS591" s="63">
        <v>0.0</v>
      </c>
      <c r="CT591" s="68"/>
      <c r="CU591" s="69"/>
      <c r="CV591" s="70"/>
      <c r="CW591" s="71">
        <v>1.0</v>
      </c>
      <c r="CX591" s="71">
        <v>1.0</v>
      </c>
      <c r="CY591" s="71">
        <v>0.1</v>
      </c>
      <c r="CZ591" s="45"/>
      <c r="DA591" s="43"/>
      <c r="DB591" s="44">
        <v>0.0</v>
      </c>
      <c r="DC591" s="43"/>
      <c r="DD591" s="78"/>
      <c r="DE591" s="43"/>
      <c r="DF591" s="43"/>
      <c r="DG591" s="48" t="s">
        <v>128</v>
      </c>
      <c r="DH591" s="48" t="s">
        <v>131</v>
      </c>
      <c r="DI591" s="48" t="s">
        <v>574</v>
      </c>
      <c r="DJ591" s="49">
        <v>1.0</v>
      </c>
      <c r="DK591" s="48" t="b">
        <v>0</v>
      </c>
      <c r="DL591" s="50" t="s">
        <v>1375</v>
      </c>
      <c r="DM591" s="111"/>
      <c r="DN591" s="111"/>
      <c r="DO591" s="51"/>
      <c r="DP591" s="51"/>
      <c r="DQ591" s="48" t="s">
        <v>576</v>
      </c>
      <c r="DR591" s="51"/>
      <c r="DS591" s="48" t="s">
        <v>134</v>
      </c>
    </row>
    <row r="592">
      <c r="A592" s="23" t="s">
        <v>118</v>
      </c>
      <c r="B592" s="24">
        <v>4.0</v>
      </c>
      <c r="C592" s="23" t="s">
        <v>1123</v>
      </c>
      <c r="D592" s="24">
        <v>626041.0</v>
      </c>
      <c r="E592" s="23" t="s">
        <v>135</v>
      </c>
      <c r="F592" s="23" t="s">
        <v>1428</v>
      </c>
      <c r="G592" s="23" t="s">
        <v>1429</v>
      </c>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7"/>
      <c r="BU592" s="26"/>
      <c r="BV592" s="26"/>
      <c r="BW592" s="26"/>
      <c r="BX592" s="24">
        <v>1.0</v>
      </c>
      <c r="BY592" s="24" t="s">
        <v>123</v>
      </c>
      <c r="BZ592" s="87">
        <v>1.0</v>
      </c>
      <c r="CA592" s="72"/>
      <c r="CB592" s="82"/>
      <c r="CC592" s="31"/>
      <c r="CD592" s="28">
        <v>1.0</v>
      </c>
      <c r="CE592" s="88" t="s">
        <v>185</v>
      </c>
      <c r="CF592" s="33"/>
      <c r="CG592" s="34">
        <v>0.0</v>
      </c>
      <c r="CH592" s="89"/>
      <c r="CI592" s="36">
        <v>0.0</v>
      </c>
      <c r="CJ592" s="36">
        <v>0.0</v>
      </c>
      <c r="CK592" s="37">
        <v>0.0</v>
      </c>
      <c r="CL592" s="36">
        <v>0.0</v>
      </c>
      <c r="CM592" s="38">
        <v>0.0</v>
      </c>
      <c r="CN592" s="36">
        <v>0.0</v>
      </c>
      <c r="CO592" s="39">
        <v>0.0</v>
      </c>
      <c r="CP592" s="40">
        <v>0.0</v>
      </c>
      <c r="CQ592" s="36">
        <v>0.0</v>
      </c>
      <c r="CR592" s="36">
        <v>0.0</v>
      </c>
      <c r="CS592" s="36">
        <v>0.0</v>
      </c>
      <c r="CT592" s="41"/>
      <c r="CU592" s="42"/>
      <c r="CV592" s="43"/>
      <c r="CW592" s="44">
        <v>1.0</v>
      </c>
      <c r="CX592" s="44">
        <v>1.0</v>
      </c>
      <c r="CY592" s="44">
        <v>0.1</v>
      </c>
      <c r="CZ592" s="45"/>
      <c r="DA592" s="43"/>
      <c r="DB592" s="44">
        <v>0.0</v>
      </c>
      <c r="DC592" s="43"/>
      <c r="DD592" s="78"/>
      <c r="DE592" s="43"/>
      <c r="DF592" s="43"/>
      <c r="DG592" s="48" t="s">
        <v>128</v>
      </c>
      <c r="DH592" s="48" t="s">
        <v>131</v>
      </c>
      <c r="DI592" s="48" t="s">
        <v>574</v>
      </c>
      <c r="DJ592" s="49">
        <v>1.0</v>
      </c>
      <c r="DK592" s="48" t="b">
        <v>0</v>
      </c>
      <c r="DL592" s="50" t="s">
        <v>1375</v>
      </c>
      <c r="DM592" s="111"/>
      <c r="DN592" s="111"/>
      <c r="DO592" s="51"/>
      <c r="DP592" s="51"/>
      <c r="DQ592" s="48" t="s">
        <v>576</v>
      </c>
      <c r="DR592" s="51"/>
      <c r="DS592" s="48" t="s">
        <v>134</v>
      </c>
    </row>
    <row r="593">
      <c r="A593" s="52" t="s">
        <v>118</v>
      </c>
      <c r="B593" s="53">
        <v>4.0</v>
      </c>
      <c r="C593" s="52" t="s">
        <v>1123</v>
      </c>
      <c r="D593" s="53">
        <v>669823.0</v>
      </c>
      <c r="E593" s="52" t="s">
        <v>214</v>
      </c>
      <c r="F593" s="52" t="s">
        <v>1430</v>
      </c>
      <c r="G593" s="52" t="s">
        <v>1431</v>
      </c>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c r="BS593" s="54"/>
      <c r="BT593" s="81"/>
      <c r="BU593" s="54"/>
      <c r="BV593" s="54"/>
      <c r="BW593" s="54"/>
      <c r="BX593" s="53">
        <v>1.0</v>
      </c>
      <c r="BY593" s="53" t="s">
        <v>123</v>
      </c>
      <c r="BZ593" s="87">
        <v>1.0</v>
      </c>
      <c r="CA593" s="72"/>
      <c r="CB593" s="82"/>
      <c r="CC593" s="31"/>
      <c r="CD593" s="58">
        <v>1.0</v>
      </c>
      <c r="CE593" s="83" t="s">
        <v>185</v>
      </c>
      <c r="CF593" s="60"/>
      <c r="CG593" s="61">
        <v>0.0</v>
      </c>
      <c r="CH593" s="84"/>
      <c r="CI593" s="63">
        <v>0.0</v>
      </c>
      <c r="CJ593" s="63">
        <v>0.0</v>
      </c>
      <c r="CK593" s="64">
        <v>0.0</v>
      </c>
      <c r="CL593" s="63">
        <v>0.0</v>
      </c>
      <c r="CM593" s="65">
        <v>0.0</v>
      </c>
      <c r="CN593" s="63">
        <v>0.0</v>
      </c>
      <c r="CO593" s="66">
        <v>0.0</v>
      </c>
      <c r="CP593" s="67">
        <v>0.0</v>
      </c>
      <c r="CQ593" s="63">
        <v>0.0</v>
      </c>
      <c r="CR593" s="63">
        <v>0.0</v>
      </c>
      <c r="CS593" s="63">
        <v>0.0</v>
      </c>
      <c r="CT593" s="68"/>
      <c r="CU593" s="69"/>
      <c r="CV593" s="70"/>
      <c r="CW593" s="71">
        <v>1.0</v>
      </c>
      <c r="CX593" s="71">
        <v>1.0</v>
      </c>
      <c r="CY593" s="71">
        <v>0.1</v>
      </c>
      <c r="CZ593" s="45"/>
      <c r="DA593" s="43"/>
      <c r="DB593" s="44">
        <v>0.0</v>
      </c>
      <c r="DC593" s="43"/>
      <c r="DD593" s="78"/>
      <c r="DE593" s="43"/>
      <c r="DF593" s="43"/>
      <c r="DG593" s="48" t="s">
        <v>128</v>
      </c>
      <c r="DH593" s="48" t="s">
        <v>131</v>
      </c>
      <c r="DI593" s="48" t="s">
        <v>574</v>
      </c>
      <c r="DJ593" s="49">
        <v>1.0</v>
      </c>
      <c r="DK593" s="48" t="b">
        <v>0</v>
      </c>
      <c r="DL593" s="50" t="s">
        <v>1375</v>
      </c>
      <c r="DM593" s="111"/>
      <c r="DN593" s="111"/>
      <c r="DO593" s="51"/>
      <c r="DP593" s="51"/>
      <c r="DQ593" s="48" t="s">
        <v>576</v>
      </c>
      <c r="DR593" s="51"/>
      <c r="DS593" s="48" t="s">
        <v>134</v>
      </c>
    </row>
    <row r="594">
      <c r="A594" s="23" t="s">
        <v>118</v>
      </c>
      <c r="B594" s="24">
        <v>4.0</v>
      </c>
      <c r="C594" s="23" t="s">
        <v>1123</v>
      </c>
      <c r="D594" s="24">
        <v>536832.0</v>
      </c>
      <c r="E594" s="23" t="s">
        <v>158</v>
      </c>
      <c r="F594" s="23" t="s">
        <v>1432</v>
      </c>
      <c r="G594" s="23" t="s">
        <v>1433</v>
      </c>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7"/>
      <c r="BU594" s="26"/>
      <c r="BV594" s="26"/>
      <c r="BW594" s="26"/>
      <c r="BX594" s="24">
        <v>1.0</v>
      </c>
      <c r="BY594" s="24" t="s">
        <v>123</v>
      </c>
      <c r="BZ594" s="87">
        <v>1.0</v>
      </c>
      <c r="CA594" s="72"/>
      <c r="CB594" s="82"/>
      <c r="CC594" s="31"/>
      <c r="CD594" s="28">
        <v>1.0</v>
      </c>
      <c r="CE594" s="88" t="s">
        <v>185</v>
      </c>
      <c r="CF594" s="33"/>
      <c r="CG594" s="34">
        <v>0.0</v>
      </c>
      <c r="CH594" s="89"/>
      <c r="CI594" s="36">
        <v>0.0</v>
      </c>
      <c r="CJ594" s="36">
        <v>0.0</v>
      </c>
      <c r="CK594" s="37">
        <v>0.0</v>
      </c>
      <c r="CL594" s="36">
        <v>0.0</v>
      </c>
      <c r="CM594" s="38">
        <v>0.0</v>
      </c>
      <c r="CN594" s="36">
        <v>0.0</v>
      </c>
      <c r="CO594" s="39">
        <v>0.0</v>
      </c>
      <c r="CP594" s="40">
        <v>0.0</v>
      </c>
      <c r="CQ594" s="36">
        <v>0.0</v>
      </c>
      <c r="CR594" s="36">
        <v>0.0</v>
      </c>
      <c r="CS594" s="36">
        <v>0.0</v>
      </c>
      <c r="CT594" s="41"/>
      <c r="CU594" s="42"/>
      <c r="CV594" s="43"/>
      <c r="CW594" s="44">
        <v>1.0</v>
      </c>
      <c r="CX594" s="44">
        <v>1.0</v>
      </c>
      <c r="CY594" s="44">
        <v>0.1</v>
      </c>
      <c r="CZ594" s="45"/>
      <c r="DA594" s="43"/>
      <c r="DB594" s="44">
        <v>0.0</v>
      </c>
      <c r="DC594" s="43"/>
      <c r="DD594" s="78"/>
      <c r="DE594" s="43"/>
      <c r="DF594" s="43"/>
      <c r="DG594" s="48" t="s">
        <v>128</v>
      </c>
      <c r="DH594" s="48" t="s">
        <v>131</v>
      </c>
      <c r="DI594" s="48" t="s">
        <v>574</v>
      </c>
      <c r="DJ594" s="49">
        <v>1.0</v>
      </c>
      <c r="DK594" s="48" t="b">
        <v>0</v>
      </c>
      <c r="DL594" s="50" t="s">
        <v>1375</v>
      </c>
      <c r="DM594" s="111"/>
      <c r="DN594" s="111"/>
      <c r="DO594" s="51"/>
      <c r="DP594" s="48" t="s">
        <v>128</v>
      </c>
      <c r="DQ594" s="48" t="s">
        <v>576</v>
      </c>
      <c r="DR594" s="51"/>
      <c r="DS594" s="48" t="s">
        <v>134</v>
      </c>
    </row>
    <row r="595">
      <c r="A595" s="52" t="s">
        <v>118</v>
      </c>
      <c r="B595" s="53">
        <v>4.0</v>
      </c>
      <c r="C595" s="52" t="s">
        <v>1123</v>
      </c>
      <c r="D595" s="53">
        <v>536832.0</v>
      </c>
      <c r="E595" s="52" t="s">
        <v>158</v>
      </c>
      <c r="F595" s="52" t="s">
        <v>1434</v>
      </c>
      <c r="G595" s="52" t="s">
        <v>1435</v>
      </c>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c r="BS595" s="54"/>
      <c r="BT595" s="81"/>
      <c r="BU595" s="54"/>
      <c r="BV595" s="54"/>
      <c r="BW595" s="54"/>
      <c r="BX595" s="53">
        <v>1.0</v>
      </c>
      <c r="BY595" s="53" t="s">
        <v>123</v>
      </c>
      <c r="BZ595" s="87">
        <v>1.0</v>
      </c>
      <c r="CA595" s="72"/>
      <c r="CB595" s="82"/>
      <c r="CC595" s="31"/>
      <c r="CD595" s="58">
        <v>1.0</v>
      </c>
      <c r="CE595" s="83" t="s">
        <v>185</v>
      </c>
      <c r="CF595" s="60"/>
      <c r="CG595" s="61">
        <v>0.0</v>
      </c>
      <c r="CH595" s="84"/>
      <c r="CI595" s="63">
        <v>0.0</v>
      </c>
      <c r="CJ595" s="63">
        <v>0.0</v>
      </c>
      <c r="CK595" s="64">
        <v>0.0</v>
      </c>
      <c r="CL595" s="63">
        <v>0.0</v>
      </c>
      <c r="CM595" s="65">
        <v>0.0</v>
      </c>
      <c r="CN595" s="63">
        <v>0.0</v>
      </c>
      <c r="CO595" s="66">
        <v>0.0</v>
      </c>
      <c r="CP595" s="67">
        <v>0.0</v>
      </c>
      <c r="CQ595" s="63">
        <v>0.0</v>
      </c>
      <c r="CR595" s="63">
        <v>0.0</v>
      </c>
      <c r="CS595" s="63">
        <v>0.0</v>
      </c>
      <c r="CT595" s="68"/>
      <c r="CU595" s="69"/>
      <c r="CV595" s="70"/>
      <c r="CW595" s="71">
        <v>1.0</v>
      </c>
      <c r="CX595" s="71">
        <v>1.0</v>
      </c>
      <c r="CY595" s="71">
        <v>0.1</v>
      </c>
      <c r="CZ595" s="45"/>
      <c r="DA595" s="43"/>
      <c r="DB595" s="44">
        <v>0.0</v>
      </c>
      <c r="DC595" s="43"/>
      <c r="DD595" s="78"/>
      <c r="DE595" s="43"/>
      <c r="DF595" s="43"/>
      <c r="DG595" s="48" t="s">
        <v>128</v>
      </c>
      <c r="DH595" s="48" t="s">
        <v>131</v>
      </c>
      <c r="DI595" s="48" t="s">
        <v>574</v>
      </c>
      <c r="DJ595" s="49">
        <v>1.0</v>
      </c>
      <c r="DK595" s="48" t="b">
        <v>0</v>
      </c>
      <c r="DL595" s="50" t="s">
        <v>1375</v>
      </c>
      <c r="DM595" s="111"/>
      <c r="DN595" s="111"/>
      <c r="DO595" s="51"/>
      <c r="DP595" s="51"/>
      <c r="DQ595" s="48" t="s">
        <v>576</v>
      </c>
      <c r="DR595" s="51"/>
      <c r="DS595" s="48" t="s">
        <v>134</v>
      </c>
    </row>
    <row r="596">
      <c r="A596" s="23" t="s">
        <v>118</v>
      </c>
      <c r="B596" s="24">
        <v>4.0</v>
      </c>
      <c r="C596" s="23" t="s">
        <v>1123</v>
      </c>
      <c r="D596" s="24">
        <v>588071.0</v>
      </c>
      <c r="E596" s="23" t="s">
        <v>152</v>
      </c>
      <c r="F596" s="23" t="s">
        <v>1436</v>
      </c>
      <c r="G596" s="23" t="s">
        <v>1437</v>
      </c>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7"/>
      <c r="BU596" s="26"/>
      <c r="BV596" s="26"/>
      <c r="BW596" s="26"/>
      <c r="BX596" s="24">
        <v>1.0</v>
      </c>
      <c r="BY596" s="24" t="s">
        <v>123</v>
      </c>
      <c r="BZ596" s="87">
        <v>1.0</v>
      </c>
      <c r="CA596" s="72"/>
      <c r="CB596" s="82"/>
      <c r="CC596" s="31"/>
      <c r="CD596" s="28">
        <v>1.0</v>
      </c>
      <c r="CE596" s="88" t="s">
        <v>185</v>
      </c>
      <c r="CF596" s="33"/>
      <c r="CG596" s="34">
        <v>0.0</v>
      </c>
      <c r="CH596" s="89"/>
      <c r="CI596" s="36">
        <v>0.0</v>
      </c>
      <c r="CJ596" s="36">
        <v>0.0</v>
      </c>
      <c r="CK596" s="37">
        <v>0.0</v>
      </c>
      <c r="CL596" s="36">
        <v>0.0</v>
      </c>
      <c r="CM596" s="38">
        <v>0.0</v>
      </c>
      <c r="CN596" s="36">
        <v>0.0</v>
      </c>
      <c r="CO596" s="39">
        <v>0.0</v>
      </c>
      <c r="CP596" s="40">
        <v>0.0</v>
      </c>
      <c r="CQ596" s="36">
        <v>0.0</v>
      </c>
      <c r="CR596" s="36">
        <v>0.0</v>
      </c>
      <c r="CS596" s="36">
        <v>0.0</v>
      </c>
      <c r="CT596" s="41"/>
      <c r="CU596" s="42"/>
      <c r="CV596" s="43"/>
      <c r="CW596" s="44">
        <v>1.0</v>
      </c>
      <c r="CX596" s="44">
        <v>1.0</v>
      </c>
      <c r="CY596" s="44">
        <v>0.1</v>
      </c>
      <c r="CZ596" s="45"/>
      <c r="DA596" s="43"/>
      <c r="DB596" s="44">
        <v>0.0</v>
      </c>
      <c r="DC596" s="43"/>
      <c r="DD596" s="78"/>
      <c r="DE596" s="43"/>
      <c r="DF596" s="43"/>
      <c r="DG596" s="48" t="s">
        <v>128</v>
      </c>
      <c r="DH596" s="48" t="s">
        <v>131</v>
      </c>
      <c r="DI596" s="48" t="s">
        <v>574</v>
      </c>
      <c r="DJ596" s="49">
        <v>1.0</v>
      </c>
      <c r="DK596" s="48" t="b">
        <v>0</v>
      </c>
      <c r="DL596" s="111"/>
      <c r="DM596" s="111"/>
      <c r="DN596" s="111"/>
      <c r="DO596" s="51"/>
      <c r="DP596" s="51"/>
      <c r="DQ596" s="48" t="s">
        <v>576</v>
      </c>
      <c r="DR596" s="51"/>
      <c r="DS596" s="48" t="s">
        <v>134</v>
      </c>
    </row>
    <row r="597">
      <c r="A597" s="52" t="s">
        <v>118</v>
      </c>
      <c r="B597" s="53">
        <v>4.0</v>
      </c>
      <c r="C597" s="52" t="s">
        <v>1123</v>
      </c>
      <c r="D597" s="53">
        <v>648806.0</v>
      </c>
      <c r="E597" s="52" t="s">
        <v>179</v>
      </c>
      <c r="F597" s="52" t="s">
        <v>1438</v>
      </c>
      <c r="G597" s="52" t="s">
        <v>1439</v>
      </c>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81"/>
      <c r="BU597" s="54"/>
      <c r="BV597" s="54"/>
      <c r="BW597" s="54"/>
      <c r="BX597" s="53">
        <v>1.0</v>
      </c>
      <c r="BY597" s="53" t="s">
        <v>123</v>
      </c>
      <c r="BZ597" s="87">
        <v>1.0</v>
      </c>
      <c r="CA597" s="72"/>
      <c r="CB597" s="82"/>
      <c r="CC597" s="31"/>
      <c r="CD597" s="58">
        <v>1.0</v>
      </c>
      <c r="CE597" s="83" t="s">
        <v>185</v>
      </c>
      <c r="CF597" s="60"/>
      <c r="CG597" s="61">
        <v>0.0</v>
      </c>
      <c r="CH597" s="84"/>
      <c r="CI597" s="63">
        <v>0.0</v>
      </c>
      <c r="CJ597" s="63">
        <v>0.0</v>
      </c>
      <c r="CK597" s="64">
        <v>0.0</v>
      </c>
      <c r="CL597" s="63">
        <v>0.0</v>
      </c>
      <c r="CM597" s="65">
        <v>0.0</v>
      </c>
      <c r="CN597" s="63">
        <v>0.0</v>
      </c>
      <c r="CO597" s="66">
        <v>0.0</v>
      </c>
      <c r="CP597" s="67">
        <v>0.0</v>
      </c>
      <c r="CQ597" s="63">
        <v>0.0</v>
      </c>
      <c r="CR597" s="63">
        <v>0.0</v>
      </c>
      <c r="CS597" s="63">
        <v>0.0</v>
      </c>
      <c r="CT597" s="68"/>
      <c r="CU597" s="69"/>
      <c r="CV597" s="70"/>
      <c r="CW597" s="71">
        <v>1.0</v>
      </c>
      <c r="CX597" s="71">
        <v>1.0</v>
      </c>
      <c r="CY597" s="71">
        <v>0.1</v>
      </c>
      <c r="CZ597" s="45"/>
      <c r="DA597" s="43"/>
      <c r="DB597" s="44">
        <v>0.0</v>
      </c>
      <c r="DC597" s="43"/>
      <c r="DD597" s="78"/>
      <c r="DE597" s="43"/>
      <c r="DF597" s="43"/>
      <c r="DG597" s="48" t="s">
        <v>128</v>
      </c>
      <c r="DH597" s="48" t="s">
        <v>131</v>
      </c>
      <c r="DI597" s="48" t="s">
        <v>574</v>
      </c>
      <c r="DJ597" s="49">
        <v>1.0</v>
      </c>
      <c r="DK597" s="48" t="b">
        <v>0</v>
      </c>
      <c r="DL597" s="50" t="s">
        <v>1375</v>
      </c>
      <c r="DM597" s="111"/>
      <c r="DN597" s="111"/>
      <c r="DO597" s="51"/>
      <c r="DP597" s="51"/>
      <c r="DQ597" s="48" t="s">
        <v>576</v>
      </c>
      <c r="DR597" s="51"/>
      <c r="DS597" s="48" t="s">
        <v>134</v>
      </c>
    </row>
    <row r="598">
      <c r="A598" s="23" t="s">
        <v>118</v>
      </c>
      <c r="B598" s="24">
        <v>4.0</v>
      </c>
      <c r="C598" s="23" t="s">
        <v>1123</v>
      </c>
      <c r="D598" s="24">
        <v>639495.0</v>
      </c>
      <c r="E598" s="23" t="s">
        <v>155</v>
      </c>
      <c r="F598" s="23" t="s">
        <v>1440</v>
      </c>
      <c r="G598" s="23" t="s">
        <v>1441</v>
      </c>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7"/>
      <c r="BU598" s="26"/>
      <c r="BV598" s="26"/>
      <c r="BW598" s="26"/>
      <c r="BX598" s="24">
        <v>1.0</v>
      </c>
      <c r="BY598" s="24" t="s">
        <v>123</v>
      </c>
      <c r="BZ598" s="87">
        <v>1.0</v>
      </c>
      <c r="CA598" s="72"/>
      <c r="CB598" s="82"/>
      <c r="CC598" s="31"/>
      <c r="CD598" s="28">
        <v>1.0</v>
      </c>
      <c r="CE598" s="88" t="s">
        <v>185</v>
      </c>
      <c r="CF598" s="33"/>
      <c r="CG598" s="34">
        <v>0.0</v>
      </c>
      <c r="CH598" s="89"/>
      <c r="CI598" s="36">
        <v>0.0</v>
      </c>
      <c r="CJ598" s="36">
        <v>0.0</v>
      </c>
      <c r="CK598" s="37">
        <v>0.0</v>
      </c>
      <c r="CL598" s="36">
        <v>0.0</v>
      </c>
      <c r="CM598" s="38">
        <v>0.0</v>
      </c>
      <c r="CN598" s="36">
        <v>0.0</v>
      </c>
      <c r="CO598" s="39">
        <v>0.0</v>
      </c>
      <c r="CP598" s="40">
        <v>0.0</v>
      </c>
      <c r="CQ598" s="36">
        <v>0.0</v>
      </c>
      <c r="CR598" s="36">
        <v>0.0</v>
      </c>
      <c r="CS598" s="36">
        <v>0.0</v>
      </c>
      <c r="CT598" s="41"/>
      <c r="CU598" s="42"/>
      <c r="CV598" s="43"/>
      <c r="CW598" s="44">
        <v>1.0</v>
      </c>
      <c r="CX598" s="44">
        <v>1.0</v>
      </c>
      <c r="CY598" s="44">
        <v>0.1</v>
      </c>
      <c r="CZ598" s="45"/>
      <c r="DA598" s="43"/>
      <c r="DB598" s="44">
        <v>0.0</v>
      </c>
      <c r="DC598" s="43"/>
      <c r="DD598" s="78"/>
      <c r="DE598" s="43"/>
      <c r="DF598" s="43"/>
      <c r="DG598" s="48" t="s">
        <v>128</v>
      </c>
      <c r="DH598" s="48" t="s">
        <v>131</v>
      </c>
      <c r="DI598" s="48" t="s">
        <v>574</v>
      </c>
      <c r="DJ598" s="49">
        <v>1.0</v>
      </c>
      <c r="DK598" s="48" t="b">
        <v>0</v>
      </c>
      <c r="DL598" s="50" t="s">
        <v>1382</v>
      </c>
      <c r="DM598" s="111"/>
      <c r="DN598" s="111"/>
      <c r="DO598" s="51"/>
      <c r="DP598" s="51"/>
      <c r="DQ598" s="48" t="s">
        <v>576</v>
      </c>
      <c r="DR598" s="51"/>
      <c r="DS598" s="48" t="s">
        <v>134</v>
      </c>
    </row>
    <row r="599">
      <c r="A599" s="52" t="s">
        <v>118</v>
      </c>
      <c r="B599" s="53">
        <v>4.0</v>
      </c>
      <c r="C599" s="52" t="s">
        <v>1123</v>
      </c>
      <c r="D599" s="53">
        <v>604008.0</v>
      </c>
      <c r="E599" s="52" t="s">
        <v>176</v>
      </c>
      <c r="F599" s="52" t="s">
        <v>1442</v>
      </c>
      <c r="G599" s="52" t="s">
        <v>1443</v>
      </c>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81"/>
      <c r="BU599" s="54"/>
      <c r="BV599" s="54"/>
      <c r="BW599" s="54"/>
      <c r="BX599" s="53">
        <v>1.0</v>
      </c>
      <c r="BY599" s="53" t="s">
        <v>123</v>
      </c>
      <c r="BZ599" s="87">
        <v>1.0</v>
      </c>
      <c r="CA599" s="72"/>
      <c r="CB599" s="82"/>
      <c r="CC599" s="31"/>
      <c r="CD599" s="58">
        <v>1.0</v>
      </c>
      <c r="CE599" s="83" t="s">
        <v>185</v>
      </c>
      <c r="CF599" s="60"/>
      <c r="CG599" s="61">
        <v>0.0</v>
      </c>
      <c r="CH599" s="84"/>
      <c r="CI599" s="63">
        <v>0.0</v>
      </c>
      <c r="CJ599" s="63">
        <v>0.0</v>
      </c>
      <c r="CK599" s="64">
        <v>0.0</v>
      </c>
      <c r="CL599" s="63">
        <v>0.0</v>
      </c>
      <c r="CM599" s="65">
        <v>0.0</v>
      </c>
      <c r="CN599" s="63">
        <v>0.0</v>
      </c>
      <c r="CO599" s="66">
        <v>0.0</v>
      </c>
      <c r="CP599" s="67">
        <v>0.0</v>
      </c>
      <c r="CQ599" s="63">
        <v>0.0</v>
      </c>
      <c r="CR599" s="63">
        <v>0.0</v>
      </c>
      <c r="CS599" s="63">
        <v>0.0</v>
      </c>
      <c r="CT599" s="68"/>
      <c r="CU599" s="69"/>
      <c r="CV599" s="70"/>
      <c r="CW599" s="71">
        <v>1.0</v>
      </c>
      <c r="CX599" s="71">
        <v>1.0</v>
      </c>
      <c r="CY599" s="71">
        <v>0.1</v>
      </c>
      <c r="CZ599" s="45"/>
      <c r="DA599" s="43"/>
      <c r="DB599" s="44">
        <v>0.0</v>
      </c>
      <c r="DC599" s="43"/>
      <c r="DD599" s="78"/>
      <c r="DE599" s="43"/>
      <c r="DF599" s="43"/>
      <c r="DG599" s="48" t="s">
        <v>128</v>
      </c>
      <c r="DH599" s="48" t="s">
        <v>131</v>
      </c>
      <c r="DI599" s="48" t="s">
        <v>574</v>
      </c>
      <c r="DJ599" s="49">
        <v>1.0</v>
      </c>
      <c r="DK599" s="48" t="b">
        <v>0</v>
      </c>
      <c r="DL599" s="111"/>
      <c r="DM599" s="111"/>
      <c r="DN599" s="111"/>
      <c r="DO599" s="51"/>
      <c r="DP599" s="51"/>
      <c r="DQ599" s="48" t="s">
        <v>576</v>
      </c>
      <c r="DR599" s="51"/>
      <c r="DS599" s="48" t="s">
        <v>134</v>
      </c>
    </row>
    <row r="600">
      <c r="A600" s="23" t="s">
        <v>118</v>
      </c>
      <c r="B600" s="24">
        <v>4.0</v>
      </c>
      <c r="C600" s="23" t="s">
        <v>1123</v>
      </c>
      <c r="D600" s="24">
        <v>627274.0</v>
      </c>
      <c r="E600" s="23" t="s">
        <v>173</v>
      </c>
      <c r="F600" s="23" t="s">
        <v>1444</v>
      </c>
      <c r="G600" s="23" t="s">
        <v>1445</v>
      </c>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7"/>
      <c r="BU600" s="26"/>
      <c r="BV600" s="26"/>
      <c r="BW600" s="26"/>
      <c r="BX600" s="24">
        <v>1.0</v>
      </c>
      <c r="BY600" s="23" t="s">
        <v>123</v>
      </c>
      <c r="BZ600" s="87">
        <v>1.0</v>
      </c>
      <c r="CA600" s="72"/>
      <c r="CB600" s="82"/>
      <c r="CC600" s="31"/>
      <c r="CD600" s="28">
        <v>1.0</v>
      </c>
      <c r="CE600" s="88" t="s">
        <v>185</v>
      </c>
      <c r="CF600" s="33"/>
      <c r="CG600" s="34">
        <v>0.0</v>
      </c>
      <c r="CH600" s="89"/>
      <c r="CI600" s="36">
        <v>0.0</v>
      </c>
      <c r="CJ600" s="36">
        <v>0.0</v>
      </c>
      <c r="CK600" s="37">
        <v>0.0</v>
      </c>
      <c r="CL600" s="36">
        <v>0.0</v>
      </c>
      <c r="CM600" s="38">
        <v>0.0</v>
      </c>
      <c r="CN600" s="36">
        <v>0.0</v>
      </c>
      <c r="CO600" s="39">
        <v>0.0</v>
      </c>
      <c r="CP600" s="40">
        <v>0.0</v>
      </c>
      <c r="CQ600" s="36">
        <v>0.0</v>
      </c>
      <c r="CR600" s="36">
        <v>0.0</v>
      </c>
      <c r="CS600" s="36">
        <v>0.0</v>
      </c>
      <c r="CT600" s="41"/>
      <c r="CU600" s="42"/>
      <c r="CV600" s="43"/>
      <c r="CW600" s="44">
        <v>1.0</v>
      </c>
      <c r="CX600" s="44">
        <v>1.0</v>
      </c>
      <c r="CY600" s="44">
        <v>0.1</v>
      </c>
      <c r="CZ600" s="45"/>
      <c r="DA600" s="43"/>
      <c r="DB600" s="44">
        <v>0.0</v>
      </c>
      <c r="DC600" s="43"/>
      <c r="DD600" s="78"/>
      <c r="DE600" s="43"/>
      <c r="DF600" s="43"/>
      <c r="DG600" s="48" t="s">
        <v>128</v>
      </c>
      <c r="DH600" s="48" t="s">
        <v>131</v>
      </c>
      <c r="DI600" s="48" t="s">
        <v>574</v>
      </c>
      <c r="DJ600" s="49">
        <v>1.0</v>
      </c>
      <c r="DK600" s="48" t="b">
        <v>0</v>
      </c>
      <c r="DL600" s="50" t="s">
        <v>1382</v>
      </c>
      <c r="DM600" s="111"/>
      <c r="DN600" s="111"/>
      <c r="DO600" s="51"/>
      <c r="DP600" s="51"/>
      <c r="DQ600" s="48" t="s">
        <v>576</v>
      </c>
      <c r="DR600" s="51"/>
      <c r="DS600" s="48" t="s">
        <v>134</v>
      </c>
    </row>
    <row r="601">
      <c r="A601" s="52" t="s">
        <v>118</v>
      </c>
      <c r="B601" s="53">
        <v>4.0</v>
      </c>
      <c r="C601" s="52" t="s">
        <v>1123</v>
      </c>
      <c r="D601" s="53">
        <v>558730.0</v>
      </c>
      <c r="E601" s="52" t="s">
        <v>148</v>
      </c>
      <c r="F601" s="52" t="s">
        <v>1446</v>
      </c>
      <c r="G601" s="52" t="s">
        <v>1447</v>
      </c>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c r="BS601" s="54"/>
      <c r="BT601" s="81"/>
      <c r="BU601" s="54"/>
      <c r="BV601" s="54"/>
      <c r="BW601" s="54"/>
      <c r="BX601" s="53">
        <v>1.0</v>
      </c>
      <c r="BY601" s="53" t="s">
        <v>123</v>
      </c>
      <c r="BZ601" s="87">
        <v>1.0</v>
      </c>
      <c r="CA601" s="72"/>
      <c r="CB601" s="82"/>
      <c r="CC601" s="31"/>
      <c r="CD601" s="58">
        <v>1.0</v>
      </c>
      <c r="CE601" s="83" t="s">
        <v>185</v>
      </c>
      <c r="CF601" s="60"/>
      <c r="CG601" s="61">
        <v>0.0</v>
      </c>
      <c r="CH601" s="84"/>
      <c r="CI601" s="63">
        <v>0.0</v>
      </c>
      <c r="CJ601" s="63">
        <v>0.0</v>
      </c>
      <c r="CK601" s="64">
        <v>0.0</v>
      </c>
      <c r="CL601" s="63">
        <v>0.0</v>
      </c>
      <c r="CM601" s="65">
        <v>0.0</v>
      </c>
      <c r="CN601" s="63">
        <v>0.0</v>
      </c>
      <c r="CO601" s="66">
        <v>0.0</v>
      </c>
      <c r="CP601" s="67">
        <v>0.0</v>
      </c>
      <c r="CQ601" s="63">
        <v>0.0</v>
      </c>
      <c r="CR601" s="63">
        <v>0.0</v>
      </c>
      <c r="CS601" s="63">
        <v>0.0</v>
      </c>
      <c r="CT601" s="68"/>
      <c r="CU601" s="69"/>
      <c r="CV601" s="70"/>
      <c r="CW601" s="71">
        <v>1.0</v>
      </c>
      <c r="CX601" s="71">
        <v>1.0</v>
      </c>
      <c r="CY601" s="71">
        <v>0.1</v>
      </c>
      <c r="CZ601" s="45"/>
      <c r="DA601" s="43"/>
      <c r="DB601" s="44">
        <v>0.0</v>
      </c>
      <c r="DC601" s="43"/>
      <c r="DD601" s="78"/>
      <c r="DE601" s="43"/>
      <c r="DF601" s="43"/>
      <c r="DG601" s="48" t="s">
        <v>128</v>
      </c>
      <c r="DH601" s="48" t="s">
        <v>131</v>
      </c>
      <c r="DI601" s="48" t="s">
        <v>574</v>
      </c>
      <c r="DJ601" s="49">
        <v>1.0</v>
      </c>
      <c r="DK601" s="48" t="b">
        <v>0</v>
      </c>
      <c r="DL601" s="50" t="s">
        <v>1375</v>
      </c>
      <c r="DM601" s="111"/>
      <c r="DN601" s="111"/>
      <c r="DO601" s="51"/>
      <c r="DP601" s="51"/>
      <c r="DQ601" s="48" t="s">
        <v>576</v>
      </c>
      <c r="DR601" s="51"/>
      <c r="DS601" s="48" t="s">
        <v>134</v>
      </c>
    </row>
    <row r="602">
      <c r="A602" s="23" t="s">
        <v>118</v>
      </c>
      <c r="B602" s="24">
        <v>4.0</v>
      </c>
      <c r="C602" s="23" t="s">
        <v>1123</v>
      </c>
      <c r="D602" s="24">
        <v>604008.0</v>
      </c>
      <c r="E602" s="23" t="s">
        <v>176</v>
      </c>
      <c r="F602" s="23" t="s">
        <v>1448</v>
      </c>
      <c r="G602" s="23" t="s">
        <v>1449</v>
      </c>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7"/>
      <c r="BU602" s="26"/>
      <c r="BV602" s="26"/>
      <c r="BW602" s="26"/>
      <c r="BX602" s="24">
        <v>1.0</v>
      </c>
      <c r="BY602" s="24" t="s">
        <v>123</v>
      </c>
      <c r="BZ602" s="87">
        <v>1.0</v>
      </c>
      <c r="CA602" s="72"/>
      <c r="CB602" s="82"/>
      <c r="CC602" s="31"/>
      <c r="CD602" s="28">
        <v>1.0</v>
      </c>
      <c r="CE602" s="88" t="s">
        <v>185</v>
      </c>
      <c r="CF602" s="33"/>
      <c r="CG602" s="34">
        <v>0.0</v>
      </c>
      <c r="CH602" s="89"/>
      <c r="CI602" s="36">
        <v>0.0</v>
      </c>
      <c r="CJ602" s="36">
        <v>0.0</v>
      </c>
      <c r="CK602" s="37">
        <v>0.0</v>
      </c>
      <c r="CL602" s="36">
        <v>0.0</v>
      </c>
      <c r="CM602" s="38">
        <v>0.0</v>
      </c>
      <c r="CN602" s="36">
        <v>0.0</v>
      </c>
      <c r="CO602" s="39">
        <v>0.0</v>
      </c>
      <c r="CP602" s="40">
        <v>0.0</v>
      </c>
      <c r="CQ602" s="36">
        <v>0.0</v>
      </c>
      <c r="CR602" s="36">
        <v>0.0</v>
      </c>
      <c r="CS602" s="36">
        <v>0.0</v>
      </c>
      <c r="CT602" s="41"/>
      <c r="CU602" s="42"/>
      <c r="CV602" s="43"/>
      <c r="CW602" s="44">
        <v>1.0</v>
      </c>
      <c r="CX602" s="44">
        <v>1.0</v>
      </c>
      <c r="CY602" s="44">
        <v>0.1</v>
      </c>
      <c r="CZ602" s="45"/>
      <c r="DA602" s="43"/>
      <c r="DB602" s="44">
        <v>0.0</v>
      </c>
      <c r="DC602" s="43"/>
      <c r="DD602" s="78"/>
      <c r="DE602" s="43"/>
      <c r="DF602" s="43"/>
      <c r="DG602" s="48" t="s">
        <v>128</v>
      </c>
      <c r="DH602" s="48" t="s">
        <v>131</v>
      </c>
      <c r="DI602" s="48" t="s">
        <v>574</v>
      </c>
      <c r="DJ602" s="49">
        <v>1.0</v>
      </c>
      <c r="DK602" s="48" t="b">
        <v>0</v>
      </c>
      <c r="DL602" s="50" t="s">
        <v>1375</v>
      </c>
      <c r="DM602" s="111"/>
      <c r="DN602" s="111"/>
      <c r="DO602" s="51"/>
      <c r="DP602" s="51"/>
      <c r="DQ602" s="48" t="s">
        <v>576</v>
      </c>
      <c r="DR602" s="51"/>
      <c r="DS602" s="48" t="s">
        <v>134</v>
      </c>
    </row>
    <row r="603">
      <c r="A603" s="52" t="s">
        <v>118</v>
      </c>
      <c r="B603" s="53">
        <v>4.0</v>
      </c>
      <c r="C603" s="52" t="s">
        <v>1123</v>
      </c>
      <c r="D603" s="53">
        <v>648803.0</v>
      </c>
      <c r="E603" s="52" t="s">
        <v>189</v>
      </c>
      <c r="F603" s="52" t="s">
        <v>1450</v>
      </c>
      <c r="G603" s="52" t="s">
        <v>1451</v>
      </c>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c r="BS603" s="54"/>
      <c r="BT603" s="81"/>
      <c r="BU603" s="54"/>
      <c r="BV603" s="54"/>
      <c r="BW603" s="54"/>
      <c r="BX603" s="53">
        <v>1.0</v>
      </c>
      <c r="BY603" s="52" t="s">
        <v>123</v>
      </c>
      <c r="BZ603" s="87">
        <v>1.0</v>
      </c>
      <c r="CA603" s="72"/>
      <c r="CB603" s="82"/>
      <c r="CC603" s="31"/>
      <c r="CD603" s="58">
        <v>1.0</v>
      </c>
      <c r="CE603" s="83" t="s">
        <v>185</v>
      </c>
      <c r="CF603" s="60"/>
      <c r="CG603" s="61">
        <v>0.0</v>
      </c>
      <c r="CH603" s="84"/>
      <c r="CI603" s="63">
        <v>0.0</v>
      </c>
      <c r="CJ603" s="63">
        <v>0.0</v>
      </c>
      <c r="CK603" s="64">
        <v>0.0</v>
      </c>
      <c r="CL603" s="63">
        <v>0.0</v>
      </c>
      <c r="CM603" s="65">
        <v>0.0</v>
      </c>
      <c r="CN603" s="63">
        <v>0.0</v>
      </c>
      <c r="CO603" s="66">
        <v>0.0</v>
      </c>
      <c r="CP603" s="67">
        <v>0.0</v>
      </c>
      <c r="CQ603" s="63">
        <v>0.0</v>
      </c>
      <c r="CR603" s="63">
        <v>0.0</v>
      </c>
      <c r="CS603" s="63">
        <v>0.0</v>
      </c>
      <c r="CT603" s="68"/>
      <c r="CU603" s="69"/>
      <c r="CV603" s="70"/>
      <c r="CW603" s="71">
        <v>1.0</v>
      </c>
      <c r="CX603" s="71">
        <v>1.0</v>
      </c>
      <c r="CY603" s="71">
        <v>0.1</v>
      </c>
      <c r="CZ603" s="45"/>
      <c r="DA603" s="43"/>
      <c r="DB603" s="44">
        <v>0.0</v>
      </c>
      <c r="DC603" s="43"/>
      <c r="DD603" s="78"/>
      <c r="DE603" s="43"/>
      <c r="DF603" s="43"/>
      <c r="DG603" s="48" t="s">
        <v>128</v>
      </c>
      <c r="DH603" s="48" t="s">
        <v>131</v>
      </c>
      <c r="DI603" s="48" t="s">
        <v>574</v>
      </c>
      <c r="DJ603" s="49">
        <v>1.0</v>
      </c>
      <c r="DK603" s="48" t="b">
        <v>0</v>
      </c>
      <c r="DL603" s="111"/>
      <c r="DM603" s="111"/>
      <c r="DN603" s="111"/>
      <c r="DO603" s="51"/>
      <c r="DP603" s="51"/>
      <c r="DQ603" s="48" t="s">
        <v>576</v>
      </c>
      <c r="DR603" s="51"/>
      <c r="DS603" s="48" t="s">
        <v>134</v>
      </c>
    </row>
    <row r="604">
      <c r="A604" s="23" t="s">
        <v>118</v>
      </c>
      <c r="B604" s="24">
        <v>4.0</v>
      </c>
      <c r="C604" s="23" t="s">
        <v>1123</v>
      </c>
      <c r="D604" s="24">
        <v>626041.0</v>
      </c>
      <c r="E604" s="23" t="s">
        <v>135</v>
      </c>
      <c r="F604" s="23" t="s">
        <v>1452</v>
      </c>
      <c r="G604" s="23" t="s">
        <v>1453</v>
      </c>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7"/>
      <c r="BU604" s="26"/>
      <c r="BV604" s="26"/>
      <c r="BW604" s="26"/>
      <c r="BX604" s="24">
        <v>1.0</v>
      </c>
      <c r="BY604" s="23" t="s">
        <v>123</v>
      </c>
      <c r="BZ604" s="87">
        <v>1.0</v>
      </c>
      <c r="CA604" s="72"/>
      <c r="CB604" s="82"/>
      <c r="CC604" s="31"/>
      <c r="CD604" s="28">
        <v>1.0</v>
      </c>
      <c r="CE604" s="88" t="s">
        <v>185</v>
      </c>
      <c r="CF604" s="33"/>
      <c r="CG604" s="34">
        <v>0.0</v>
      </c>
      <c r="CH604" s="89"/>
      <c r="CI604" s="36">
        <v>0.0</v>
      </c>
      <c r="CJ604" s="36">
        <v>0.0</v>
      </c>
      <c r="CK604" s="37">
        <v>0.0</v>
      </c>
      <c r="CL604" s="36">
        <v>0.0</v>
      </c>
      <c r="CM604" s="38">
        <v>0.0</v>
      </c>
      <c r="CN604" s="36">
        <v>0.0</v>
      </c>
      <c r="CO604" s="39">
        <v>0.0</v>
      </c>
      <c r="CP604" s="40">
        <v>0.0</v>
      </c>
      <c r="CQ604" s="36">
        <v>0.0</v>
      </c>
      <c r="CR604" s="36">
        <v>0.0</v>
      </c>
      <c r="CS604" s="36">
        <v>0.0</v>
      </c>
      <c r="CT604" s="41"/>
      <c r="CU604" s="42"/>
      <c r="CV604" s="43"/>
      <c r="CW604" s="44">
        <v>1.0</v>
      </c>
      <c r="CX604" s="44">
        <v>1.0</v>
      </c>
      <c r="CY604" s="44">
        <v>0.1</v>
      </c>
      <c r="CZ604" s="45"/>
      <c r="DA604" s="43"/>
      <c r="DB604" s="44">
        <v>0.0</v>
      </c>
      <c r="DC604" s="43"/>
      <c r="DD604" s="78"/>
      <c r="DE604" s="43"/>
      <c r="DF604" s="43"/>
      <c r="DG604" s="48" t="s">
        <v>128</v>
      </c>
      <c r="DH604" s="48" t="s">
        <v>131</v>
      </c>
      <c r="DI604" s="48" t="s">
        <v>574</v>
      </c>
      <c r="DJ604" s="49">
        <v>1.0</v>
      </c>
      <c r="DK604" s="48" t="b">
        <v>0</v>
      </c>
      <c r="DL604" s="50" t="s">
        <v>1382</v>
      </c>
      <c r="DM604" s="111"/>
      <c r="DN604" s="111"/>
      <c r="DO604" s="51"/>
      <c r="DP604" s="51"/>
      <c r="DQ604" s="48" t="s">
        <v>576</v>
      </c>
      <c r="DR604" s="51"/>
      <c r="DS604" s="48" t="s">
        <v>134</v>
      </c>
    </row>
    <row r="605">
      <c r="A605" s="52" t="s">
        <v>118</v>
      </c>
      <c r="B605" s="53">
        <v>4.0</v>
      </c>
      <c r="C605" s="52" t="s">
        <v>1123</v>
      </c>
      <c r="D605" s="53">
        <v>640888.0</v>
      </c>
      <c r="E605" s="52" t="s">
        <v>161</v>
      </c>
      <c r="F605" s="52" t="s">
        <v>1454</v>
      </c>
      <c r="G605" s="52" t="s">
        <v>1455</v>
      </c>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81"/>
      <c r="BU605" s="54"/>
      <c r="BV605" s="54"/>
      <c r="BW605" s="54"/>
      <c r="BX605" s="53">
        <v>1.0</v>
      </c>
      <c r="BY605" s="53" t="s">
        <v>123</v>
      </c>
      <c r="BZ605" s="87">
        <v>1.0</v>
      </c>
      <c r="CA605" s="72"/>
      <c r="CB605" s="82"/>
      <c r="CC605" s="31"/>
      <c r="CD605" s="58">
        <v>1.0</v>
      </c>
      <c r="CE605" s="83" t="s">
        <v>185</v>
      </c>
      <c r="CF605" s="60"/>
      <c r="CG605" s="61">
        <v>0.0</v>
      </c>
      <c r="CH605" s="84"/>
      <c r="CI605" s="63">
        <v>0.0</v>
      </c>
      <c r="CJ605" s="63">
        <v>0.0</v>
      </c>
      <c r="CK605" s="64">
        <v>0.0</v>
      </c>
      <c r="CL605" s="63">
        <v>0.0</v>
      </c>
      <c r="CM605" s="65">
        <v>0.0</v>
      </c>
      <c r="CN605" s="63">
        <v>0.0</v>
      </c>
      <c r="CO605" s="66">
        <v>0.0</v>
      </c>
      <c r="CP605" s="67">
        <v>0.0</v>
      </c>
      <c r="CQ605" s="63">
        <v>0.0</v>
      </c>
      <c r="CR605" s="63">
        <v>0.0</v>
      </c>
      <c r="CS605" s="63">
        <v>0.0</v>
      </c>
      <c r="CT605" s="68"/>
      <c r="CU605" s="69"/>
      <c r="CV605" s="70"/>
      <c r="CW605" s="71">
        <v>1.0</v>
      </c>
      <c r="CX605" s="71">
        <v>1.0</v>
      </c>
      <c r="CY605" s="71">
        <v>0.1</v>
      </c>
      <c r="CZ605" s="45"/>
      <c r="DA605" s="43"/>
      <c r="DB605" s="44">
        <v>0.0</v>
      </c>
      <c r="DC605" s="43"/>
      <c r="DD605" s="78"/>
      <c r="DE605" s="43"/>
      <c r="DF605" s="43"/>
      <c r="DG605" s="48" t="s">
        <v>128</v>
      </c>
      <c r="DH605" s="48" t="s">
        <v>131</v>
      </c>
      <c r="DI605" s="48" t="s">
        <v>574</v>
      </c>
      <c r="DJ605" s="49">
        <v>1.0</v>
      </c>
      <c r="DK605" s="48" t="b">
        <v>0</v>
      </c>
      <c r="DL605" s="50" t="s">
        <v>1375</v>
      </c>
      <c r="DM605" s="111"/>
      <c r="DN605" s="111"/>
      <c r="DO605" s="51"/>
      <c r="DP605" s="51"/>
      <c r="DQ605" s="48" t="s">
        <v>576</v>
      </c>
      <c r="DR605" s="51"/>
      <c r="DS605" s="48" t="s">
        <v>134</v>
      </c>
    </row>
    <row r="606">
      <c r="A606" s="23" t="s">
        <v>118</v>
      </c>
      <c r="B606" s="24">
        <v>4.0</v>
      </c>
      <c r="C606" s="23" t="s">
        <v>1123</v>
      </c>
      <c r="D606" s="24">
        <v>639495.0</v>
      </c>
      <c r="E606" s="23" t="s">
        <v>155</v>
      </c>
      <c r="F606" s="23" t="s">
        <v>1456</v>
      </c>
      <c r="G606" s="23" t="s">
        <v>1457</v>
      </c>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7"/>
      <c r="BU606" s="26"/>
      <c r="BV606" s="26"/>
      <c r="BW606" s="26"/>
      <c r="BX606" s="24">
        <v>1.0</v>
      </c>
      <c r="BY606" s="23" t="s">
        <v>123</v>
      </c>
      <c r="BZ606" s="87">
        <v>1.0</v>
      </c>
      <c r="CA606" s="72"/>
      <c r="CB606" s="82"/>
      <c r="CC606" s="31"/>
      <c r="CD606" s="28">
        <v>1.0</v>
      </c>
      <c r="CE606" s="88" t="s">
        <v>185</v>
      </c>
      <c r="CF606" s="33"/>
      <c r="CG606" s="34">
        <v>0.0</v>
      </c>
      <c r="CH606" s="89"/>
      <c r="CI606" s="36">
        <v>0.0</v>
      </c>
      <c r="CJ606" s="36">
        <v>0.0</v>
      </c>
      <c r="CK606" s="37">
        <v>0.0</v>
      </c>
      <c r="CL606" s="36">
        <v>0.0</v>
      </c>
      <c r="CM606" s="38">
        <v>0.0</v>
      </c>
      <c r="CN606" s="36">
        <v>0.0</v>
      </c>
      <c r="CO606" s="39">
        <v>0.0</v>
      </c>
      <c r="CP606" s="40">
        <v>0.0</v>
      </c>
      <c r="CQ606" s="36">
        <v>0.0</v>
      </c>
      <c r="CR606" s="36">
        <v>0.0</v>
      </c>
      <c r="CS606" s="36">
        <v>0.0</v>
      </c>
      <c r="CT606" s="41"/>
      <c r="CU606" s="42"/>
      <c r="CV606" s="43"/>
      <c r="CW606" s="44">
        <v>1.0</v>
      </c>
      <c r="CX606" s="44">
        <v>1.0</v>
      </c>
      <c r="CY606" s="44">
        <v>0.1</v>
      </c>
      <c r="CZ606" s="45"/>
      <c r="DA606" s="43"/>
      <c r="DB606" s="44">
        <v>0.0</v>
      </c>
      <c r="DC606" s="43"/>
      <c r="DD606" s="78"/>
      <c r="DE606" s="43"/>
      <c r="DF606" s="43"/>
      <c r="DG606" s="48" t="s">
        <v>128</v>
      </c>
      <c r="DH606" s="48" t="s">
        <v>131</v>
      </c>
      <c r="DI606" s="48" t="s">
        <v>574</v>
      </c>
      <c r="DJ606" s="49">
        <v>1.0</v>
      </c>
      <c r="DK606" s="48" t="b">
        <v>0</v>
      </c>
      <c r="DL606" s="50" t="s">
        <v>1375</v>
      </c>
      <c r="DM606" s="111"/>
      <c r="DN606" s="111"/>
      <c r="DO606" s="51"/>
      <c r="DP606" s="51"/>
      <c r="DQ606" s="48" t="s">
        <v>576</v>
      </c>
      <c r="DR606" s="51"/>
      <c r="DS606" s="48" t="s">
        <v>134</v>
      </c>
    </row>
    <row r="607">
      <c r="A607" s="52" t="s">
        <v>118</v>
      </c>
      <c r="B607" s="53">
        <v>4.0</v>
      </c>
      <c r="C607" s="52" t="s">
        <v>1123</v>
      </c>
      <c r="D607" s="53">
        <v>639495.0</v>
      </c>
      <c r="E607" s="52" t="s">
        <v>155</v>
      </c>
      <c r="F607" s="52" t="s">
        <v>1458</v>
      </c>
      <c r="G607" s="52" t="s">
        <v>1459</v>
      </c>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81"/>
      <c r="BU607" s="54"/>
      <c r="BV607" s="54"/>
      <c r="BW607" s="54"/>
      <c r="BX607" s="53">
        <v>1.0</v>
      </c>
      <c r="BY607" s="53" t="s">
        <v>123</v>
      </c>
      <c r="BZ607" s="87">
        <v>1.0</v>
      </c>
      <c r="CA607" s="72"/>
      <c r="CB607" s="82"/>
      <c r="CC607" s="31"/>
      <c r="CD607" s="58">
        <v>1.0</v>
      </c>
      <c r="CE607" s="83" t="s">
        <v>185</v>
      </c>
      <c r="CF607" s="60"/>
      <c r="CG607" s="61">
        <v>0.0</v>
      </c>
      <c r="CH607" s="84"/>
      <c r="CI607" s="63">
        <v>0.0</v>
      </c>
      <c r="CJ607" s="63">
        <v>0.0</v>
      </c>
      <c r="CK607" s="64">
        <v>0.0</v>
      </c>
      <c r="CL607" s="63">
        <v>0.0</v>
      </c>
      <c r="CM607" s="65">
        <v>0.0</v>
      </c>
      <c r="CN607" s="63">
        <v>0.0</v>
      </c>
      <c r="CO607" s="66">
        <v>0.0</v>
      </c>
      <c r="CP607" s="67">
        <v>0.0</v>
      </c>
      <c r="CQ607" s="63">
        <v>0.0</v>
      </c>
      <c r="CR607" s="63">
        <v>0.0</v>
      </c>
      <c r="CS607" s="63">
        <v>0.0</v>
      </c>
      <c r="CT607" s="68"/>
      <c r="CU607" s="69"/>
      <c r="CV607" s="70"/>
      <c r="CW607" s="71">
        <v>1.0</v>
      </c>
      <c r="CX607" s="71">
        <v>1.0</v>
      </c>
      <c r="CY607" s="71">
        <v>0.1</v>
      </c>
      <c r="CZ607" s="45"/>
      <c r="DA607" s="43"/>
      <c r="DB607" s="44">
        <v>0.0</v>
      </c>
      <c r="DC607" s="43"/>
      <c r="DD607" s="78"/>
      <c r="DE607" s="43"/>
      <c r="DF607" s="43"/>
      <c r="DG607" s="48" t="s">
        <v>128</v>
      </c>
      <c r="DH607" s="48" t="s">
        <v>131</v>
      </c>
      <c r="DI607" s="48" t="s">
        <v>574</v>
      </c>
      <c r="DJ607" s="49">
        <v>1.0</v>
      </c>
      <c r="DK607" s="48" t="b">
        <v>0</v>
      </c>
      <c r="DL607" s="111"/>
      <c r="DM607" s="111"/>
      <c r="DN607" s="111"/>
      <c r="DO607" s="51"/>
      <c r="DP607" s="51"/>
      <c r="DQ607" s="48" t="s">
        <v>576</v>
      </c>
      <c r="DR607" s="51"/>
      <c r="DS607" s="48" t="s">
        <v>134</v>
      </c>
    </row>
    <row r="608">
      <c r="A608" s="23" t="s">
        <v>118</v>
      </c>
      <c r="B608" s="24">
        <v>4.0</v>
      </c>
      <c r="C608" s="23" t="s">
        <v>1123</v>
      </c>
      <c r="D608" s="24">
        <v>610881.0</v>
      </c>
      <c r="E608" s="23" t="s">
        <v>167</v>
      </c>
      <c r="F608" s="23" t="s">
        <v>1460</v>
      </c>
      <c r="G608" s="23" t="s">
        <v>1461</v>
      </c>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7"/>
      <c r="BU608" s="26"/>
      <c r="BV608" s="26"/>
      <c r="BW608" s="26"/>
      <c r="BX608" s="24">
        <v>1.0</v>
      </c>
      <c r="BY608" s="24" t="s">
        <v>123</v>
      </c>
      <c r="BZ608" s="87">
        <v>1.0</v>
      </c>
      <c r="CA608" s="72"/>
      <c r="CB608" s="82"/>
      <c r="CC608" s="31"/>
      <c r="CD608" s="28">
        <v>1.0</v>
      </c>
      <c r="CE608" s="88" t="s">
        <v>185</v>
      </c>
      <c r="CF608" s="33"/>
      <c r="CG608" s="34">
        <v>0.0</v>
      </c>
      <c r="CH608" s="89"/>
      <c r="CI608" s="36">
        <v>0.0</v>
      </c>
      <c r="CJ608" s="36">
        <v>0.0</v>
      </c>
      <c r="CK608" s="37">
        <v>0.0</v>
      </c>
      <c r="CL608" s="36">
        <v>0.0</v>
      </c>
      <c r="CM608" s="38">
        <v>0.0</v>
      </c>
      <c r="CN608" s="36">
        <v>0.0</v>
      </c>
      <c r="CO608" s="39">
        <v>0.0</v>
      </c>
      <c r="CP608" s="40">
        <v>0.0</v>
      </c>
      <c r="CQ608" s="36">
        <v>0.0</v>
      </c>
      <c r="CR608" s="36">
        <v>0.0</v>
      </c>
      <c r="CS608" s="36">
        <v>0.0</v>
      </c>
      <c r="CT608" s="41"/>
      <c r="CU608" s="42"/>
      <c r="CV608" s="43"/>
      <c r="CW608" s="44">
        <v>1.0</v>
      </c>
      <c r="CX608" s="44">
        <v>1.0</v>
      </c>
      <c r="CY608" s="44">
        <v>0.1</v>
      </c>
      <c r="CZ608" s="45"/>
      <c r="DA608" s="43"/>
      <c r="DB608" s="44">
        <v>0.0</v>
      </c>
      <c r="DC608" s="43"/>
      <c r="DD608" s="78"/>
      <c r="DE608" s="43"/>
      <c r="DF608" s="43"/>
      <c r="DG608" s="48" t="s">
        <v>128</v>
      </c>
      <c r="DH608" s="48" t="s">
        <v>131</v>
      </c>
      <c r="DI608" s="48" t="s">
        <v>574</v>
      </c>
      <c r="DJ608" s="49">
        <v>1.0</v>
      </c>
      <c r="DK608" s="48" t="b">
        <v>0</v>
      </c>
      <c r="DL608" s="50" t="s">
        <v>1382</v>
      </c>
      <c r="DM608" s="111"/>
      <c r="DN608" s="111"/>
      <c r="DO608" s="51"/>
      <c r="DP608" s="51"/>
      <c r="DQ608" s="48" t="s">
        <v>576</v>
      </c>
      <c r="DR608" s="51"/>
      <c r="DS608" s="48" t="s">
        <v>134</v>
      </c>
    </row>
    <row r="609">
      <c r="A609" s="52" t="s">
        <v>118</v>
      </c>
      <c r="B609" s="53">
        <v>4.0</v>
      </c>
      <c r="C609" s="52" t="s">
        <v>1123</v>
      </c>
      <c r="D609" s="53">
        <v>648801.0</v>
      </c>
      <c r="E609" s="52" t="s">
        <v>198</v>
      </c>
      <c r="F609" s="52" t="s">
        <v>1462</v>
      </c>
      <c r="G609" s="52" t="s">
        <v>1463</v>
      </c>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81"/>
      <c r="BU609" s="54"/>
      <c r="BV609" s="54"/>
      <c r="BW609" s="54"/>
      <c r="BX609" s="53">
        <v>1.0</v>
      </c>
      <c r="BY609" s="53" t="s">
        <v>123</v>
      </c>
      <c r="BZ609" s="87">
        <v>1.0</v>
      </c>
      <c r="CA609" s="72"/>
      <c r="CB609" s="82"/>
      <c r="CC609" s="31"/>
      <c r="CD609" s="58">
        <v>1.0</v>
      </c>
      <c r="CE609" s="83" t="s">
        <v>185</v>
      </c>
      <c r="CF609" s="60"/>
      <c r="CG609" s="61">
        <v>0.0</v>
      </c>
      <c r="CH609" s="84"/>
      <c r="CI609" s="63">
        <v>0.0</v>
      </c>
      <c r="CJ609" s="63">
        <v>0.0</v>
      </c>
      <c r="CK609" s="64">
        <v>0.0</v>
      </c>
      <c r="CL609" s="63">
        <v>0.0</v>
      </c>
      <c r="CM609" s="65">
        <v>0.0</v>
      </c>
      <c r="CN609" s="63">
        <v>0.0</v>
      </c>
      <c r="CO609" s="66">
        <v>0.0</v>
      </c>
      <c r="CP609" s="67">
        <v>0.0</v>
      </c>
      <c r="CQ609" s="63">
        <v>0.0</v>
      </c>
      <c r="CR609" s="63">
        <v>0.0</v>
      </c>
      <c r="CS609" s="63">
        <v>0.0</v>
      </c>
      <c r="CT609" s="68"/>
      <c r="CU609" s="69"/>
      <c r="CV609" s="70"/>
      <c r="CW609" s="71">
        <v>1.0</v>
      </c>
      <c r="CX609" s="71">
        <v>1.0</v>
      </c>
      <c r="CY609" s="71">
        <v>0.1</v>
      </c>
      <c r="CZ609" s="45"/>
      <c r="DA609" s="43"/>
      <c r="DB609" s="44">
        <v>0.0</v>
      </c>
      <c r="DC609" s="43"/>
      <c r="DD609" s="78"/>
      <c r="DE609" s="43"/>
      <c r="DF609" s="43"/>
      <c r="DG609" s="48" t="s">
        <v>128</v>
      </c>
      <c r="DH609" s="48" t="s">
        <v>131</v>
      </c>
      <c r="DI609" s="48" t="s">
        <v>574</v>
      </c>
      <c r="DJ609" s="49">
        <v>1.0</v>
      </c>
      <c r="DK609" s="48" t="b">
        <v>0</v>
      </c>
      <c r="DL609" s="50" t="s">
        <v>1375</v>
      </c>
      <c r="DM609" s="111"/>
      <c r="DN609" s="111"/>
      <c r="DO609" s="51"/>
      <c r="DP609" s="51"/>
      <c r="DQ609" s="48" t="s">
        <v>576</v>
      </c>
      <c r="DR609" s="51"/>
      <c r="DS609" s="48" t="s">
        <v>134</v>
      </c>
    </row>
    <row r="610">
      <c r="A610" s="23" t="s">
        <v>118</v>
      </c>
      <c r="B610" s="24">
        <v>4.0</v>
      </c>
      <c r="C610" s="23" t="s">
        <v>1123</v>
      </c>
      <c r="D610" s="24">
        <v>642178.0</v>
      </c>
      <c r="E610" s="23" t="s">
        <v>205</v>
      </c>
      <c r="F610" s="23" t="s">
        <v>1464</v>
      </c>
      <c r="G610" s="23" t="s">
        <v>1465</v>
      </c>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7"/>
      <c r="BU610" s="26"/>
      <c r="BV610" s="26"/>
      <c r="BW610" s="26"/>
      <c r="BX610" s="24">
        <v>1.0</v>
      </c>
      <c r="BY610" s="24" t="s">
        <v>123</v>
      </c>
      <c r="BZ610" s="87">
        <v>1.0</v>
      </c>
      <c r="CA610" s="72"/>
      <c r="CB610" s="82"/>
      <c r="CC610" s="31"/>
      <c r="CD610" s="28">
        <v>1.0</v>
      </c>
      <c r="CE610" s="88" t="s">
        <v>185</v>
      </c>
      <c r="CF610" s="33"/>
      <c r="CG610" s="34">
        <v>0.0</v>
      </c>
      <c r="CH610" s="89"/>
      <c r="CI610" s="36">
        <v>0.0</v>
      </c>
      <c r="CJ610" s="36">
        <v>0.0</v>
      </c>
      <c r="CK610" s="37">
        <v>0.0</v>
      </c>
      <c r="CL610" s="36">
        <v>0.0</v>
      </c>
      <c r="CM610" s="38">
        <v>0.0</v>
      </c>
      <c r="CN610" s="36">
        <v>0.0</v>
      </c>
      <c r="CO610" s="39">
        <v>0.0</v>
      </c>
      <c r="CP610" s="40">
        <v>0.0</v>
      </c>
      <c r="CQ610" s="36">
        <v>0.0</v>
      </c>
      <c r="CR610" s="36">
        <v>0.0</v>
      </c>
      <c r="CS610" s="36">
        <v>0.0</v>
      </c>
      <c r="CT610" s="41"/>
      <c r="CU610" s="42"/>
      <c r="CV610" s="43"/>
      <c r="CW610" s="44">
        <v>1.0</v>
      </c>
      <c r="CX610" s="44">
        <v>1.0</v>
      </c>
      <c r="CY610" s="44">
        <v>0.1</v>
      </c>
      <c r="CZ610" s="45"/>
      <c r="DA610" s="43"/>
      <c r="DB610" s="44">
        <v>0.0</v>
      </c>
      <c r="DC610" s="43"/>
      <c r="DD610" s="78"/>
      <c r="DE610" s="43"/>
      <c r="DF610" s="43"/>
      <c r="DG610" s="48" t="s">
        <v>128</v>
      </c>
      <c r="DH610" s="48" t="s">
        <v>131</v>
      </c>
      <c r="DI610" s="48" t="s">
        <v>574</v>
      </c>
      <c r="DJ610" s="49">
        <v>1.0</v>
      </c>
      <c r="DK610" s="48" t="b">
        <v>0</v>
      </c>
      <c r="DL610" s="50" t="s">
        <v>1375</v>
      </c>
      <c r="DM610" s="111"/>
      <c r="DN610" s="111"/>
      <c r="DO610" s="51"/>
      <c r="DP610" s="51"/>
      <c r="DQ610" s="48" t="s">
        <v>576</v>
      </c>
      <c r="DR610" s="51"/>
      <c r="DS610" s="48" t="s">
        <v>134</v>
      </c>
    </row>
    <row r="611">
      <c r="A611" s="52" t="s">
        <v>118</v>
      </c>
      <c r="B611" s="53">
        <v>4.0</v>
      </c>
      <c r="C611" s="52" t="s">
        <v>1123</v>
      </c>
      <c r="D611" s="53">
        <v>536832.0</v>
      </c>
      <c r="E611" s="52" t="s">
        <v>158</v>
      </c>
      <c r="F611" s="52" t="s">
        <v>1466</v>
      </c>
      <c r="G611" s="52" t="s">
        <v>1467</v>
      </c>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81"/>
      <c r="BU611" s="54"/>
      <c r="BV611" s="54"/>
      <c r="BW611" s="54"/>
      <c r="BX611" s="53">
        <v>1.0</v>
      </c>
      <c r="BY611" s="52" t="s">
        <v>123</v>
      </c>
      <c r="BZ611" s="87">
        <v>1.0</v>
      </c>
      <c r="CA611" s="72"/>
      <c r="CB611" s="82"/>
      <c r="CC611" s="31"/>
      <c r="CD611" s="58">
        <v>1.0</v>
      </c>
      <c r="CE611" s="83" t="s">
        <v>185</v>
      </c>
      <c r="CF611" s="60"/>
      <c r="CG611" s="61">
        <v>0.0</v>
      </c>
      <c r="CH611" s="84"/>
      <c r="CI611" s="63">
        <v>0.0</v>
      </c>
      <c r="CJ611" s="63">
        <v>0.0</v>
      </c>
      <c r="CK611" s="64">
        <v>0.0</v>
      </c>
      <c r="CL611" s="63">
        <v>0.0</v>
      </c>
      <c r="CM611" s="65">
        <v>0.0</v>
      </c>
      <c r="CN611" s="63">
        <v>0.0</v>
      </c>
      <c r="CO611" s="66">
        <v>0.0</v>
      </c>
      <c r="CP611" s="67">
        <v>0.0</v>
      </c>
      <c r="CQ611" s="63">
        <v>0.0</v>
      </c>
      <c r="CR611" s="63">
        <v>0.0</v>
      </c>
      <c r="CS611" s="63">
        <v>0.0</v>
      </c>
      <c r="CT611" s="68"/>
      <c r="CU611" s="69"/>
      <c r="CV611" s="70"/>
      <c r="CW611" s="71">
        <v>1.0</v>
      </c>
      <c r="CX611" s="71">
        <v>1.0</v>
      </c>
      <c r="CY611" s="71">
        <v>0.1</v>
      </c>
      <c r="CZ611" s="45"/>
      <c r="DA611" s="43"/>
      <c r="DB611" s="44">
        <v>0.0</v>
      </c>
      <c r="DC611" s="43"/>
      <c r="DD611" s="78"/>
      <c r="DE611" s="43"/>
      <c r="DF611" s="43"/>
      <c r="DG611" s="48" t="s">
        <v>128</v>
      </c>
      <c r="DH611" s="48" t="s">
        <v>131</v>
      </c>
      <c r="DI611" s="48" t="s">
        <v>574</v>
      </c>
      <c r="DJ611" s="49">
        <v>1.0</v>
      </c>
      <c r="DK611" s="48" t="b">
        <v>0</v>
      </c>
      <c r="DL611" s="111"/>
      <c r="DM611" s="111"/>
      <c r="DN611" s="111"/>
      <c r="DO611" s="51"/>
      <c r="DP611" s="51"/>
      <c r="DQ611" s="48" t="s">
        <v>576</v>
      </c>
      <c r="DR611" s="51"/>
      <c r="DS611" s="48" t="s">
        <v>134</v>
      </c>
    </row>
    <row r="612">
      <c r="A612" s="23" t="s">
        <v>118</v>
      </c>
      <c r="B612" s="24">
        <v>16.0</v>
      </c>
      <c r="C612" s="23" t="s">
        <v>1468</v>
      </c>
      <c r="D612" s="24">
        <v>626041.0</v>
      </c>
      <c r="E612" s="23" t="s">
        <v>135</v>
      </c>
      <c r="F612" s="23" t="s">
        <v>1469</v>
      </c>
      <c r="G612" s="23" t="s">
        <v>1470</v>
      </c>
      <c r="H612" s="24">
        <v>39928.0</v>
      </c>
      <c r="I612" s="24">
        <v>3.0</v>
      </c>
      <c r="J612" s="24">
        <v>0.0</v>
      </c>
      <c r="K612" s="24">
        <v>0.0</v>
      </c>
      <c r="L612" s="24">
        <v>0.0</v>
      </c>
      <c r="M612" s="24">
        <v>0.0</v>
      </c>
      <c r="N612" s="24">
        <v>0.0</v>
      </c>
      <c r="O612" s="24">
        <v>1.0</v>
      </c>
      <c r="P612" s="24">
        <v>0.0</v>
      </c>
      <c r="Q612" s="24">
        <v>0.0</v>
      </c>
      <c r="R612" s="24">
        <v>0.0</v>
      </c>
      <c r="S612" s="24">
        <v>0.0</v>
      </c>
      <c r="T612" s="24">
        <v>0.0</v>
      </c>
      <c r="U612" s="24">
        <v>0.0</v>
      </c>
      <c r="V612" s="24">
        <v>0.0</v>
      </c>
      <c r="W612" s="24">
        <v>0.0</v>
      </c>
      <c r="X612" s="24">
        <v>0.0</v>
      </c>
      <c r="Y612" s="24">
        <v>0.0</v>
      </c>
      <c r="Z612" s="24">
        <v>0.0</v>
      </c>
      <c r="AA612" s="24">
        <v>1.0</v>
      </c>
      <c r="AB612" s="24">
        <v>0.0</v>
      </c>
      <c r="AC612" s="24">
        <v>0.0</v>
      </c>
      <c r="AD612" s="24">
        <v>1.0</v>
      </c>
      <c r="AE612" s="24">
        <v>0.0</v>
      </c>
      <c r="AF612" s="24">
        <v>0.0</v>
      </c>
      <c r="AG612" s="24">
        <v>0.0</v>
      </c>
      <c r="AH612" s="24">
        <v>0.0</v>
      </c>
      <c r="AI612" s="24">
        <v>0.0</v>
      </c>
      <c r="AJ612" s="24">
        <v>0.0</v>
      </c>
      <c r="AK612" s="24">
        <v>0.0</v>
      </c>
      <c r="AL612" s="24">
        <v>0.0</v>
      </c>
      <c r="AM612" s="24">
        <v>0.0</v>
      </c>
      <c r="AN612" s="24">
        <v>0.0</v>
      </c>
      <c r="AO612" s="25">
        <v>22.7</v>
      </c>
      <c r="AP612" s="26"/>
      <c r="AQ612" s="26"/>
      <c r="AR612" s="26"/>
      <c r="AS612" s="26"/>
      <c r="AT612" s="26"/>
      <c r="AU612" s="24">
        <v>24.25</v>
      </c>
      <c r="AV612" s="26"/>
      <c r="AW612" s="26"/>
      <c r="AX612" s="26"/>
      <c r="AY612" s="26"/>
      <c r="AZ612" s="26"/>
      <c r="BA612" s="26"/>
      <c r="BB612" s="26"/>
      <c r="BC612" s="26"/>
      <c r="BD612" s="26"/>
      <c r="BE612" s="26"/>
      <c r="BF612" s="26"/>
      <c r="BG612" s="24">
        <v>19.48</v>
      </c>
      <c r="BH612" s="26"/>
      <c r="BI612" s="26"/>
      <c r="BJ612" s="24">
        <v>24.45</v>
      </c>
      <c r="BK612" s="26"/>
      <c r="BL612" s="26"/>
      <c r="BM612" s="26"/>
      <c r="BN612" s="26"/>
      <c r="BO612" s="26"/>
      <c r="BP612" s="24">
        <v>0.83</v>
      </c>
      <c r="BQ612" s="24">
        <v>11.92</v>
      </c>
      <c r="BR612" s="24">
        <v>12.52</v>
      </c>
      <c r="BS612" s="25">
        <v>4.47</v>
      </c>
      <c r="BT612" s="56">
        <v>24.5</v>
      </c>
      <c r="BU612" s="25">
        <v>4.9</v>
      </c>
      <c r="BV612" s="25">
        <v>7.7</v>
      </c>
      <c r="BW612" s="26"/>
      <c r="BX612" s="24">
        <v>2100.0</v>
      </c>
      <c r="BY612" s="24" t="s">
        <v>123</v>
      </c>
      <c r="BZ612" s="28">
        <v>1800.0</v>
      </c>
      <c r="CA612" s="29" t="s">
        <v>124</v>
      </c>
      <c r="CB612" s="30">
        <v>2100.0</v>
      </c>
      <c r="CC612" s="31"/>
      <c r="CD612" s="28">
        <v>2100.0</v>
      </c>
      <c r="CE612" s="32" t="e">
        <v>#REF!</v>
      </c>
      <c r="CF612" s="33"/>
      <c r="CG612" s="34">
        <v>0.0</v>
      </c>
      <c r="CH612" s="35">
        <v>0.0</v>
      </c>
      <c r="CI612" s="36">
        <v>3.0</v>
      </c>
      <c r="CJ612" s="36">
        <v>1434.0</v>
      </c>
      <c r="CK612" s="93">
        <f t="shared" ref="CK612:CK619" si="13">+15</f>
        <v>15</v>
      </c>
      <c r="CL612" s="36">
        <v>1449.0</v>
      </c>
      <c r="CM612" s="38">
        <v>68.0</v>
      </c>
      <c r="CN612" s="36">
        <v>0.0</v>
      </c>
      <c r="CO612" s="39">
        <v>22.7</v>
      </c>
      <c r="CP612" s="40">
        <v>0.0</v>
      </c>
      <c r="CQ612" s="36">
        <v>2.0</v>
      </c>
      <c r="CR612" s="36">
        <v>2.0</v>
      </c>
      <c r="CS612" s="36">
        <v>13.0</v>
      </c>
      <c r="CT612" s="41"/>
      <c r="CU612" s="42"/>
      <c r="CV612" s="43"/>
      <c r="CW612" s="44">
        <v>7.0</v>
      </c>
      <c r="CX612" s="44" t="s">
        <v>201</v>
      </c>
      <c r="CY612" s="44" t="s">
        <v>202</v>
      </c>
      <c r="CZ612" s="45"/>
      <c r="DA612" s="44">
        <v>2100.0</v>
      </c>
      <c r="DB612" s="44">
        <v>0.0</v>
      </c>
      <c r="DC612" s="43"/>
      <c r="DD612" s="78"/>
      <c r="DE612" s="43"/>
      <c r="DF612" s="43"/>
      <c r="DG612" s="48" t="s">
        <v>128</v>
      </c>
      <c r="DH612" s="48" t="s">
        <v>128</v>
      </c>
      <c r="DI612" s="48" t="s">
        <v>128</v>
      </c>
      <c r="DJ612" s="49">
        <v>0.0</v>
      </c>
      <c r="DK612" s="48" t="b">
        <v>0</v>
      </c>
      <c r="DL612" s="50" t="s">
        <v>325</v>
      </c>
      <c r="DM612" s="50" t="s">
        <v>131</v>
      </c>
      <c r="DN612" s="50" t="s">
        <v>326</v>
      </c>
      <c r="DO612" s="49">
        <v>0.83</v>
      </c>
      <c r="DP612" s="48" t="s">
        <v>128</v>
      </c>
      <c r="DQ612" s="48" t="s">
        <v>128</v>
      </c>
      <c r="DR612" s="51"/>
      <c r="DS612" s="48" t="s">
        <v>134</v>
      </c>
    </row>
    <row r="613">
      <c r="A613" s="52" t="s">
        <v>118</v>
      </c>
      <c r="B613" s="53">
        <v>16.0</v>
      </c>
      <c r="C613" s="52" t="s">
        <v>1468</v>
      </c>
      <c r="D613" s="53">
        <v>604008.0</v>
      </c>
      <c r="E613" s="52" t="s">
        <v>176</v>
      </c>
      <c r="F613" s="52" t="s">
        <v>1471</v>
      </c>
      <c r="G613" s="52" t="s">
        <v>1472</v>
      </c>
      <c r="H613" s="53">
        <v>39928.0</v>
      </c>
      <c r="I613" s="53">
        <v>1.0</v>
      </c>
      <c r="J613" s="53">
        <v>0.0</v>
      </c>
      <c r="K613" s="53">
        <v>0.0</v>
      </c>
      <c r="L613" s="53">
        <v>1.0</v>
      </c>
      <c r="M613" s="53">
        <v>0.0</v>
      </c>
      <c r="N613" s="53">
        <v>0.0</v>
      </c>
      <c r="O613" s="53">
        <v>0.0</v>
      </c>
      <c r="P613" s="53">
        <v>0.0</v>
      </c>
      <c r="Q613" s="53">
        <v>0.0</v>
      </c>
      <c r="R613" s="53">
        <v>0.0</v>
      </c>
      <c r="S613" s="53">
        <v>0.0</v>
      </c>
      <c r="T613" s="53">
        <v>0.0</v>
      </c>
      <c r="U613" s="53">
        <v>0.0</v>
      </c>
      <c r="V613" s="53">
        <v>0.0</v>
      </c>
      <c r="W613" s="53">
        <v>0.0</v>
      </c>
      <c r="X613" s="53">
        <v>0.0</v>
      </c>
      <c r="Y613" s="53">
        <v>0.0</v>
      </c>
      <c r="Z613" s="53">
        <v>0.0</v>
      </c>
      <c r="AA613" s="53">
        <v>0.0</v>
      </c>
      <c r="AB613" s="53">
        <v>0.0</v>
      </c>
      <c r="AC613" s="53">
        <v>0.0</v>
      </c>
      <c r="AD613" s="53">
        <v>0.0</v>
      </c>
      <c r="AE613" s="53">
        <v>0.0</v>
      </c>
      <c r="AF613" s="53">
        <v>0.0</v>
      </c>
      <c r="AG613" s="53">
        <v>0.0</v>
      </c>
      <c r="AH613" s="53">
        <v>0.0</v>
      </c>
      <c r="AI613" s="53">
        <v>0.0</v>
      </c>
      <c r="AJ613" s="53">
        <v>0.0</v>
      </c>
      <c r="AK613" s="53">
        <v>0.0</v>
      </c>
      <c r="AL613" s="53">
        <v>0.0</v>
      </c>
      <c r="AM613" s="53">
        <v>0.0</v>
      </c>
      <c r="AN613" s="53">
        <v>0.0</v>
      </c>
      <c r="AO613" s="55">
        <v>15.5</v>
      </c>
      <c r="AP613" s="54"/>
      <c r="AQ613" s="54"/>
      <c r="AR613" s="53">
        <v>15.5</v>
      </c>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3">
        <v>0.6</v>
      </c>
      <c r="BQ613" s="53">
        <v>5.55</v>
      </c>
      <c r="BR613" s="53">
        <v>5.97</v>
      </c>
      <c r="BS613" s="25">
        <v>4.28</v>
      </c>
      <c r="BT613" s="91">
        <v>15.5</v>
      </c>
      <c r="BU613" s="25">
        <v>4.3</v>
      </c>
      <c r="BV613" s="57">
        <v>5.07</v>
      </c>
      <c r="BW613" s="54"/>
      <c r="BX613" s="53">
        <v>2400.0</v>
      </c>
      <c r="BY613" s="53" t="s">
        <v>123</v>
      </c>
      <c r="BZ613" s="58">
        <v>2400.0</v>
      </c>
      <c r="CA613" s="72"/>
      <c r="CB613" s="30">
        <v>2700.0</v>
      </c>
      <c r="CC613" s="31"/>
      <c r="CD613" s="58">
        <v>2700.0</v>
      </c>
      <c r="CE613" s="59" t="e">
        <v>#REF!</v>
      </c>
      <c r="CF613" s="79">
        <f>+300</f>
        <v>300</v>
      </c>
      <c r="CG613" s="80">
        <f>+1</f>
        <v>1</v>
      </c>
      <c r="CH613" s="62">
        <v>1.0</v>
      </c>
      <c r="CI613" s="63">
        <v>2.0</v>
      </c>
      <c r="CJ613" s="63">
        <v>1434.0</v>
      </c>
      <c r="CK613" s="94">
        <f t="shared" si="13"/>
        <v>15</v>
      </c>
      <c r="CL613" s="63">
        <v>1449.0</v>
      </c>
      <c r="CM613" s="65">
        <v>16.0</v>
      </c>
      <c r="CN613" s="63">
        <v>-4.0</v>
      </c>
      <c r="CO613" s="66">
        <v>9.8</v>
      </c>
      <c r="CP613" s="67">
        <v>-5.8</v>
      </c>
      <c r="CQ613" s="63">
        <v>1.0</v>
      </c>
      <c r="CR613" s="63">
        <v>1.0</v>
      </c>
      <c r="CS613" s="63">
        <v>9.0</v>
      </c>
      <c r="CT613" s="68"/>
      <c r="CU613" s="69"/>
      <c r="CV613" s="70"/>
      <c r="CW613" s="71">
        <v>9.0</v>
      </c>
      <c r="CX613" s="71" t="s">
        <v>143</v>
      </c>
      <c r="CY613" s="71" t="s">
        <v>144</v>
      </c>
      <c r="CZ613" s="76" t="s">
        <v>151</v>
      </c>
      <c r="DA613" s="44">
        <v>2700.0</v>
      </c>
      <c r="DB613" s="44">
        <v>0.0</v>
      </c>
      <c r="DC613" s="46" t="s">
        <v>127</v>
      </c>
      <c r="DD613" s="47">
        <v>46246.0</v>
      </c>
      <c r="DE613" s="43"/>
      <c r="DF613" s="43"/>
      <c r="DG613" s="48" t="s">
        <v>128</v>
      </c>
      <c r="DH613" s="48" t="s">
        <v>128</v>
      </c>
      <c r="DI613" s="48" t="s">
        <v>128</v>
      </c>
      <c r="DJ613" s="49">
        <v>1.0</v>
      </c>
      <c r="DK613" s="48" t="b">
        <v>1</v>
      </c>
      <c r="DL613" s="50" t="s">
        <v>325</v>
      </c>
      <c r="DM613" s="50" t="s">
        <v>131</v>
      </c>
      <c r="DN613" s="50" t="s">
        <v>326</v>
      </c>
      <c r="DO613" s="49">
        <v>0.83</v>
      </c>
      <c r="DP613" s="48" t="s">
        <v>128</v>
      </c>
      <c r="DQ613" s="48" t="s">
        <v>128</v>
      </c>
      <c r="DR613" s="51"/>
      <c r="DS613" s="48" t="s">
        <v>134</v>
      </c>
    </row>
    <row r="614">
      <c r="A614" s="23" t="s">
        <v>118</v>
      </c>
      <c r="B614" s="24">
        <v>16.0</v>
      </c>
      <c r="C614" s="23" t="s">
        <v>1468</v>
      </c>
      <c r="D614" s="24">
        <v>536832.0</v>
      </c>
      <c r="E614" s="23" t="s">
        <v>158</v>
      </c>
      <c r="F614" s="23" t="s">
        <v>1473</v>
      </c>
      <c r="G614" s="23" t="s">
        <v>1474</v>
      </c>
      <c r="H614" s="24">
        <v>39928.0</v>
      </c>
      <c r="I614" s="24">
        <v>6.0</v>
      </c>
      <c r="J614" s="24">
        <v>0.0</v>
      </c>
      <c r="K614" s="24">
        <v>0.0</v>
      </c>
      <c r="L614" s="24">
        <v>0.0</v>
      </c>
      <c r="M614" s="24">
        <v>0.0</v>
      </c>
      <c r="N614" s="24">
        <v>1.0</v>
      </c>
      <c r="O614" s="24">
        <v>0.0</v>
      </c>
      <c r="P614" s="24">
        <v>2.0</v>
      </c>
      <c r="Q614" s="24">
        <v>0.0</v>
      </c>
      <c r="R614" s="24">
        <v>1.0</v>
      </c>
      <c r="S614" s="24">
        <v>0.0</v>
      </c>
      <c r="T614" s="24">
        <v>0.0</v>
      </c>
      <c r="U614" s="24">
        <v>0.0</v>
      </c>
      <c r="V614" s="24">
        <v>0.0</v>
      </c>
      <c r="W614" s="24">
        <v>0.0</v>
      </c>
      <c r="X614" s="24">
        <v>0.0</v>
      </c>
      <c r="Y614" s="24">
        <v>0.0</v>
      </c>
      <c r="Z614" s="24">
        <v>0.0</v>
      </c>
      <c r="AA614" s="24">
        <v>0.0</v>
      </c>
      <c r="AB614" s="24">
        <v>1.0</v>
      </c>
      <c r="AC614" s="24">
        <v>0.0</v>
      </c>
      <c r="AD614" s="24">
        <v>1.0</v>
      </c>
      <c r="AE614" s="24">
        <v>0.0</v>
      </c>
      <c r="AF614" s="24">
        <v>0.0</v>
      </c>
      <c r="AG614" s="24">
        <v>0.0</v>
      </c>
      <c r="AH614" s="24">
        <v>0.0</v>
      </c>
      <c r="AI614" s="24">
        <v>0.0</v>
      </c>
      <c r="AJ614" s="24">
        <v>0.0</v>
      </c>
      <c r="AK614" s="24">
        <v>0.0</v>
      </c>
      <c r="AL614" s="24">
        <v>0.0</v>
      </c>
      <c r="AM614" s="24">
        <v>0.0</v>
      </c>
      <c r="AN614" s="24">
        <v>0.0</v>
      </c>
      <c r="AO614" s="25">
        <v>24.5</v>
      </c>
      <c r="AP614" s="26"/>
      <c r="AQ614" s="26"/>
      <c r="AR614" s="26"/>
      <c r="AS614" s="26"/>
      <c r="AT614" s="24">
        <v>0.0</v>
      </c>
      <c r="AU614" s="26"/>
      <c r="AV614" s="24">
        <v>21.82</v>
      </c>
      <c r="AW614" s="26"/>
      <c r="AX614" s="24">
        <v>19.48</v>
      </c>
      <c r="AY614" s="26"/>
      <c r="AZ614" s="26"/>
      <c r="BA614" s="26"/>
      <c r="BB614" s="26"/>
      <c r="BC614" s="26"/>
      <c r="BD614" s="26"/>
      <c r="BE614" s="26"/>
      <c r="BF614" s="26"/>
      <c r="BG614" s="26"/>
      <c r="BH614" s="24">
        <v>25.68</v>
      </c>
      <c r="BI614" s="26"/>
      <c r="BJ614" s="24">
        <v>37.53</v>
      </c>
      <c r="BK614" s="26"/>
      <c r="BL614" s="26"/>
      <c r="BM614" s="26"/>
      <c r="BN614" s="26"/>
      <c r="BO614" s="26"/>
      <c r="BP614" s="24">
        <v>2.9</v>
      </c>
      <c r="BQ614" s="24">
        <v>11.54</v>
      </c>
      <c r="BR614" s="24">
        <v>14.26</v>
      </c>
      <c r="BS614" s="55">
        <v>3.37</v>
      </c>
      <c r="BT614" s="27"/>
      <c r="BU614" s="26"/>
      <c r="BV614" s="26"/>
      <c r="BW614" s="26"/>
      <c r="BX614" s="24">
        <v>2100.0</v>
      </c>
      <c r="BY614" s="23" t="s">
        <v>123</v>
      </c>
      <c r="BZ614" s="28">
        <v>1800.0</v>
      </c>
      <c r="CA614" s="29" t="s">
        <v>124</v>
      </c>
      <c r="CB614" s="30">
        <v>2100.0</v>
      </c>
      <c r="CC614" s="31"/>
      <c r="CD614" s="28">
        <v>2100.0</v>
      </c>
      <c r="CE614" s="32" t="e">
        <v>#REF!</v>
      </c>
      <c r="CF614" s="33"/>
      <c r="CG614" s="34">
        <v>0.0</v>
      </c>
      <c r="CH614" s="35">
        <v>0.0</v>
      </c>
      <c r="CI614" s="36">
        <v>6.0</v>
      </c>
      <c r="CJ614" s="36">
        <v>1434.0</v>
      </c>
      <c r="CK614" s="93">
        <f t="shared" si="13"/>
        <v>15</v>
      </c>
      <c r="CL614" s="36">
        <v>1449.0</v>
      </c>
      <c r="CM614" s="38">
        <v>147.0</v>
      </c>
      <c r="CN614" s="36">
        <v>0.0</v>
      </c>
      <c r="CO614" s="39">
        <v>24.5</v>
      </c>
      <c r="CP614" s="40">
        <v>0.0</v>
      </c>
      <c r="CQ614" s="36">
        <v>17.0</v>
      </c>
      <c r="CR614" s="36">
        <v>17.0</v>
      </c>
      <c r="CS614" s="36">
        <v>20.0</v>
      </c>
      <c r="CT614" s="41"/>
      <c r="CU614" s="42"/>
      <c r="CV614" s="43"/>
      <c r="CW614" s="44">
        <v>7.0</v>
      </c>
      <c r="CX614" s="44" t="s">
        <v>201</v>
      </c>
      <c r="CY614" s="44" t="s">
        <v>202</v>
      </c>
      <c r="CZ614" s="45"/>
      <c r="DA614" s="44">
        <v>2100.0</v>
      </c>
      <c r="DB614" s="44">
        <v>0.0</v>
      </c>
      <c r="DC614" s="43"/>
      <c r="DD614" s="78"/>
      <c r="DE614" s="43"/>
      <c r="DF614" s="43"/>
      <c r="DG614" s="48" t="s">
        <v>128</v>
      </c>
      <c r="DH614" s="48" t="s">
        <v>128</v>
      </c>
      <c r="DI614" s="48" t="s">
        <v>129</v>
      </c>
      <c r="DJ614" s="49">
        <v>0.0</v>
      </c>
      <c r="DK614" s="48" t="b">
        <v>0</v>
      </c>
      <c r="DL614" s="50" t="s">
        <v>325</v>
      </c>
      <c r="DM614" s="50" t="s">
        <v>131</v>
      </c>
      <c r="DN614" s="50" t="s">
        <v>326</v>
      </c>
      <c r="DO614" s="49">
        <v>0.83</v>
      </c>
      <c r="DP614" s="48" t="s">
        <v>128</v>
      </c>
      <c r="DQ614" s="48" t="s">
        <v>133</v>
      </c>
      <c r="DR614" s="51"/>
      <c r="DS614" s="48" t="s">
        <v>134</v>
      </c>
    </row>
    <row r="615">
      <c r="A615" s="52" t="s">
        <v>118</v>
      </c>
      <c r="B615" s="53">
        <v>16.0</v>
      </c>
      <c r="C615" s="52" t="s">
        <v>1468</v>
      </c>
      <c r="D615" s="53">
        <v>610881.0</v>
      </c>
      <c r="E615" s="52" t="s">
        <v>167</v>
      </c>
      <c r="F615" s="52" t="s">
        <v>1475</v>
      </c>
      <c r="G615" s="52" t="s">
        <v>1476</v>
      </c>
      <c r="H615" s="53">
        <v>39928.0</v>
      </c>
      <c r="I615" s="53">
        <v>4.0</v>
      </c>
      <c r="J615" s="53">
        <v>0.0</v>
      </c>
      <c r="K615" s="53">
        <v>0.0</v>
      </c>
      <c r="L615" s="53">
        <v>0.0</v>
      </c>
      <c r="M615" s="53">
        <v>0.0</v>
      </c>
      <c r="N615" s="53">
        <v>0.0</v>
      </c>
      <c r="O615" s="53">
        <v>0.0</v>
      </c>
      <c r="P615" s="53">
        <v>0.0</v>
      </c>
      <c r="Q615" s="53">
        <v>0.0</v>
      </c>
      <c r="R615" s="53">
        <v>0.0</v>
      </c>
      <c r="S615" s="53">
        <v>0.0</v>
      </c>
      <c r="T615" s="53">
        <v>0.0</v>
      </c>
      <c r="U615" s="53">
        <v>0.0</v>
      </c>
      <c r="V615" s="53">
        <v>0.0</v>
      </c>
      <c r="W615" s="53">
        <v>0.0</v>
      </c>
      <c r="X615" s="53">
        <v>0.0</v>
      </c>
      <c r="Y615" s="53">
        <v>0.0</v>
      </c>
      <c r="Z615" s="53">
        <v>0.0</v>
      </c>
      <c r="AA615" s="53">
        <v>0.0</v>
      </c>
      <c r="AB615" s="53">
        <v>1.0</v>
      </c>
      <c r="AC615" s="53">
        <v>1.0</v>
      </c>
      <c r="AD615" s="53">
        <v>1.0</v>
      </c>
      <c r="AE615" s="53">
        <v>1.0</v>
      </c>
      <c r="AF615" s="53">
        <v>0.0</v>
      </c>
      <c r="AG615" s="53">
        <v>0.0</v>
      </c>
      <c r="AH615" s="53">
        <v>0.0</v>
      </c>
      <c r="AI615" s="53">
        <v>0.0</v>
      </c>
      <c r="AJ615" s="53">
        <v>0.0</v>
      </c>
      <c r="AK615" s="53">
        <v>0.0</v>
      </c>
      <c r="AL615" s="53">
        <v>0.0</v>
      </c>
      <c r="AM615" s="53">
        <v>0.0</v>
      </c>
      <c r="AN615" s="53">
        <v>0.0</v>
      </c>
      <c r="AO615" s="25">
        <v>21.9</v>
      </c>
      <c r="AP615" s="54"/>
      <c r="AQ615" s="54"/>
      <c r="AR615" s="54"/>
      <c r="AS615" s="54"/>
      <c r="AT615" s="54"/>
      <c r="AU615" s="54"/>
      <c r="AV615" s="54"/>
      <c r="AW615" s="54"/>
      <c r="AX615" s="54"/>
      <c r="AY615" s="54"/>
      <c r="AZ615" s="54"/>
      <c r="BA615" s="54"/>
      <c r="BB615" s="54"/>
      <c r="BC615" s="54"/>
      <c r="BD615" s="54"/>
      <c r="BE615" s="54"/>
      <c r="BF615" s="54"/>
      <c r="BG615" s="54"/>
      <c r="BH615" s="53">
        <v>18.72</v>
      </c>
      <c r="BI615" s="53">
        <v>31.42</v>
      </c>
      <c r="BJ615" s="53">
        <v>20.77</v>
      </c>
      <c r="BK615" s="53">
        <v>16.77</v>
      </c>
      <c r="BL615" s="54"/>
      <c r="BM615" s="54"/>
      <c r="BN615" s="54"/>
      <c r="BO615" s="54"/>
      <c r="BP615" s="53">
        <v>3.0</v>
      </c>
      <c r="BQ615" s="53">
        <v>6.16</v>
      </c>
      <c r="BR615" s="53">
        <v>8.97</v>
      </c>
      <c r="BS615" s="57">
        <v>2.93</v>
      </c>
      <c r="BT615" s="81"/>
      <c r="BU615" s="54"/>
      <c r="BV615" s="54"/>
      <c r="BW615" s="53">
        <v>1800.0</v>
      </c>
      <c r="BX615" s="53">
        <v>2400.0</v>
      </c>
      <c r="BY615" s="53" t="s">
        <v>123</v>
      </c>
      <c r="BZ615" s="58">
        <v>2100.0</v>
      </c>
      <c r="CA615" s="29" t="s">
        <v>124</v>
      </c>
      <c r="CB615" s="30">
        <v>2400.0</v>
      </c>
      <c r="CC615" s="31"/>
      <c r="CD615" s="58">
        <v>2400.0</v>
      </c>
      <c r="CE615" s="59" t="e">
        <v>#REF!</v>
      </c>
      <c r="CF615" s="60"/>
      <c r="CG615" s="61">
        <v>0.0</v>
      </c>
      <c r="CH615" s="62">
        <v>0.0</v>
      </c>
      <c r="CI615" s="63">
        <v>4.0</v>
      </c>
      <c r="CJ615" s="63">
        <v>1434.0</v>
      </c>
      <c r="CK615" s="94">
        <f t="shared" si="13"/>
        <v>15</v>
      </c>
      <c r="CL615" s="63">
        <v>1449.0</v>
      </c>
      <c r="CM615" s="65">
        <v>88.0</v>
      </c>
      <c r="CN615" s="63">
        <v>0.0</v>
      </c>
      <c r="CO615" s="66">
        <v>21.9</v>
      </c>
      <c r="CP615" s="67">
        <v>0.0</v>
      </c>
      <c r="CQ615" s="63">
        <v>12.0</v>
      </c>
      <c r="CR615" s="63">
        <v>12.0</v>
      </c>
      <c r="CS615" s="63">
        <v>12.0</v>
      </c>
      <c r="CT615" s="68"/>
      <c r="CU615" s="69"/>
      <c r="CV615" s="70"/>
      <c r="CW615" s="71">
        <v>8.0</v>
      </c>
      <c r="CX615" s="71" t="s">
        <v>125</v>
      </c>
      <c r="CY615" s="71" t="s">
        <v>126</v>
      </c>
      <c r="CZ615" s="45"/>
      <c r="DA615" s="44">
        <v>2400.0</v>
      </c>
      <c r="DB615" s="44">
        <v>0.0</v>
      </c>
      <c r="DC615" s="43"/>
      <c r="DD615" s="78"/>
      <c r="DE615" s="43"/>
      <c r="DF615" s="43"/>
      <c r="DG615" s="48" t="s">
        <v>128</v>
      </c>
      <c r="DH615" s="48" t="s">
        <v>128</v>
      </c>
      <c r="DI615" s="48" t="s">
        <v>129</v>
      </c>
      <c r="DJ615" s="49">
        <v>1.0</v>
      </c>
      <c r="DK615" s="48" t="b">
        <v>0</v>
      </c>
      <c r="DL615" s="50" t="s">
        <v>325</v>
      </c>
      <c r="DM615" s="50" t="s">
        <v>131</v>
      </c>
      <c r="DN615" s="50" t="s">
        <v>326</v>
      </c>
      <c r="DO615" s="49">
        <v>0.83</v>
      </c>
      <c r="DP615" s="48" t="s">
        <v>128</v>
      </c>
      <c r="DQ615" s="48" t="s">
        <v>133</v>
      </c>
      <c r="DR615" s="51"/>
      <c r="DS615" s="48" t="s">
        <v>134</v>
      </c>
    </row>
    <row r="616">
      <c r="A616" s="23" t="s">
        <v>118</v>
      </c>
      <c r="B616" s="24">
        <v>16.0</v>
      </c>
      <c r="C616" s="23" t="s">
        <v>1468</v>
      </c>
      <c r="D616" s="24">
        <v>576393.0</v>
      </c>
      <c r="E616" s="23" t="s">
        <v>164</v>
      </c>
      <c r="F616" s="23" t="s">
        <v>1477</v>
      </c>
      <c r="G616" s="23" t="s">
        <v>1478</v>
      </c>
      <c r="H616" s="24">
        <v>39928.0</v>
      </c>
      <c r="I616" s="24">
        <v>4.0</v>
      </c>
      <c r="J616" s="24">
        <v>0.0</v>
      </c>
      <c r="K616" s="24">
        <v>0.0</v>
      </c>
      <c r="L616" s="24">
        <v>1.0</v>
      </c>
      <c r="M616" s="24">
        <v>0.0</v>
      </c>
      <c r="N616" s="24">
        <v>0.0</v>
      </c>
      <c r="O616" s="24">
        <v>0.0</v>
      </c>
      <c r="P616" s="24">
        <v>1.0</v>
      </c>
      <c r="Q616" s="24">
        <v>0.0</v>
      </c>
      <c r="R616" s="24">
        <v>0.0</v>
      </c>
      <c r="S616" s="24">
        <v>1.0</v>
      </c>
      <c r="T616" s="24">
        <v>0.0</v>
      </c>
      <c r="U616" s="24">
        <v>0.0</v>
      </c>
      <c r="V616" s="24">
        <v>0.0</v>
      </c>
      <c r="W616" s="24">
        <v>0.0</v>
      </c>
      <c r="X616" s="24">
        <v>0.0</v>
      </c>
      <c r="Y616" s="24">
        <v>0.0</v>
      </c>
      <c r="Z616" s="24">
        <v>0.0</v>
      </c>
      <c r="AA616" s="24">
        <v>0.0</v>
      </c>
      <c r="AB616" s="24">
        <v>0.0</v>
      </c>
      <c r="AC616" s="24">
        <v>1.0</v>
      </c>
      <c r="AD616" s="24">
        <v>0.0</v>
      </c>
      <c r="AE616" s="24">
        <v>0.0</v>
      </c>
      <c r="AF616" s="24">
        <v>0.0</v>
      </c>
      <c r="AG616" s="24">
        <v>0.0</v>
      </c>
      <c r="AH616" s="24">
        <v>0.0</v>
      </c>
      <c r="AI616" s="24">
        <v>0.0</v>
      </c>
      <c r="AJ616" s="24">
        <v>0.0</v>
      </c>
      <c r="AK616" s="24">
        <v>0.0</v>
      </c>
      <c r="AL616" s="24">
        <v>0.0</v>
      </c>
      <c r="AM616" s="24">
        <v>0.0</v>
      </c>
      <c r="AN616" s="24">
        <v>0.0</v>
      </c>
      <c r="AO616" s="25">
        <v>21.3</v>
      </c>
      <c r="AP616" s="26"/>
      <c r="AQ616" s="26"/>
      <c r="AR616" s="24">
        <v>19.85</v>
      </c>
      <c r="AS616" s="26"/>
      <c r="AT616" s="26"/>
      <c r="AU616" s="26"/>
      <c r="AV616" s="24">
        <v>17.92</v>
      </c>
      <c r="AW616" s="26"/>
      <c r="AX616" s="26"/>
      <c r="AY616" s="24">
        <v>26.08</v>
      </c>
      <c r="AZ616" s="26"/>
      <c r="BA616" s="26"/>
      <c r="BB616" s="26"/>
      <c r="BC616" s="26"/>
      <c r="BD616" s="26"/>
      <c r="BE616" s="26"/>
      <c r="BF616" s="26"/>
      <c r="BG616" s="26"/>
      <c r="BH616" s="26"/>
      <c r="BI616" s="24">
        <v>21.53</v>
      </c>
      <c r="BJ616" s="26"/>
      <c r="BK616" s="26"/>
      <c r="BL616" s="26"/>
      <c r="BM616" s="26"/>
      <c r="BN616" s="26"/>
      <c r="BO616" s="26"/>
      <c r="BP616" s="24">
        <v>0.96</v>
      </c>
      <c r="BQ616" s="24">
        <v>10.75</v>
      </c>
      <c r="BR616" s="24">
        <v>11.5</v>
      </c>
      <c r="BS616" s="57">
        <v>1.7</v>
      </c>
      <c r="BT616" s="56">
        <v>19.7</v>
      </c>
      <c r="BU616" s="57">
        <v>2.3</v>
      </c>
      <c r="BV616" s="55">
        <v>6.87</v>
      </c>
      <c r="BW616" s="26"/>
      <c r="BX616" s="24">
        <v>2400.0</v>
      </c>
      <c r="BY616" s="24" t="s">
        <v>123</v>
      </c>
      <c r="BZ616" s="28">
        <v>2100.0</v>
      </c>
      <c r="CA616" s="29" t="s">
        <v>124</v>
      </c>
      <c r="CB616" s="30">
        <v>2400.0</v>
      </c>
      <c r="CC616" s="31"/>
      <c r="CD616" s="28">
        <v>2400.0</v>
      </c>
      <c r="CE616" s="32" t="e">
        <v>#REF!</v>
      </c>
      <c r="CF616" s="33"/>
      <c r="CG616" s="34">
        <v>0.0</v>
      </c>
      <c r="CH616" s="35">
        <v>0.0</v>
      </c>
      <c r="CI616" s="36">
        <v>4.0</v>
      </c>
      <c r="CJ616" s="36">
        <v>1434.0</v>
      </c>
      <c r="CK616" s="93">
        <f t="shared" si="13"/>
        <v>15</v>
      </c>
      <c r="CL616" s="36">
        <v>1449.0</v>
      </c>
      <c r="CM616" s="38">
        <v>85.0</v>
      </c>
      <c r="CN616" s="36">
        <v>0.0</v>
      </c>
      <c r="CO616" s="39">
        <v>21.3</v>
      </c>
      <c r="CP616" s="40">
        <v>0.0</v>
      </c>
      <c r="CQ616" s="36">
        <v>4.0</v>
      </c>
      <c r="CR616" s="36">
        <v>4.0</v>
      </c>
      <c r="CS616" s="36">
        <v>7.0</v>
      </c>
      <c r="CT616" s="41"/>
      <c r="CU616" s="42"/>
      <c r="CV616" s="43"/>
      <c r="CW616" s="44">
        <v>8.0</v>
      </c>
      <c r="CX616" s="44" t="s">
        <v>125</v>
      </c>
      <c r="CY616" s="44" t="s">
        <v>126</v>
      </c>
      <c r="CZ616" s="45"/>
      <c r="DA616" s="44">
        <v>2400.0</v>
      </c>
      <c r="DB616" s="44">
        <v>0.0</v>
      </c>
      <c r="DC616" s="43"/>
      <c r="DD616" s="78"/>
      <c r="DE616" s="43"/>
      <c r="DF616" s="43"/>
      <c r="DG616" s="48" t="s">
        <v>128</v>
      </c>
      <c r="DH616" s="48" t="s">
        <v>128</v>
      </c>
      <c r="DI616" s="48" t="s">
        <v>128</v>
      </c>
      <c r="DJ616" s="49">
        <v>1.0</v>
      </c>
      <c r="DK616" s="48" t="b">
        <v>0</v>
      </c>
      <c r="DL616" s="50" t="s">
        <v>325</v>
      </c>
      <c r="DM616" s="50" t="s">
        <v>131</v>
      </c>
      <c r="DN616" s="50" t="s">
        <v>326</v>
      </c>
      <c r="DO616" s="49">
        <v>0.83</v>
      </c>
      <c r="DP616" s="48" t="s">
        <v>128</v>
      </c>
      <c r="DQ616" s="48" t="s">
        <v>128</v>
      </c>
      <c r="DR616" s="51"/>
      <c r="DS616" s="48" t="s">
        <v>134</v>
      </c>
    </row>
    <row r="617">
      <c r="A617" s="52" t="s">
        <v>118</v>
      </c>
      <c r="B617" s="53">
        <v>16.0</v>
      </c>
      <c r="C617" s="52" t="s">
        <v>1468</v>
      </c>
      <c r="D617" s="53">
        <v>639495.0</v>
      </c>
      <c r="E617" s="52" t="s">
        <v>155</v>
      </c>
      <c r="F617" s="52" t="s">
        <v>1479</v>
      </c>
      <c r="G617" s="52" t="s">
        <v>1480</v>
      </c>
      <c r="H617" s="53">
        <v>39928.0</v>
      </c>
      <c r="I617" s="53">
        <v>10.0</v>
      </c>
      <c r="J617" s="53">
        <v>0.0</v>
      </c>
      <c r="K617" s="53">
        <v>0.0</v>
      </c>
      <c r="L617" s="53">
        <v>0.0</v>
      </c>
      <c r="M617" s="53">
        <v>0.0</v>
      </c>
      <c r="N617" s="53">
        <v>0.0</v>
      </c>
      <c r="O617" s="53">
        <v>1.0</v>
      </c>
      <c r="P617" s="53">
        <v>0.0</v>
      </c>
      <c r="Q617" s="53">
        <v>0.0</v>
      </c>
      <c r="R617" s="53">
        <v>0.0</v>
      </c>
      <c r="S617" s="53">
        <v>2.0</v>
      </c>
      <c r="T617" s="53">
        <v>0.0</v>
      </c>
      <c r="U617" s="53">
        <v>2.0</v>
      </c>
      <c r="V617" s="53">
        <v>0.0</v>
      </c>
      <c r="W617" s="53">
        <v>1.0</v>
      </c>
      <c r="X617" s="53">
        <v>0.0</v>
      </c>
      <c r="Y617" s="53">
        <v>0.0</v>
      </c>
      <c r="Z617" s="53">
        <v>0.0</v>
      </c>
      <c r="AA617" s="53">
        <v>0.0</v>
      </c>
      <c r="AB617" s="53">
        <v>2.0</v>
      </c>
      <c r="AC617" s="53">
        <v>1.0</v>
      </c>
      <c r="AD617" s="53">
        <v>0.0</v>
      </c>
      <c r="AE617" s="53">
        <v>0.0</v>
      </c>
      <c r="AF617" s="53">
        <v>1.0</v>
      </c>
      <c r="AG617" s="53">
        <v>0.0</v>
      </c>
      <c r="AH617" s="53">
        <v>0.0</v>
      </c>
      <c r="AI617" s="53">
        <v>0.0</v>
      </c>
      <c r="AJ617" s="53">
        <v>0.0</v>
      </c>
      <c r="AK617" s="53">
        <v>0.0</v>
      </c>
      <c r="AL617" s="53">
        <v>0.0</v>
      </c>
      <c r="AM617" s="53">
        <v>0.0</v>
      </c>
      <c r="AN617" s="53">
        <v>0.0</v>
      </c>
      <c r="AO617" s="25">
        <v>20.2</v>
      </c>
      <c r="AP617" s="54"/>
      <c r="AQ617" s="54"/>
      <c r="AR617" s="54"/>
      <c r="AS617" s="54"/>
      <c r="AT617" s="54"/>
      <c r="AU617" s="53">
        <v>20.52</v>
      </c>
      <c r="AV617" s="54"/>
      <c r="AW617" s="54"/>
      <c r="AX617" s="54"/>
      <c r="AY617" s="53">
        <v>18.23</v>
      </c>
      <c r="AZ617" s="54"/>
      <c r="BA617" s="53">
        <v>20.48</v>
      </c>
      <c r="BB617" s="54"/>
      <c r="BC617" s="53">
        <v>18.55</v>
      </c>
      <c r="BD617" s="54"/>
      <c r="BE617" s="54"/>
      <c r="BF617" s="54"/>
      <c r="BG617" s="54"/>
      <c r="BH617" s="53">
        <v>21.12</v>
      </c>
      <c r="BI617" s="53">
        <v>18.52</v>
      </c>
      <c r="BJ617" s="54"/>
      <c r="BK617" s="54"/>
      <c r="BL617" s="53">
        <v>24.7</v>
      </c>
      <c r="BM617" s="54"/>
      <c r="BN617" s="54"/>
      <c r="BO617" s="54"/>
      <c r="BP617" s="53">
        <v>2.59</v>
      </c>
      <c r="BQ617" s="53">
        <v>10.96</v>
      </c>
      <c r="BR617" s="53">
        <v>13.35</v>
      </c>
      <c r="BS617" s="57">
        <v>1.64</v>
      </c>
      <c r="BT617" s="56">
        <v>20.1</v>
      </c>
      <c r="BU617" s="57">
        <v>0.9</v>
      </c>
      <c r="BV617" s="57">
        <v>4.14</v>
      </c>
      <c r="BW617" s="54"/>
      <c r="BX617" s="53">
        <v>2400.0</v>
      </c>
      <c r="BY617" s="53" t="s">
        <v>123</v>
      </c>
      <c r="BZ617" s="58">
        <v>2100.0</v>
      </c>
      <c r="CA617" s="29" t="s">
        <v>124</v>
      </c>
      <c r="CB617" s="30">
        <v>2400.0</v>
      </c>
      <c r="CC617" s="31"/>
      <c r="CD617" s="58">
        <v>2400.0</v>
      </c>
      <c r="CE617" s="59" t="e">
        <v>#REF!</v>
      </c>
      <c r="CF617" s="60"/>
      <c r="CG617" s="61">
        <v>0.0</v>
      </c>
      <c r="CH617" s="62">
        <v>0.0</v>
      </c>
      <c r="CI617" s="63">
        <v>10.0</v>
      </c>
      <c r="CJ617" s="63">
        <v>1434.0</v>
      </c>
      <c r="CK617" s="94">
        <f t="shared" si="13"/>
        <v>15</v>
      </c>
      <c r="CL617" s="63">
        <v>1449.0</v>
      </c>
      <c r="CM617" s="65">
        <v>202.0</v>
      </c>
      <c r="CN617" s="63">
        <v>0.0</v>
      </c>
      <c r="CO617" s="66">
        <v>20.2</v>
      </c>
      <c r="CP617" s="67">
        <v>0.0</v>
      </c>
      <c r="CQ617" s="63">
        <v>26.0</v>
      </c>
      <c r="CR617" s="63">
        <v>26.0</v>
      </c>
      <c r="CS617" s="63">
        <v>16.0</v>
      </c>
      <c r="CT617" s="68"/>
      <c r="CU617" s="69"/>
      <c r="CV617" s="70"/>
      <c r="CW617" s="71">
        <v>8.0</v>
      </c>
      <c r="CX617" s="71" t="s">
        <v>125</v>
      </c>
      <c r="CY617" s="71" t="s">
        <v>126</v>
      </c>
      <c r="CZ617" s="45"/>
      <c r="DA617" s="44">
        <v>2400.0</v>
      </c>
      <c r="DB617" s="44">
        <v>0.0</v>
      </c>
      <c r="DC617" s="43"/>
      <c r="DD617" s="78"/>
      <c r="DE617" s="43"/>
      <c r="DF617" s="43"/>
      <c r="DG617" s="48" t="s">
        <v>128</v>
      </c>
      <c r="DH617" s="48" t="s">
        <v>128</v>
      </c>
      <c r="DI617" s="48" t="s">
        <v>128</v>
      </c>
      <c r="DJ617" s="49">
        <v>0.0</v>
      </c>
      <c r="DK617" s="48" t="b">
        <v>0</v>
      </c>
      <c r="DL617" s="50" t="s">
        <v>325</v>
      </c>
      <c r="DM617" s="50" t="s">
        <v>131</v>
      </c>
      <c r="DN617" s="50" t="s">
        <v>326</v>
      </c>
      <c r="DO617" s="49">
        <v>0.83</v>
      </c>
      <c r="DP617" s="48" t="s">
        <v>128</v>
      </c>
      <c r="DQ617" s="48" t="s">
        <v>128</v>
      </c>
      <c r="DR617" s="51"/>
      <c r="DS617" s="48" t="s">
        <v>134</v>
      </c>
    </row>
    <row r="618">
      <c r="A618" s="23" t="s">
        <v>118</v>
      </c>
      <c r="B618" s="24">
        <v>16.0</v>
      </c>
      <c r="C618" s="23" t="s">
        <v>1468</v>
      </c>
      <c r="D618" s="24">
        <v>558730.0</v>
      </c>
      <c r="E618" s="23" t="s">
        <v>148</v>
      </c>
      <c r="F618" s="23" t="s">
        <v>1481</v>
      </c>
      <c r="G618" s="23" t="s">
        <v>1482</v>
      </c>
      <c r="H618" s="24">
        <v>39928.0</v>
      </c>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7"/>
      <c r="BU618" s="26"/>
      <c r="BV618" s="26"/>
      <c r="BW618" s="26"/>
      <c r="BX618" s="24">
        <v>2100.0</v>
      </c>
      <c r="BY618" s="24" t="s">
        <v>123</v>
      </c>
      <c r="BZ618" s="28">
        <v>2100.0</v>
      </c>
      <c r="CA618" s="72"/>
      <c r="CB618" s="82"/>
      <c r="CC618" s="31"/>
      <c r="CD618" s="28">
        <v>2100.0</v>
      </c>
      <c r="CE618" s="88" t="s">
        <v>185</v>
      </c>
      <c r="CF618" s="33"/>
      <c r="CG618" s="34">
        <v>0.0</v>
      </c>
      <c r="CH618" s="89"/>
      <c r="CI618" s="36">
        <v>0.0</v>
      </c>
      <c r="CJ618" s="36">
        <v>1434.0</v>
      </c>
      <c r="CK618" s="93">
        <f t="shared" si="13"/>
        <v>15</v>
      </c>
      <c r="CL618" s="36">
        <v>1449.0</v>
      </c>
      <c r="CM618" s="38">
        <v>0.0</v>
      </c>
      <c r="CN618" s="36">
        <v>0.0</v>
      </c>
      <c r="CO618" s="39">
        <v>0.0</v>
      </c>
      <c r="CP618" s="40">
        <v>0.0</v>
      </c>
      <c r="CQ618" s="36">
        <v>0.0</v>
      </c>
      <c r="CR618" s="36">
        <v>0.0</v>
      </c>
      <c r="CS618" s="36">
        <v>0.0</v>
      </c>
      <c r="CT618" s="41"/>
      <c r="CU618" s="42"/>
      <c r="CV618" s="43"/>
      <c r="CW618" s="44">
        <v>7.0</v>
      </c>
      <c r="CX618" s="44" t="s">
        <v>201</v>
      </c>
      <c r="CY618" s="44" t="s">
        <v>202</v>
      </c>
      <c r="CZ618" s="45"/>
      <c r="DA618" s="43"/>
      <c r="DB618" s="44">
        <v>0.0</v>
      </c>
      <c r="DC618" s="43"/>
      <c r="DD618" s="78"/>
      <c r="DE618" s="43"/>
      <c r="DF618" s="43"/>
      <c r="DG618" s="48" t="s">
        <v>128</v>
      </c>
      <c r="DH618" s="48" t="s">
        <v>128</v>
      </c>
      <c r="DI618" s="85" t="str">
        <f>+ OFF 30 DIAS SIN VENTA</f>
        <v>#ERROR!</v>
      </c>
      <c r="DJ618" s="49">
        <v>1.0</v>
      </c>
      <c r="DK618" s="48" t="b">
        <v>0</v>
      </c>
      <c r="DL618" s="50" t="s">
        <v>325</v>
      </c>
      <c r="DM618" s="50" t="s">
        <v>131</v>
      </c>
      <c r="DN618" s="50" t="s">
        <v>326</v>
      </c>
      <c r="DO618" s="49">
        <v>0.83</v>
      </c>
      <c r="DP618" s="48" t="s">
        <v>128</v>
      </c>
      <c r="DQ618" s="86" t="str">
        <f>+ OFF 30 DIAS SIN VENTA</f>
        <v>#ERROR!</v>
      </c>
      <c r="DR618" s="51"/>
      <c r="DS618" s="48" t="s">
        <v>134</v>
      </c>
    </row>
    <row r="619">
      <c r="A619" s="52" t="s">
        <v>118</v>
      </c>
      <c r="B619" s="53">
        <v>16.0</v>
      </c>
      <c r="C619" s="52" t="s">
        <v>1468</v>
      </c>
      <c r="D619" s="53">
        <v>627274.0</v>
      </c>
      <c r="E619" s="52" t="s">
        <v>173</v>
      </c>
      <c r="F619" s="52" t="s">
        <v>1483</v>
      </c>
      <c r="G619" s="52" t="s">
        <v>1484</v>
      </c>
      <c r="H619" s="53">
        <v>39928.0</v>
      </c>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81"/>
      <c r="BU619" s="54"/>
      <c r="BV619" s="54"/>
      <c r="BW619" s="54"/>
      <c r="BX619" s="53">
        <v>2700.0</v>
      </c>
      <c r="BY619" s="53" t="s">
        <v>123</v>
      </c>
      <c r="BZ619" s="58">
        <v>2700.0</v>
      </c>
      <c r="CA619" s="72"/>
      <c r="CB619" s="82"/>
      <c r="CC619" s="31"/>
      <c r="CD619" s="58">
        <v>2700.0</v>
      </c>
      <c r="CE619" s="83" t="s">
        <v>185</v>
      </c>
      <c r="CF619" s="60"/>
      <c r="CG619" s="61">
        <v>0.0</v>
      </c>
      <c r="CH619" s="84"/>
      <c r="CI619" s="63">
        <v>0.0</v>
      </c>
      <c r="CJ619" s="63">
        <v>1434.0</v>
      </c>
      <c r="CK619" s="94">
        <f t="shared" si="13"/>
        <v>15</v>
      </c>
      <c r="CL619" s="63">
        <v>1449.0</v>
      </c>
      <c r="CM619" s="65">
        <v>0.0</v>
      </c>
      <c r="CN619" s="63">
        <v>0.0</v>
      </c>
      <c r="CO619" s="66">
        <v>0.0</v>
      </c>
      <c r="CP619" s="67">
        <v>0.0</v>
      </c>
      <c r="CQ619" s="63">
        <v>0.0</v>
      </c>
      <c r="CR619" s="63">
        <v>0.0</v>
      </c>
      <c r="CS619" s="63">
        <v>0.0</v>
      </c>
      <c r="CT619" s="68"/>
      <c r="CU619" s="69"/>
      <c r="CV619" s="70"/>
      <c r="CW619" s="71">
        <v>9.0</v>
      </c>
      <c r="CX619" s="71" t="s">
        <v>143</v>
      </c>
      <c r="CY619" s="71" t="s">
        <v>144</v>
      </c>
      <c r="CZ619" s="45"/>
      <c r="DA619" s="43"/>
      <c r="DB619" s="44">
        <v>0.0</v>
      </c>
      <c r="DC619" s="43"/>
      <c r="DD619" s="78"/>
      <c r="DE619" s="43"/>
      <c r="DF619" s="43"/>
      <c r="DG619" s="48" t="s">
        <v>128</v>
      </c>
      <c r="DH619" s="48" t="s">
        <v>128</v>
      </c>
      <c r="DI619" s="85" t="str">
        <f>+ OFF 30 DIAS SIN VENTA</f>
        <v>#ERROR!</v>
      </c>
      <c r="DJ619" s="49">
        <v>0.0</v>
      </c>
      <c r="DK619" s="48" t="b">
        <v>0</v>
      </c>
      <c r="DL619" s="50" t="s">
        <v>325</v>
      </c>
      <c r="DM619" s="50" t="s">
        <v>131</v>
      </c>
      <c r="DN619" s="50" t="s">
        <v>326</v>
      </c>
      <c r="DO619" s="49">
        <v>0.83</v>
      </c>
      <c r="DP619" s="48" t="s">
        <v>128</v>
      </c>
      <c r="DQ619" s="86" t="str">
        <f>+ OFF 30 DIAS SIN VENTA</f>
        <v>#ERROR!</v>
      </c>
      <c r="DR619" s="51"/>
      <c r="DS619" s="48" t="s">
        <v>134</v>
      </c>
    </row>
    <row r="620">
      <c r="A620" s="23" t="s">
        <v>118</v>
      </c>
      <c r="B620" s="24">
        <v>16.0</v>
      </c>
      <c r="C620" s="23" t="s">
        <v>1468</v>
      </c>
      <c r="D620" s="24">
        <v>640888.0</v>
      </c>
      <c r="E620" s="23" t="s">
        <v>161</v>
      </c>
      <c r="F620" s="23" t="s">
        <v>1485</v>
      </c>
      <c r="G620" s="23" t="s">
        <v>1486</v>
      </c>
      <c r="H620" s="24">
        <v>77697.0</v>
      </c>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7"/>
      <c r="BU620" s="26"/>
      <c r="BV620" s="26"/>
      <c r="BW620" s="26"/>
      <c r="BX620" s="24">
        <v>1.0</v>
      </c>
      <c r="BY620" s="24" t="s">
        <v>123</v>
      </c>
      <c r="BZ620" s="87">
        <v>1.0</v>
      </c>
      <c r="CA620" s="72"/>
      <c r="CB620" s="82"/>
      <c r="CC620" s="31"/>
      <c r="CD620" s="28">
        <v>1.0</v>
      </c>
      <c r="CE620" s="88" t="s">
        <v>185</v>
      </c>
      <c r="CF620" s="33"/>
      <c r="CG620" s="34">
        <v>0.0</v>
      </c>
      <c r="CH620" s="89"/>
      <c r="CI620" s="36">
        <v>0.0</v>
      </c>
      <c r="CJ620" s="36">
        <v>285.0</v>
      </c>
      <c r="CK620" s="37">
        <v>-9.0</v>
      </c>
      <c r="CL620" s="36">
        <v>276.0</v>
      </c>
      <c r="CM620" s="38">
        <v>0.0</v>
      </c>
      <c r="CN620" s="36">
        <v>0.0</v>
      </c>
      <c r="CO620" s="39">
        <v>0.0</v>
      </c>
      <c r="CP620" s="40">
        <v>0.0</v>
      </c>
      <c r="CQ620" s="36">
        <v>0.0</v>
      </c>
      <c r="CR620" s="36">
        <v>0.0</v>
      </c>
      <c r="CS620" s="36">
        <v>0.0</v>
      </c>
      <c r="CT620" s="41"/>
      <c r="CU620" s="42"/>
      <c r="CV620" s="43"/>
      <c r="CW620" s="44">
        <v>1.0</v>
      </c>
      <c r="CX620" s="44">
        <v>1.0</v>
      </c>
      <c r="CY620" s="44">
        <v>0.1</v>
      </c>
      <c r="CZ620" s="45"/>
      <c r="DA620" s="43"/>
      <c r="DB620" s="44">
        <v>0.0</v>
      </c>
      <c r="DC620" s="43"/>
      <c r="DD620" s="78"/>
      <c r="DE620" s="43"/>
      <c r="DF620" s="43"/>
      <c r="DG620" s="48" t="s">
        <v>128</v>
      </c>
      <c r="DH620" s="48" t="s">
        <v>131</v>
      </c>
      <c r="DI620" s="48" t="s">
        <v>188</v>
      </c>
      <c r="DJ620" s="49">
        <v>1.0</v>
      </c>
      <c r="DK620" s="48" t="b">
        <v>0</v>
      </c>
      <c r="DL620" s="50" t="s">
        <v>1487</v>
      </c>
      <c r="DM620" s="50" t="s">
        <v>131</v>
      </c>
      <c r="DN620" s="50" t="s">
        <v>1488</v>
      </c>
      <c r="DO620" s="49">
        <v>0.03</v>
      </c>
      <c r="DP620" s="51"/>
      <c r="DQ620" s="48" t="s">
        <v>188</v>
      </c>
      <c r="DR620" s="51"/>
      <c r="DS620" s="48" t="s">
        <v>134</v>
      </c>
    </row>
    <row r="621">
      <c r="A621" s="52" t="s">
        <v>118</v>
      </c>
      <c r="B621" s="53">
        <v>16.0</v>
      </c>
      <c r="C621" s="52" t="s">
        <v>1468</v>
      </c>
      <c r="D621" s="53">
        <v>588071.0</v>
      </c>
      <c r="E621" s="52" t="s">
        <v>152</v>
      </c>
      <c r="F621" s="52" t="s">
        <v>1489</v>
      </c>
      <c r="G621" s="52" t="s">
        <v>1490</v>
      </c>
      <c r="H621" s="53">
        <v>77697.0</v>
      </c>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81"/>
      <c r="BU621" s="54"/>
      <c r="BV621" s="54"/>
      <c r="BW621" s="54"/>
      <c r="BX621" s="53">
        <v>1.0</v>
      </c>
      <c r="BY621" s="53" t="s">
        <v>123</v>
      </c>
      <c r="BZ621" s="87">
        <v>1.0</v>
      </c>
      <c r="CA621" s="72"/>
      <c r="CB621" s="82"/>
      <c r="CC621" s="31"/>
      <c r="CD621" s="58">
        <v>1.0</v>
      </c>
      <c r="CE621" s="83" t="s">
        <v>185</v>
      </c>
      <c r="CF621" s="60"/>
      <c r="CG621" s="61">
        <v>0.0</v>
      </c>
      <c r="CH621" s="84"/>
      <c r="CI621" s="63">
        <v>0.0</v>
      </c>
      <c r="CJ621" s="63">
        <v>285.0</v>
      </c>
      <c r="CK621" s="64">
        <v>-9.0</v>
      </c>
      <c r="CL621" s="63">
        <v>276.0</v>
      </c>
      <c r="CM621" s="65">
        <v>0.0</v>
      </c>
      <c r="CN621" s="63">
        <v>0.0</v>
      </c>
      <c r="CO621" s="66">
        <v>0.0</v>
      </c>
      <c r="CP621" s="67">
        <v>0.0</v>
      </c>
      <c r="CQ621" s="63">
        <v>0.0</v>
      </c>
      <c r="CR621" s="63">
        <v>0.0</v>
      </c>
      <c r="CS621" s="63">
        <v>0.0</v>
      </c>
      <c r="CT621" s="68"/>
      <c r="CU621" s="69"/>
      <c r="CV621" s="70"/>
      <c r="CW621" s="71">
        <v>1.0</v>
      </c>
      <c r="CX621" s="71">
        <v>1.0</v>
      </c>
      <c r="CY621" s="71">
        <v>0.1</v>
      </c>
      <c r="CZ621" s="45"/>
      <c r="DA621" s="43"/>
      <c r="DB621" s="44">
        <v>0.0</v>
      </c>
      <c r="DC621" s="43"/>
      <c r="DD621" s="78"/>
      <c r="DE621" s="43"/>
      <c r="DF621" s="43"/>
      <c r="DG621" s="48" t="s">
        <v>128</v>
      </c>
      <c r="DH621" s="48" t="s">
        <v>131</v>
      </c>
      <c r="DI621" s="48" t="s">
        <v>188</v>
      </c>
      <c r="DJ621" s="49">
        <v>1.0</v>
      </c>
      <c r="DK621" s="48" t="b">
        <v>0</v>
      </c>
      <c r="DL621" s="50" t="s">
        <v>1487</v>
      </c>
      <c r="DM621" s="50" t="s">
        <v>131</v>
      </c>
      <c r="DN621" s="50" t="s">
        <v>1488</v>
      </c>
      <c r="DO621" s="49">
        <v>0.03</v>
      </c>
      <c r="DP621" s="51"/>
      <c r="DQ621" s="48" t="s">
        <v>188</v>
      </c>
      <c r="DR621" s="51"/>
      <c r="DS621" s="48" t="s">
        <v>134</v>
      </c>
    </row>
    <row r="622">
      <c r="A622" s="23" t="s">
        <v>118</v>
      </c>
      <c r="B622" s="24">
        <v>16.0</v>
      </c>
      <c r="C622" s="23" t="s">
        <v>1468</v>
      </c>
      <c r="D622" s="24">
        <v>648803.0</v>
      </c>
      <c r="E622" s="23" t="s">
        <v>189</v>
      </c>
      <c r="F622" s="23" t="s">
        <v>1491</v>
      </c>
      <c r="G622" s="23" t="s">
        <v>1492</v>
      </c>
      <c r="H622" s="24">
        <v>77697.0</v>
      </c>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7"/>
      <c r="BU622" s="26"/>
      <c r="BV622" s="26"/>
      <c r="BW622" s="26"/>
      <c r="BX622" s="24">
        <v>1.0</v>
      </c>
      <c r="BY622" s="24" t="s">
        <v>123</v>
      </c>
      <c r="BZ622" s="87">
        <v>1.0</v>
      </c>
      <c r="CA622" s="72"/>
      <c r="CB622" s="82"/>
      <c r="CC622" s="31"/>
      <c r="CD622" s="28">
        <v>1.0</v>
      </c>
      <c r="CE622" s="88" t="s">
        <v>185</v>
      </c>
      <c r="CF622" s="33"/>
      <c r="CG622" s="34">
        <v>0.0</v>
      </c>
      <c r="CH622" s="89"/>
      <c r="CI622" s="36">
        <v>0.0</v>
      </c>
      <c r="CJ622" s="36">
        <v>285.0</v>
      </c>
      <c r="CK622" s="37">
        <v>-9.0</v>
      </c>
      <c r="CL622" s="36">
        <v>276.0</v>
      </c>
      <c r="CM622" s="38">
        <v>0.0</v>
      </c>
      <c r="CN622" s="36">
        <v>0.0</v>
      </c>
      <c r="CO622" s="39">
        <v>0.0</v>
      </c>
      <c r="CP622" s="40">
        <v>0.0</v>
      </c>
      <c r="CQ622" s="36">
        <v>0.0</v>
      </c>
      <c r="CR622" s="36">
        <v>0.0</v>
      </c>
      <c r="CS622" s="36">
        <v>0.0</v>
      </c>
      <c r="CT622" s="41"/>
      <c r="CU622" s="42"/>
      <c r="CV622" s="43"/>
      <c r="CW622" s="44">
        <v>1.0</v>
      </c>
      <c r="CX622" s="44">
        <v>1.0</v>
      </c>
      <c r="CY622" s="44">
        <v>0.1</v>
      </c>
      <c r="CZ622" s="45"/>
      <c r="DA622" s="43"/>
      <c r="DB622" s="44">
        <v>0.0</v>
      </c>
      <c r="DC622" s="43"/>
      <c r="DD622" s="78"/>
      <c r="DE622" s="43"/>
      <c r="DF622" s="43"/>
      <c r="DG622" s="48" t="s">
        <v>128</v>
      </c>
      <c r="DH622" s="48" t="s">
        <v>131</v>
      </c>
      <c r="DI622" s="48" t="s">
        <v>188</v>
      </c>
      <c r="DJ622" s="49">
        <v>1.0</v>
      </c>
      <c r="DK622" s="48" t="b">
        <v>0</v>
      </c>
      <c r="DL622" s="50" t="s">
        <v>1487</v>
      </c>
      <c r="DM622" s="50" t="s">
        <v>131</v>
      </c>
      <c r="DN622" s="50" t="s">
        <v>1488</v>
      </c>
      <c r="DO622" s="49">
        <v>0.03</v>
      </c>
      <c r="DP622" s="51"/>
      <c r="DQ622" s="48" t="s">
        <v>188</v>
      </c>
      <c r="DR622" s="51"/>
      <c r="DS622" s="48" t="s">
        <v>134</v>
      </c>
    </row>
    <row r="623">
      <c r="A623" s="113" t="s">
        <v>118</v>
      </c>
      <c r="B623" s="114">
        <v>16.0</v>
      </c>
      <c r="C623" s="113" t="s">
        <v>1468</v>
      </c>
      <c r="D623" s="114">
        <v>642178.0</v>
      </c>
      <c r="E623" s="113" t="s">
        <v>205</v>
      </c>
      <c r="F623" s="113" t="s">
        <v>1493</v>
      </c>
      <c r="G623" s="113" t="s">
        <v>1494</v>
      </c>
      <c r="H623" s="115"/>
      <c r="I623" s="115"/>
      <c r="J623" s="115"/>
      <c r="K623" s="115"/>
      <c r="L623" s="115"/>
      <c r="M623" s="115"/>
      <c r="N623" s="115"/>
      <c r="O623" s="115"/>
      <c r="P623" s="115"/>
      <c r="Q623" s="115"/>
      <c r="R623" s="115"/>
      <c r="S623" s="115"/>
      <c r="T623" s="115"/>
      <c r="U623" s="115"/>
      <c r="V623" s="115"/>
      <c r="W623" s="115"/>
      <c r="X623" s="115"/>
      <c r="Y623" s="115"/>
      <c r="Z623" s="115"/>
      <c r="AA623" s="115"/>
      <c r="AB623" s="115"/>
      <c r="AC623" s="115"/>
      <c r="AD623" s="115"/>
      <c r="AE623" s="115"/>
      <c r="AF623" s="115"/>
      <c r="AG623" s="115"/>
      <c r="AH623" s="115"/>
      <c r="AI623" s="115"/>
      <c r="AJ623" s="115"/>
      <c r="AK623" s="115"/>
      <c r="AL623" s="115"/>
      <c r="AM623" s="115"/>
      <c r="AN623" s="115"/>
      <c r="AO623" s="115"/>
      <c r="AP623" s="115"/>
      <c r="AQ623" s="115"/>
      <c r="AR623" s="115"/>
      <c r="AS623" s="115"/>
      <c r="AT623" s="115"/>
      <c r="AU623" s="115"/>
      <c r="AV623" s="115"/>
      <c r="AW623" s="115"/>
      <c r="AX623" s="115"/>
      <c r="AY623" s="115"/>
      <c r="AZ623" s="115"/>
      <c r="BA623" s="115"/>
      <c r="BB623" s="115"/>
      <c r="BC623" s="115"/>
      <c r="BD623" s="115"/>
      <c r="BE623" s="115"/>
      <c r="BF623" s="115"/>
      <c r="BG623" s="115"/>
      <c r="BH623" s="115"/>
      <c r="BI623" s="115"/>
      <c r="BJ623" s="115"/>
      <c r="BK623" s="115"/>
      <c r="BL623" s="115"/>
      <c r="BM623" s="115"/>
      <c r="BN623" s="115"/>
      <c r="BO623" s="115"/>
      <c r="BP623" s="115"/>
      <c r="BQ623" s="115"/>
      <c r="BR623" s="115"/>
      <c r="BS623" s="115"/>
      <c r="BT623" s="116"/>
      <c r="BU623" s="115"/>
      <c r="BV623" s="115"/>
      <c r="BW623" s="115"/>
      <c r="BX623" s="114">
        <v>1.0</v>
      </c>
      <c r="BY623" s="114" t="s">
        <v>123</v>
      </c>
      <c r="BZ623" s="117">
        <v>1.0</v>
      </c>
      <c r="CA623" s="118"/>
      <c r="CB623" s="119"/>
      <c r="CC623" s="120"/>
      <c r="CD623" s="121">
        <v>1.0</v>
      </c>
      <c r="CE623" s="122" t="s">
        <v>185</v>
      </c>
      <c r="CF623" s="123"/>
      <c r="CG623" s="124">
        <v>0.0</v>
      </c>
      <c r="CH623" s="125"/>
      <c r="CI623" s="126">
        <v>0.0</v>
      </c>
      <c r="CJ623" s="126">
        <v>0.0</v>
      </c>
      <c r="CK623" s="127">
        <v>0.0</v>
      </c>
      <c r="CL623" s="126">
        <v>0.0</v>
      </c>
      <c r="CM623" s="128">
        <v>0.0</v>
      </c>
      <c r="CN623" s="126">
        <v>0.0</v>
      </c>
      <c r="CO623" s="129">
        <v>0.0</v>
      </c>
      <c r="CP623" s="130">
        <v>0.0</v>
      </c>
      <c r="CQ623" s="126">
        <v>0.0</v>
      </c>
      <c r="CR623" s="126">
        <v>0.0</v>
      </c>
      <c r="CS623" s="126">
        <v>0.0</v>
      </c>
      <c r="CT623" s="131"/>
      <c r="CU623" s="132"/>
      <c r="CV623" s="133"/>
      <c r="CW623" s="134">
        <v>1.0</v>
      </c>
      <c r="CX623" s="134">
        <v>1.0</v>
      </c>
      <c r="CY623" s="134">
        <v>0.1</v>
      </c>
      <c r="CZ623" s="135"/>
      <c r="DA623" s="133"/>
      <c r="DB623" s="134">
        <v>0.0</v>
      </c>
      <c r="DC623" s="133"/>
      <c r="DD623" s="136"/>
      <c r="DE623" s="133"/>
      <c r="DF623" s="133"/>
      <c r="DG623" s="137" t="s">
        <v>128</v>
      </c>
      <c r="DH623" s="137" t="s">
        <v>131</v>
      </c>
      <c r="DI623" s="137" t="s">
        <v>574</v>
      </c>
      <c r="DJ623" s="138">
        <v>1.0</v>
      </c>
      <c r="DK623" s="137" t="b">
        <v>0</v>
      </c>
      <c r="DL623" s="139" t="s">
        <v>1495</v>
      </c>
      <c r="DM623" s="140"/>
      <c r="DN623" s="140"/>
      <c r="DO623" s="141"/>
      <c r="DP623" s="141"/>
      <c r="DQ623" s="137" t="s">
        <v>576</v>
      </c>
      <c r="DR623" s="141"/>
      <c r="DS623" s="137" t="s">
        <v>134</v>
      </c>
    </row>
    <row r="624">
      <c r="A624" s="113" t="s">
        <v>118</v>
      </c>
      <c r="B624" s="114">
        <v>16.0</v>
      </c>
      <c r="C624" s="113" t="s">
        <v>1468</v>
      </c>
      <c r="D624" s="114">
        <v>640888.0</v>
      </c>
      <c r="E624" s="113" t="s">
        <v>161</v>
      </c>
      <c r="F624" s="113" t="s">
        <v>1496</v>
      </c>
      <c r="G624" s="113" t="s">
        <v>1497</v>
      </c>
      <c r="H624" s="115"/>
      <c r="I624" s="115"/>
      <c r="J624" s="115"/>
      <c r="K624" s="115"/>
      <c r="L624" s="115"/>
      <c r="M624" s="115"/>
      <c r="N624" s="115"/>
      <c r="O624" s="115"/>
      <c r="P624" s="115"/>
      <c r="Q624" s="115"/>
      <c r="R624" s="115"/>
      <c r="S624" s="115"/>
      <c r="T624" s="115"/>
      <c r="U624" s="115"/>
      <c r="V624" s="115"/>
      <c r="W624" s="115"/>
      <c r="X624" s="115"/>
      <c r="Y624" s="115"/>
      <c r="Z624" s="115"/>
      <c r="AA624" s="115"/>
      <c r="AB624" s="115"/>
      <c r="AC624" s="115"/>
      <c r="AD624" s="115"/>
      <c r="AE624" s="115"/>
      <c r="AF624" s="115"/>
      <c r="AG624" s="115"/>
      <c r="AH624" s="115"/>
      <c r="AI624" s="115"/>
      <c r="AJ624" s="115"/>
      <c r="AK624" s="115"/>
      <c r="AL624" s="115"/>
      <c r="AM624" s="115"/>
      <c r="AN624" s="115"/>
      <c r="AO624" s="115"/>
      <c r="AP624" s="115"/>
      <c r="AQ624" s="115"/>
      <c r="AR624" s="115"/>
      <c r="AS624" s="115"/>
      <c r="AT624" s="115"/>
      <c r="AU624" s="115"/>
      <c r="AV624" s="115"/>
      <c r="AW624" s="115"/>
      <c r="AX624" s="115"/>
      <c r="AY624" s="115"/>
      <c r="AZ624" s="115"/>
      <c r="BA624" s="115"/>
      <c r="BB624" s="115"/>
      <c r="BC624" s="115"/>
      <c r="BD624" s="115"/>
      <c r="BE624" s="115"/>
      <c r="BF624" s="115"/>
      <c r="BG624" s="115"/>
      <c r="BH624" s="115"/>
      <c r="BI624" s="115"/>
      <c r="BJ624" s="115"/>
      <c r="BK624" s="115"/>
      <c r="BL624" s="115"/>
      <c r="BM624" s="115"/>
      <c r="BN624" s="115"/>
      <c r="BO624" s="115"/>
      <c r="BP624" s="115"/>
      <c r="BQ624" s="115"/>
      <c r="BR624" s="115"/>
      <c r="BS624" s="115"/>
      <c r="BT624" s="116"/>
      <c r="BU624" s="115"/>
      <c r="BV624" s="115"/>
      <c r="BW624" s="115"/>
      <c r="BX624" s="114">
        <v>1.0</v>
      </c>
      <c r="BY624" s="114" t="s">
        <v>123</v>
      </c>
      <c r="BZ624" s="117">
        <v>1.0</v>
      </c>
      <c r="CA624" s="118"/>
      <c r="CB624" s="119"/>
      <c r="CC624" s="120"/>
      <c r="CD624" s="121">
        <v>1.0</v>
      </c>
      <c r="CE624" s="122" t="s">
        <v>185</v>
      </c>
      <c r="CF624" s="123"/>
      <c r="CG624" s="124">
        <v>0.0</v>
      </c>
      <c r="CH624" s="125"/>
      <c r="CI624" s="126">
        <v>0.0</v>
      </c>
      <c r="CJ624" s="126">
        <v>0.0</v>
      </c>
      <c r="CK624" s="127">
        <v>0.0</v>
      </c>
      <c r="CL624" s="126">
        <v>0.0</v>
      </c>
      <c r="CM624" s="128">
        <v>0.0</v>
      </c>
      <c r="CN624" s="126">
        <v>0.0</v>
      </c>
      <c r="CO624" s="129">
        <v>0.0</v>
      </c>
      <c r="CP624" s="130">
        <v>0.0</v>
      </c>
      <c r="CQ624" s="126">
        <v>0.0</v>
      </c>
      <c r="CR624" s="126">
        <v>0.0</v>
      </c>
      <c r="CS624" s="126">
        <v>0.0</v>
      </c>
      <c r="CT624" s="131"/>
      <c r="CU624" s="132"/>
      <c r="CV624" s="133"/>
      <c r="CW624" s="134">
        <v>1.0</v>
      </c>
      <c r="CX624" s="134">
        <v>1.0</v>
      </c>
      <c r="CY624" s="134">
        <v>0.1</v>
      </c>
      <c r="CZ624" s="135"/>
      <c r="DA624" s="133"/>
      <c r="DB624" s="134">
        <v>0.0</v>
      </c>
      <c r="DC624" s="133"/>
      <c r="DD624" s="136"/>
      <c r="DE624" s="133"/>
      <c r="DF624" s="133"/>
      <c r="DG624" s="137" t="s">
        <v>128</v>
      </c>
      <c r="DH624" s="137" t="s">
        <v>131</v>
      </c>
      <c r="DI624" s="137" t="s">
        <v>574</v>
      </c>
      <c r="DJ624" s="138">
        <v>1.0</v>
      </c>
      <c r="DK624" s="137" t="b">
        <v>0</v>
      </c>
      <c r="DL624" s="139" t="s">
        <v>1495</v>
      </c>
      <c r="DM624" s="140"/>
      <c r="DN624" s="140"/>
      <c r="DO624" s="141"/>
      <c r="DP624" s="141"/>
      <c r="DQ624" s="137" t="s">
        <v>576</v>
      </c>
      <c r="DR624" s="141"/>
      <c r="DS624" s="137" t="s">
        <v>134</v>
      </c>
    </row>
    <row r="625">
      <c r="A625" s="113" t="s">
        <v>118</v>
      </c>
      <c r="B625" s="114">
        <v>16.0</v>
      </c>
      <c r="C625" s="113" t="s">
        <v>1468</v>
      </c>
      <c r="D625" s="114">
        <v>588071.0</v>
      </c>
      <c r="E625" s="113" t="s">
        <v>152</v>
      </c>
      <c r="F625" s="113" t="s">
        <v>1498</v>
      </c>
      <c r="G625" s="113" t="s">
        <v>1499</v>
      </c>
      <c r="H625" s="115"/>
      <c r="I625" s="115"/>
      <c r="J625" s="115"/>
      <c r="K625" s="115"/>
      <c r="L625" s="115"/>
      <c r="M625" s="115"/>
      <c r="N625" s="115"/>
      <c r="O625" s="115"/>
      <c r="P625" s="115"/>
      <c r="Q625" s="115"/>
      <c r="R625" s="115"/>
      <c r="S625" s="115"/>
      <c r="T625" s="115"/>
      <c r="U625" s="115"/>
      <c r="V625" s="115"/>
      <c r="W625" s="115"/>
      <c r="X625" s="115"/>
      <c r="Y625" s="115"/>
      <c r="Z625" s="115"/>
      <c r="AA625" s="115"/>
      <c r="AB625" s="115"/>
      <c r="AC625" s="115"/>
      <c r="AD625" s="115"/>
      <c r="AE625" s="115"/>
      <c r="AF625" s="115"/>
      <c r="AG625" s="115"/>
      <c r="AH625" s="115"/>
      <c r="AI625" s="115"/>
      <c r="AJ625" s="115"/>
      <c r="AK625" s="115"/>
      <c r="AL625" s="115"/>
      <c r="AM625" s="115"/>
      <c r="AN625" s="115"/>
      <c r="AO625" s="115"/>
      <c r="AP625" s="115"/>
      <c r="AQ625" s="115"/>
      <c r="AR625" s="115"/>
      <c r="AS625" s="115"/>
      <c r="AT625" s="115"/>
      <c r="AU625" s="115"/>
      <c r="AV625" s="115"/>
      <c r="AW625" s="115"/>
      <c r="AX625" s="115"/>
      <c r="AY625" s="115"/>
      <c r="AZ625" s="115"/>
      <c r="BA625" s="115"/>
      <c r="BB625" s="115"/>
      <c r="BC625" s="115"/>
      <c r="BD625" s="115"/>
      <c r="BE625" s="115"/>
      <c r="BF625" s="115"/>
      <c r="BG625" s="115"/>
      <c r="BH625" s="115"/>
      <c r="BI625" s="115"/>
      <c r="BJ625" s="115"/>
      <c r="BK625" s="115"/>
      <c r="BL625" s="115"/>
      <c r="BM625" s="115"/>
      <c r="BN625" s="115"/>
      <c r="BO625" s="115"/>
      <c r="BP625" s="115"/>
      <c r="BQ625" s="115"/>
      <c r="BR625" s="115"/>
      <c r="BS625" s="115"/>
      <c r="BT625" s="116"/>
      <c r="BU625" s="115"/>
      <c r="BV625" s="115"/>
      <c r="BW625" s="115"/>
      <c r="BX625" s="114">
        <v>1.0</v>
      </c>
      <c r="BY625" s="114" t="s">
        <v>123</v>
      </c>
      <c r="BZ625" s="117">
        <v>1.0</v>
      </c>
      <c r="CA625" s="118"/>
      <c r="CB625" s="119"/>
      <c r="CC625" s="120"/>
      <c r="CD625" s="121">
        <v>1.0</v>
      </c>
      <c r="CE625" s="122" t="s">
        <v>185</v>
      </c>
      <c r="CF625" s="123"/>
      <c r="CG625" s="124">
        <v>0.0</v>
      </c>
      <c r="CH625" s="125"/>
      <c r="CI625" s="126">
        <v>0.0</v>
      </c>
      <c r="CJ625" s="126">
        <v>0.0</v>
      </c>
      <c r="CK625" s="127">
        <v>0.0</v>
      </c>
      <c r="CL625" s="126">
        <v>0.0</v>
      </c>
      <c r="CM625" s="128">
        <v>0.0</v>
      </c>
      <c r="CN625" s="126">
        <v>0.0</v>
      </c>
      <c r="CO625" s="129">
        <v>0.0</v>
      </c>
      <c r="CP625" s="130">
        <v>0.0</v>
      </c>
      <c r="CQ625" s="126">
        <v>0.0</v>
      </c>
      <c r="CR625" s="126">
        <v>0.0</v>
      </c>
      <c r="CS625" s="126">
        <v>0.0</v>
      </c>
      <c r="CT625" s="131"/>
      <c r="CU625" s="132"/>
      <c r="CV625" s="133"/>
      <c r="CW625" s="134">
        <v>1.0</v>
      </c>
      <c r="CX625" s="134">
        <v>1.0</v>
      </c>
      <c r="CY625" s="134">
        <v>0.1</v>
      </c>
      <c r="CZ625" s="135"/>
      <c r="DA625" s="133"/>
      <c r="DB625" s="134">
        <v>0.0</v>
      </c>
      <c r="DC625" s="133"/>
      <c r="DD625" s="136"/>
      <c r="DE625" s="133"/>
      <c r="DF625" s="133"/>
      <c r="DG625" s="137" t="s">
        <v>128</v>
      </c>
      <c r="DH625" s="137" t="s">
        <v>131</v>
      </c>
      <c r="DI625" s="137" t="s">
        <v>574</v>
      </c>
      <c r="DJ625" s="138">
        <v>1.0</v>
      </c>
      <c r="DK625" s="137" t="b">
        <v>0</v>
      </c>
      <c r="DL625" s="139" t="s">
        <v>1495</v>
      </c>
      <c r="DM625" s="140"/>
      <c r="DN625" s="140"/>
      <c r="DO625" s="141"/>
      <c r="DP625" s="141"/>
      <c r="DQ625" s="137" t="s">
        <v>576</v>
      </c>
      <c r="DR625" s="141"/>
      <c r="DS625" s="137" t="s">
        <v>134</v>
      </c>
    </row>
    <row r="626">
      <c r="A626" s="113" t="s">
        <v>118</v>
      </c>
      <c r="B626" s="114">
        <v>16.0</v>
      </c>
      <c r="C626" s="113" t="s">
        <v>1468</v>
      </c>
      <c r="D626" s="114">
        <v>641645.0</v>
      </c>
      <c r="E626" s="113" t="s">
        <v>145</v>
      </c>
      <c r="F626" s="113" t="s">
        <v>1500</v>
      </c>
      <c r="G626" s="113" t="s">
        <v>1501</v>
      </c>
      <c r="H626" s="115"/>
      <c r="I626" s="115"/>
      <c r="J626" s="115"/>
      <c r="K626" s="115"/>
      <c r="L626" s="115"/>
      <c r="M626" s="115"/>
      <c r="N626" s="115"/>
      <c r="O626" s="115"/>
      <c r="P626" s="115"/>
      <c r="Q626" s="115"/>
      <c r="R626" s="115"/>
      <c r="S626" s="115"/>
      <c r="T626" s="115"/>
      <c r="U626" s="115"/>
      <c r="V626" s="115"/>
      <c r="W626" s="115"/>
      <c r="X626" s="115"/>
      <c r="Y626" s="115"/>
      <c r="Z626" s="115"/>
      <c r="AA626" s="115"/>
      <c r="AB626" s="115"/>
      <c r="AC626" s="115"/>
      <c r="AD626" s="115"/>
      <c r="AE626" s="115"/>
      <c r="AF626" s="115"/>
      <c r="AG626" s="115"/>
      <c r="AH626" s="115"/>
      <c r="AI626" s="115"/>
      <c r="AJ626" s="115"/>
      <c r="AK626" s="115"/>
      <c r="AL626" s="115"/>
      <c r="AM626" s="115"/>
      <c r="AN626" s="115"/>
      <c r="AO626" s="115"/>
      <c r="AP626" s="115"/>
      <c r="AQ626" s="115"/>
      <c r="AR626" s="115"/>
      <c r="AS626" s="115"/>
      <c r="AT626" s="115"/>
      <c r="AU626" s="115"/>
      <c r="AV626" s="115"/>
      <c r="AW626" s="115"/>
      <c r="AX626" s="115"/>
      <c r="AY626" s="115"/>
      <c r="AZ626" s="115"/>
      <c r="BA626" s="115"/>
      <c r="BB626" s="115"/>
      <c r="BC626" s="115"/>
      <c r="BD626" s="115"/>
      <c r="BE626" s="115"/>
      <c r="BF626" s="115"/>
      <c r="BG626" s="115"/>
      <c r="BH626" s="115"/>
      <c r="BI626" s="115"/>
      <c r="BJ626" s="115"/>
      <c r="BK626" s="115"/>
      <c r="BL626" s="115"/>
      <c r="BM626" s="115"/>
      <c r="BN626" s="115"/>
      <c r="BO626" s="115"/>
      <c r="BP626" s="115"/>
      <c r="BQ626" s="115"/>
      <c r="BR626" s="115"/>
      <c r="BS626" s="115"/>
      <c r="BT626" s="116"/>
      <c r="BU626" s="115"/>
      <c r="BV626" s="115"/>
      <c r="BW626" s="115"/>
      <c r="BX626" s="114">
        <v>1.0</v>
      </c>
      <c r="BY626" s="114" t="s">
        <v>123</v>
      </c>
      <c r="BZ626" s="117">
        <v>1.0</v>
      </c>
      <c r="CA626" s="118"/>
      <c r="CB626" s="119"/>
      <c r="CC626" s="120"/>
      <c r="CD626" s="121">
        <v>1.0</v>
      </c>
      <c r="CE626" s="122" t="s">
        <v>185</v>
      </c>
      <c r="CF626" s="123"/>
      <c r="CG626" s="124">
        <v>0.0</v>
      </c>
      <c r="CH626" s="125"/>
      <c r="CI626" s="126">
        <v>0.0</v>
      </c>
      <c r="CJ626" s="126">
        <v>0.0</v>
      </c>
      <c r="CK626" s="127">
        <v>0.0</v>
      </c>
      <c r="CL626" s="126">
        <v>0.0</v>
      </c>
      <c r="CM626" s="128">
        <v>0.0</v>
      </c>
      <c r="CN626" s="126">
        <v>0.0</v>
      </c>
      <c r="CO626" s="129">
        <v>0.0</v>
      </c>
      <c r="CP626" s="130">
        <v>0.0</v>
      </c>
      <c r="CQ626" s="126">
        <v>0.0</v>
      </c>
      <c r="CR626" s="126">
        <v>0.0</v>
      </c>
      <c r="CS626" s="126">
        <v>0.0</v>
      </c>
      <c r="CT626" s="131"/>
      <c r="CU626" s="132"/>
      <c r="CV626" s="133"/>
      <c r="CW626" s="134">
        <v>1.0</v>
      </c>
      <c r="CX626" s="134">
        <v>1.0</v>
      </c>
      <c r="CY626" s="134">
        <v>0.1</v>
      </c>
      <c r="CZ626" s="135"/>
      <c r="DA626" s="133"/>
      <c r="DB626" s="134">
        <v>0.0</v>
      </c>
      <c r="DC626" s="133"/>
      <c r="DD626" s="136"/>
      <c r="DE626" s="133"/>
      <c r="DF626" s="133"/>
      <c r="DG626" s="137" t="s">
        <v>128</v>
      </c>
      <c r="DH626" s="137" t="s">
        <v>131</v>
      </c>
      <c r="DI626" s="137" t="s">
        <v>574</v>
      </c>
      <c r="DJ626" s="138">
        <v>1.0</v>
      </c>
      <c r="DK626" s="137" t="b">
        <v>0</v>
      </c>
      <c r="DL626" s="139" t="s">
        <v>1495</v>
      </c>
      <c r="DM626" s="140"/>
      <c r="DN626" s="140"/>
      <c r="DO626" s="141"/>
      <c r="DP626" s="141"/>
      <c r="DQ626" s="137" t="s">
        <v>576</v>
      </c>
      <c r="DR626" s="141"/>
      <c r="DS626" s="137" t="s">
        <v>134</v>
      </c>
    </row>
    <row r="627">
      <c r="A627" s="113" t="s">
        <v>118</v>
      </c>
      <c r="B627" s="114">
        <v>16.0</v>
      </c>
      <c r="C627" s="113" t="s">
        <v>1468</v>
      </c>
      <c r="D627" s="114">
        <v>558730.0</v>
      </c>
      <c r="E627" s="113" t="s">
        <v>148</v>
      </c>
      <c r="F627" s="113" t="s">
        <v>1502</v>
      </c>
      <c r="G627" s="113" t="s">
        <v>1503</v>
      </c>
      <c r="H627" s="115"/>
      <c r="I627" s="115"/>
      <c r="J627" s="115"/>
      <c r="K627" s="115"/>
      <c r="L627" s="115"/>
      <c r="M627" s="115"/>
      <c r="N627" s="115"/>
      <c r="O627" s="115"/>
      <c r="P627" s="115"/>
      <c r="Q627" s="115"/>
      <c r="R627" s="115"/>
      <c r="S627" s="115"/>
      <c r="T627" s="115"/>
      <c r="U627" s="115"/>
      <c r="V627" s="115"/>
      <c r="W627" s="115"/>
      <c r="X627" s="115"/>
      <c r="Y627" s="115"/>
      <c r="Z627" s="115"/>
      <c r="AA627" s="115"/>
      <c r="AB627" s="115"/>
      <c r="AC627" s="115"/>
      <c r="AD627" s="115"/>
      <c r="AE627" s="115"/>
      <c r="AF627" s="115"/>
      <c r="AG627" s="115"/>
      <c r="AH627" s="115"/>
      <c r="AI627" s="115"/>
      <c r="AJ627" s="115"/>
      <c r="AK627" s="115"/>
      <c r="AL627" s="115"/>
      <c r="AM627" s="115"/>
      <c r="AN627" s="115"/>
      <c r="AO627" s="115"/>
      <c r="AP627" s="115"/>
      <c r="AQ627" s="115"/>
      <c r="AR627" s="115"/>
      <c r="AS627" s="115"/>
      <c r="AT627" s="115"/>
      <c r="AU627" s="115"/>
      <c r="AV627" s="115"/>
      <c r="AW627" s="115"/>
      <c r="AX627" s="115"/>
      <c r="AY627" s="115"/>
      <c r="AZ627" s="115"/>
      <c r="BA627" s="115"/>
      <c r="BB627" s="115"/>
      <c r="BC627" s="115"/>
      <c r="BD627" s="115"/>
      <c r="BE627" s="115"/>
      <c r="BF627" s="115"/>
      <c r="BG627" s="115"/>
      <c r="BH627" s="115"/>
      <c r="BI627" s="115"/>
      <c r="BJ627" s="115"/>
      <c r="BK627" s="115"/>
      <c r="BL627" s="115"/>
      <c r="BM627" s="115"/>
      <c r="BN627" s="115"/>
      <c r="BO627" s="115"/>
      <c r="BP627" s="115"/>
      <c r="BQ627" s="115"/>
      <c r="BR627" s="115"/>
      <c r="BS627" s="115"/>
      <c r="BT627" s="116"/>
      <c r="BU627" s="115"/>
      <c r="BV627" s="115"/>
      <c r="BW627" s="115"/>
      <c r="BX627" s="114">
        <v>1.0</v>
      </c>
      <c r="BY627" s="114" t="s">
        <v>123</v>
      </c>
      <c r="BZ627" s="117">
        <v>1.0</v>
      </c>
      <c r="CA627" s="118"/>
      <c r="CB627" s="119"/>
      <c r="CC627" s="120"/>
      <c r="CD627" s="121">
        <v>1.0</v>
      </c>
      <c r="CE627" s="122" t="s">
        <v>185</v>
      </c>
      <c r="CF627" s="123"/>
      <c r="CG627" s="124">
        <v>0.0</v>
      </c>
      <c r="CH627" s="125"/>
      <c r="CI627" s="126">
        <v>0.0</v>
      </c>
      <c r="CJ627" s="126">
        <v>0.0</v>
      </c>
      <c r="CK627" s="127">
        <v>0.0</v>
      </c>
      <c r="CL627" s="126">
        <v>0.0</v>
      </c>
      <c r="CM627" s="128">
        <v>0.0</v>
      </c>
      <c r="CN627" s="126">
        <v>0.0</v>
      </c>
      <c r="CO627" s="129">
        <v>0.0</v>
      </c>
      <c r="CP627" s="130">
        <v>0.0</v>
      </c>
      <c r="CQ627" s="126">
        <v>0.0</v>
      </c>
      <c r="CR627" s="126">
        <v>0.0</v>
      </c>
      <c r="CS627" s="126">
        <v>0.0</v>
      </c>
      <c r="CT627" s="131"/>
      <c r="CU627" s="132"/>
      <c r="CV627" s="133"/>
      <c r="CW627" s="134">
        <v>1.0</v>
      </c>
      <c r="CX627" s="134">
        <v>1.0</v>
      </c>
      <c r="CY627" s="134">
        <v>0.1</v>
      </c>
      <c r="CZ627" s="135"/>
      <c r="DA627" s="133"/>
      <c r="DB627" s="134">
        <v>0.0</v>
      </c>
      <c r="DC627" s="133"/>
      <c r="DD627" s="136"/>
      <c r="DE627" s="133"/>
      <c r="DF627" s="133"/>
      <c r="DG627" s="137" t="s">
        <v>128</v>
      </c>
      <c r="DH627" s="137" t="s">
        <v>131</v>
      </c>
      <c r="DI627" s="137" t="s">
        <v>574</v>
      </c>
      <c r="DJ627" s="138">
        <v>1.0</v>
      </c>
      <c r="DK627" s="137" t="b">
        <v>0</v>
      </c>
      <c r="DL627" s="139" t="s">
        <v>1495</v>
      </c>
      <c r="DM627" s="140"/>
      <c r="DN627" s="140"/>
      <c r="DO627" s="141"/>
      <c r="DP627" s="141"/>
      <c r="DQ627" s="137" t="s">
        <v>576</v>
      </c>
      <c r="DR627" s="141"/>
      <c r="DS627" s="137" t="s">
        <v>134</v>
      </c>
    </row>
    <row r="628">
      <c r="A628" s="113" t="s">
        <v>118</v>
      </c>
      <c r="B628" s="114">
        <v>16.0</v>
      </c>
      <c r="C628" s="113" t="s">
        <v>1468</v>
      </c>
      <c r="D628" s="114">
        <v>626041.0</v>
      </c>
      <c r="E628" s="113" t="s">
        <v>135</v>
      </c>
      <c r="F628" s="113" t="s">
        <v>1504</v>
      </c>
      <c r="G628" s="113" t="s">
        <v>1505</v>
      </c>
      <c r="H628" s="115"/>
      <c r="I628" s="115"/>
      <c r="J628" s="115"/>
      <c r="K628" s="115"/>
      <c r="L628" s="115"/>
      <c r="M628" s="115"/>
      <c r="N628" s="115"/>
      <c r="O628" s="115"/>
      <c r="P628" s="115"/>
      <c r="Q628" s="115"/>
      <c r="R628" s="115"/>
      <c r="S628" s="115"/>
      <c r="T628" s="115"/>
      <c r="U628" s="115"/>
      <c r="V628" s="115"/>
      <c r="W628" s="115"/>
      <c r="X628" s="115"/>
      <c r="Y628" s="115"/>
      <c r="Z628" s="115"/>
      <c r="AA628" s="115"/>
      <c r="AB628" s="115"/>
      <c r="AC628" s="115"/>
      <c r="AD628" s="115"/>
      <c r="AE628" s="115"/>
      <c r="AF628" s="115"/>
      <c r="AG628" s="115"/>
      <c r="AH628" s="115"/>
      <c r="AI628" s="115"/>
      <c r="AJ628" s="115"/>
      <c r="AK628" s="115"/>
      <c r="AL628" s="115"/>
      <c r="AM628" s="115"/>
      <c r="AN628" s="115"/>
      <c r="AO628" s="115"/>
      <c r="AP628" s="115"/>
      <c r="AQ628" s="115"/>
      <c r="AR628" s="115"/>
      <c r="AS628" s="115"/>
      <c r="AT628" s="115"/>
      <c r="AU628" s="115"/>
      <c r="AV628" s="115"/>
      <c r="AW628" s="115"/>
      <c r="AX628" s="115"/>
      <c r="AY628" s="115"/>
      <c r="AZ628" s="115"/>
      <c r="BA628" s="115"/>
      <c r="BB628" s="115"/>
      <c r="BC628" s="115"/>
      <c r="BD628" s="115"/>
      <c r="BE628" s="115"/>
      <c r="BF628" s="115"/>
      <c r="BG628" s="115"/>
      <c r="BH628" s="115"/>
      <c r="BI628" s="115"/>
      <c r="BJ628" s="115"/>
      <c r="BK628" s="115"/>
      <c r="BL628" s="115"/>
      <c r="BM628" s="115"/>
      <c r="BN628" s="115"/>
      <c r="BO628" s="115"/>
      <c r="BP628" s="115"/>
      <c r="BQ628" s="115"/>
      <c r="BR628" s="115"/>
      <c r="BS628" s="115"/>
      <c r="BT628" s="116"/>
      <c r="BU628" s="115"/>
      <c r="BV628" s="115"/>
      <c r="BW628" s="115"/>
      <c r="BX628" s="114">
        <v>1.0</v>
      </c>
      <c r="BY628" s="114" t="s">
        <v>123</v>
      </c>
      <c r="BZ628" s="117">
        <v>1.0</v>
      </c>
      <c r="CA628" s="118"/>
      <c r="CB628" s="119"/>
      <c r="CC628" s="120"/>
      <c r="CD628" s="121">
        <v>1.0</v>
      </c>
      <c r="CE628" s="122" t="s">
        <v>185</v>
      </c>
      <c r="CF628" s="123"/>
      <c r="CG628" s="124">
        <v>0.0</v>
      </c>
      <c r="CH628" s="125"/>
      <c r="CI628" s="126">
        <v>0.0</v>
      </c>
      <c r="CJ628" s="126">
        <v>0.0</v>
      </c>
      <c r="CK628" s="127">
        <v>0.0</v>
      </c>
      <c r="CL628" s="126">
        <v>0.0</v>
      </c>
      <c r="CM628" s="128">
        <v>0.0</v>
      </c>
      <c r="CN628" s="126">
        <v>0.0</v>
      </c>
      <c r="CO628" s="129">
        <v>0.0</v>
      </c>
      <c r="CP628" s="130">
        <v>0.0</v>
      </c>
      <c r="CQ628" s="126">
        <v>0.0</v>
      </c>
      <c r="CR628" s="126">
        <v>0.0</v>
      </c>
      <c r="CS628" s="126">
        <v>0.0</v>
      </c>
      <c r="CT628" s="131"/>
      <c r="CU628" s="132"/>
      <c r="CV628" s="133"/>
      <c r="CW628" s="134">
        <v>1.0</v>
      </c>
      <c r="CX628" s="134">
        <v>1.0</v>
      </c>
      <c r="CY628" s="134">
        <v>0.1</v>
      </c>
      <c r="CZ628" s="135"/>
      <c r="DA628" s="133"/>
      <c r="DB628" s="134">
        <v>0.0</v>
      </c>
      <c r="DC628" s="133"/>
      <c r="DD628" s="136"/>
      <c r="DE628" s="133"/>
      <c r="DF628" s="133"/>
      <c r="DG628" s="137" t="s">
        <v>128</v>
      </c>
      <c r="DH628" s="137" t="s">
        <v>131</v>
      </c>
      <c r="DI628" s="137" t="s">
        <v>574</v>
      </c>
      <c r="DJ628" s="138">
        <v>1.0</v>
      </c>
      <c r="DK628" s="137" t="b">
        <v>0</v>
      </c>
      <c r="DL628" s="139" t="s">
        <v>1495</v>
      </c>
      <c r="DM628" s="140"/>
      <c r="DN628" s="140"/>
      <c r="DO628" s="141"/>
      <c r="DP628" s="141"/>
      <c r="DQ628" s="137" t="s">
        <v>576</v>
      </c>
      <c r="DR628" s="141"/>
      <c r="DS628" s="137" t="s">
        <v>134</v>
      </c>
    </row>
    <row r="629">
      <c r="A629" s="113" t="s">
        <v>118</v>
      </c>
      <c r="B629" s="114">
        <v>16.0</v>
      </c>
      <c r="C629" s="113" t="s">
        <v>1468</v>
      </c>
      <c r="D629" s="114">
        <v>536832.0</v>
      </c>
      <c r="E629" s="113" t="s">
        <v>158</v>
      </c>
      <c r="F629" s="113" t="s">
        <v>1506</v>
      </c>
      <c r="G629" s="113" t="s">
        <v>1507</v>
      </c>
      <c r="H629" s="115"/>
      <c r="I629" s="115"/>
      <c r="J629" s="115"/>
      <c r="K629" s="115"/>
      <c r="L629" s="115"/>
      <c r="M629" s="115"/>
      <c r="N629" s="115"/>
      <c r="O629" s="115"/>
      <c r="P629" s="115"/>
      <c r="Q629" s="115"/>
      <c r="R629" s="115"/>
      <c r="S629" s="115"/>
      <c r="T629" s="115"/>
      <c r="U629" s="115"/>
      <c r="V629" s="115"/>
      <c r="W629" s="115"/>
      <c r="X629" s="115"/>
      <c r="Y629" s="115"/>
      <c r="Z629" s="115"/>
      <c r="AA629" s="115"/>
      <c r="AB629" s="115"/>
      <c r="AC629" s="115"/>
      <c r="AD629" s="115"/>
      <c r="AE629" s="115"/>
      <c r="AF629" s="115"/>
      <c r="AG629" s="115"/>
      <c r="AH629" s="115"/>
      <c r="AI629" s="115"/>
      <c r="AJ629" s="115"/>
      <c r="AK629" s="115"/>
      <c r="AL629" s="115"/>
      <c r="AM629" s="115"/>
      <c r="AN629" s="115"/>
      <c r="AO629" s="115"/>
      <c r="AP629" s="115"/>
      <c r="AQ629" s="115"/>
      <c r="AR629" s="115"/>
      <c r="AS629" s="115"/>
      <c r="AT629" s="115"/>
      <c r="AU629" s="115"/>
      <c r="AV629" s="115"/>
      <c r="AW629" s="115"/>
      <c r="AX629" s="115"/>
      <c r="AY629" s="115"/>
      <c r="AZ629" s="115"/>
      <c r="BA629" s="115"/>
      <c r="BB629" s="115"/>
      <c r="BC629" s="115"/>
      <c r="BD629" s="115"/>
      <c r="BE629" s="115"/>
      <c r="BF629" s="115"/>
      <c r="BG629" s="115"/>
      <c r="BH629" s="115"/>
      <c r="BI629" s="115"/>
      <c r="BJ629" s="115"/>
      <c r="BK629" s="115"/>
      <c r="BL629" s="115"/>
      <c r="BM629" s="115"/>
      <c r="BN629" s="115"/>
      <c r="BO629" s="115"/>
      <c r="BP629" s="115"/>
      <c r="BQ629" s="115"/>
      <c r="BR629" s="115"/>
      <c r="BS629" s="115"/>
      <c r="BT629" s="116"/>
      <c r="BU629" s="115"/>
      <c r="BV629" s="115"/>
      <c r="BW629" s="115"/>
      <c r="BX629" s="114">
        <v>1.0</v>
      </c>
      <c r="BY629" s="114" t="s">
        <v>123</v>
      </c>
      <c r="BZ629" s="117">
        <v>1.0</v>
      </c>
      <c r="CA629" s="118"/>
      <c r="CB629" s="119"/>
      <c r="CC629" s="120"/>
      <c r="CD629" s="121">
        <v>1.0</v>
      </c>
      <c r="CE629" s="122" t="s">
        <v>185</v>
      </c>
      <c r="CF629" s="123"/>
      <c r="CG629" s="124">
        <v>0.0</v>
      </c>
      <c r="CH629" s="125"/>
      <c r="CI629" s="126">
        <v>0.0</v>
      </c>
      <c r="CJ629" s="126">
        <v>0.0</v>
      </c>
      <c r="CK629" s="127">
        <v>0.0</v>
      </c>
      <c r="CL629" s="126">
        <v>0.0</v>
      </c>
      <c r="CM629" s="128">
        <v>0.0</v>
      </c>
      <c r="CN629" s="126">
        <v>0.0</v>
      </c>
      <c r="CO629" s="129">
        <v>0.0</v>
      </c>
      <c r="CP629" s="130">
        <v>0.0</v>
      </c>
      <c r="CQ629" s="126">
        <v>0.0</v>
      </c>
      <c r="CR629" s="126">
        <v>0.0</v>
      </c>
      <c r="CS629" s="126">
        <v>0.0</v>
      </c>
      <c r="CT629" s="131"/>
      <c r="CU629" s="132"/>
      <c r="CV629" s="133"/>
      <c r="CW629" s="134">
        <v>1.0</v>
      </c>
      <c r="CX629" s="134">
        <v>1.0</v>
      </c>
      <c r="CY629" s="134">
        <v>0.1</v>
      </c>
      <c r="CZ629" s="135"/>
      <c r="DA629" s="133"/>
      <c r="DB629" s="134">
        <v>0.0</v>
      </c>
      <c r="DC629" s="133"/>
      <c r="DD629" s="136"/>
      <c r="DE629" s="133"/>
      <c r="DF629" s="133"/>
      <c r="DG629" s="137" t="s">
        <v>128</v>
      </c>
      <c r="DH629" s="137" t="s">
        <v>131</v>
      </c>
      <c r="DI629" s="137" t="s">
        <v>574</v>
      </c>
      <c r="DJ629" s="138">
        <v>1.0</v>
      </c>
      <c r="DK629" s="137" t="b">
        <v>0</v>
      </c>
      <c r="DL629" s="139" t="s">
        <v>1495</v>
      </c>
      <c r="DM629" s="140"/>
      <c r="DN629" s="140"/>
      <c r="DO629" s="141"/>
      <c r="DP629" s="141"/>
      <c r="DQ629" s="137" t="s">
        <v>576</v>
      </c>
      <c r="DR629" s="141"/>
      <c r="DS629" s="137" t="s">
        <v>134</v>
      </c>
    </row>
    <row r="630">
      <c r="A630" s="113" t="s">
        <v>118</v>
      </c>
      <c r="B630" s="114">
        <v>16.0</v>
      </c>
      <c r="C630" s="113" t="s">
        <v>1468</v>
      </c>
      <c r="D630" s="114">
        <v>626041.0</v>
      </c>
      <c r="E630" s="113" t="s">
        <v>135</v>
      </c>
      <c r="F630" s="113" t="s">
        <v>1508</v>
      </c>
      <c r="G630" s="113" t="s">
        <v>1509</v>
      </c>
      <c r="H630" s="115"/>
      <c r="I630" s="115"/>
      <c r="J630" s="115"/>
      <c r="K630" s="115"/>
      <c r="L630" s="115"/>
      <c r="M630" s="115"/>
      <c r="N630" s="115"/>
      <c r="O630" s="115"/>
      <c r="P630" s="115"/>
      <c r="Q630" s="115"/>
      <c r="R630" s="115"/>
      <c r="S630" s="115"/>
      <c r="T630" s="115"/>
      <c r="U630" s="115"/>
      <c r="V630" s="115"/>
      <c r="W630" s="115"/>
      <c r="X630" s="115"/>
      <c r="Y630" s="115"/>
      <c r="Z630" s="115"/>
      <c r="AA630" s="115"/>
      <c r="AB630" s="115"/>
      <c r="AC630" s="115"/>
      <c r="AD630" s="115"/>
      <c r="AE630" s="115"/>
      <c r="AF630" s="115"/>
      <c r="AG630" s="115"/>
      <c r="AH630" s="115"/>
      <c r="AI630" s="115"/>
      <c r="AJ630" s="115"/>
      <c r="AK630" s="115"/>
      <c r="AL630" s="115"/>
      <c r="AM630" s="115"/>
      <c r="AN630" s="115"/>
      <c r="AO630" s="115"/>
      <c r="AP630" s="115"/>
      <c r="AQ630" s="115"/>
      <c r="AR630" s="115"/>
      <c r="AS630" s="115"/>
      <c r="AT630" s="115"/>
      <c r="AU630" s="115"/>
      <c r="AV630" s="115"/>
      <c r="AW630" s="115"/>
      <c r="AX630" s="115"/>
      <c r="AY630" s="115"/>
      <c r="AZ630" s="115"/>
      <c r="BA630" s="115"/>
      <c r="BB630" s="115"/>
      <c r="BC630" s="115"/>
      <c r="BD630" s="115"/>
      <c r="BE630" s="115"/>
      <c r="BF630" s="115"/>
      <c r="BG630" s="115"/>
      <c r="BH630" s="115"/>
      <c r="BI630" s="115"/>
      <c r="BJ630" s="115"/>
      <c r="BK630" s="115"/>
      <c r="BL630" s="115"/>
      <c r="BM630" s="115"/>
      <c r="BN630" s="115"/>
      <c r="BO630" s="115"/>
      <c r="BP630" s="115"/>
      <c r="BQ630" s="115"/>
      <c r="BR630" s="115"/>
      <c r="BS630" s="115"/>
      <c r="BT630" s="116"/>
      <c r="BU630" s="115"/>
      <c r="BV630" s="115"/>
      <c r="BW630" s="115"/>
      <c r="BX630" s="114">
        <v>1.0</v>
      </c>
      <c r="BY630" s="114" t="s">
        <v>123</v>
      </c>
      <c r="BZ630" s="117">
        <v>1.0</v>
      </c>
      <c r="CA630" s="118"/>
      <c r="CB630" s="119"/>
      <c r="CC630" s="120"/>
      <c r="CD630" s="121">
        <v>1.0</v>
      </c>
      <c r="CE630" s="122" t="s">
        <v>185</v>
      </c>
      <c r="CF630" s="123"/>
      <c r="CG630" s="124">
        <v>0.0</v>
      </c>
      <c r="CH630" s="125"/>
      <c r="CI630" s="126">
        <v>0.0</v>
      </c>
      <c r="CJ630" s="126">
        <v>0.0</v>
      </c>
      <c r="CK630" s="127">
        <v>0.0</v>
      </c>
      <c r="CL630" s="126">
        <v>0.0</v>
      </c>
      <c r="CM630" s="128">
        <v>0.0</v>
      </c>
      <c r="CN630" s="126">
        <v>0.0</v>
      </c>
      <c r="CO630" s="129">
        <v>0.0</v>
      </c>
      <c r="CP630" s="130">
        <v>0.0</v>
      </c>
      <c r="CQ630" s="126">
        <v>0.0</v>
      </c>
      <c r="CR630" s="126">
        <v>0.0</v>
      </c>
      <c r="CS630" s="126">
        <v>0.0</v>
      </c>
      <c r="CT630" s="131"/>
      <c r="CU630" s="132"/>
      <c r="CV630" s="133"/>
      <c r="CW630" s="134">
        <v>1.0</v>
      </c>
      <c r="CX630" s="134">
        <v>1.0</v>
      </c>
      <c r="CY630" s="134">
        <v>0.1</v>
      </c>
      <c r="CZ630" s="135"/>
      <c r="DA630" s="133"/>
      <c r="DB630" s="134">
        <v>0.0</v>
      </c>
      <c r="DC630" s="133"/>
      <c r="DD630" s="136"/>
      <c r="DE630" s="133"/>
      <c r="DF630" s="133"/>
      <c r="DG630" s="137" t="s">
        <v>128</v>
      </c>
      <c r="DH630" s="137" t="s">
        <v>131</v>
      </c>
      <c r="DI630" s="137" t="s">
        <v>574</v>
      </c>
      <c r="DJ630" s="138">
        <v>1.0</v>
      </c>
      <c r="DK630" s="137" t="b">
        <v>0</v>
      </c>
      <c r="DL630" s="139" t="s">
        <v>1495</v>
      </c>
      <c r="DM630" s="140"/>
      <c r="DN630" s="140"/>
      <c r="DO630" s="141"/>
      <c r="DP630" s="141"/>
      <c r="DQ630" s="137" t="s">
        <v>576</v>
      </c>
      <c r="DR630" s="141"/>
      <c r="DS630" s="137" t="s">
        <v>134</v>
      </c>
    </row>
    <row r="631">
      <c r="A631" s="113" t="s">
        <v>118</v>
      </c>
      <c r="B631" s="114">
        <v>16.0</v>
      </c>
      <c r="C631" s="113" t="s">
        <v>1468</v>
      </c>
      <c r="D631" s="114">
        <v>669823.0</v>
      </c>
      <c r="E631" s="113" t="s">
        <v>214</v>
      </c>
      <c r="F631" s="113" t="s">
        <v>1510</v>
      </c>
      <c r="G631" s="113" t="s">
        <v>1511</v>
      </c>
      <c r="H631" s="115"/>
      <c r="I631" s="115"/>
      <c r="J631" s="115"/>
      <c r="K631" s="115"/>
      <c r="L631" s="115"/>
      <c r="M631" s="115"/>
      <c r="N631" s="115"/>
      <c r="O631" s="115"/>
      <c r="P631" s="115"/>
      <c r="Q631" s="115"/>
      <c r="R631" s="115"/>
      <c r="S631" s="115"/>
      <c r="T631" s="115"/>
      <c r="U631" s="115"/>
      <c r="V631" s="115"/>
      <c r="W631" s="115"/>
      <c r="X631" s="115"/>
      <c r="Y631" s="115"/>
      <c r="Z631" s="115"/>
      <c r="AA631" s="115"/>
      <c r="AB631" s="115"/>
      <c r="AC631" s="115"/>
      <c r="AD631" s="115"/>
      <c r="AE631" s="115"/>
      <c r="AF631" s="115"/>
      <c r="AG631" s="115"/>
      <c r="AH631" s="115"/>
      <c r="AI631" s="115"/>
      <c r="AJ631" s="115"/>
      <c r="AK631" s="115"/>
      <c r="AL631" s="115"/>
      <c r="AM631" s="115"/>
      <c r="AN631" s="115"/>
      <c r="AO631" s="115"/>
      <c r="AP631" s="115"/>
      <c r="AQ631" s="115"/>
      <c r="AR631" s="115"/>
      <c r="AS631" s="115"/>
      <c r="AT631" s="115"/>
      <c r="AU631" s="115"/>
      <c r="AV631" s="115"/>
      <c r="AW631" s="115"/>
      <c r="AX631" s="115"/>
      <c r="AY631" s="115"/>
      <c r="AZ631" s="115"/>
      <c r="BA631" s="115"/>
      <c r="BB631" s="115"/>
      <c r="BC631" s="115"/>
      <c r="BD631" s="115"/>
      <c r="BE631" s="115"/>
      <c r="BF631" s="115"/>
      <c r="BG631" s="115"/>
      <c r="BH631" s="115"/>
      <c r="BI631" s="115"/>
      <c r="BJ631" s="115"/>
      <c r="BK631" s="115"/>
      <c r="BL631" s="115"/>
      <c r="BM631" s="115"/>
      <c r="BN631" s="115"/>
      <c r="BO631" s="115"/>
      <c r="BP631" s="115"/>
      <c r="BQ631" s="115"/>
      <c r="BR631" s="115"/>
      <c r="BS631" s="115"/>
      <c r="BT631" s="116"/>
      <c r="BU631" s="115"/>
      <c r="BV631" s="115"/>
      <c r="BW631" s="115"/>
      <c r="BX631" s="114">
        <v>1.0</v>
      </c>
      <c r="BY631" s="114" t="s">
        <v>123</v>
      </c>
      <c r="BZ631" s="117">
        <v>1.0</v>
      </c>
      <c r="CA631" s="118"/>
      <c r="CB631" s="119"/>
      <c r="CC631" s="120"/>
      <c r="CD631" s="121">
        <v>1.0</v>
      </c>
      <c r="CE631" s="122" t="s">
        <v>185</v>
      </c>
      <c r="CF631" s="123"/>
      <c r="CG631" s="124">
        <v>0.0</v>
      </c>
      <c r="CH631" s="125"/>
      <c r="CI631" s="126">
        <v>0.0</v>
      </c>
      <c r="CJ631" s="126">
        <v>0.0</v>
      </c>
      <c r="CK631" s="127">
        <v>0.0</v>
      </c>
      <c r="CL631" s="126">
        <v>0.0</v>
      </c>
      <c r="CM631" s="128">
        <v>0.0</v>
      </c>
      <c r="CN631" s="126">
        <v>0.0</v>
      </c>
      <c r="CO631" s="129">
        <v>0.0</v>
      </c>
      <c r="CP631" s="130">
        <v>0.0</v>
      </c>
      <c r="CQ631" s="126">
        <v>0.0</v>
      </c>
      <c r="CR631" s="126">
        <v>0.0</v>
      </c>
      <c r="CS631" s="126">
        <v>0.0</v>
      </c>
      <c r="CT631" s="131"/>
      <c r="CU631" s="132"/>
      <c r="CV631" s="133"/>
      <c r="CW631" s="134">
        <v>1.0</v>
      </c>
      <c r="CX631" s="134">
        <v>1.0</v>
      </c>
      <c r="CY631" s="134">
        <v>0.1</v>
      </c>
      <c r="CZ631" s="135"/>
      <c r="DA631" s="133"/>
      <c r="DB631" s="134">
        <v>0.0</v>
      </c>
      <c r="DC631" s="133"/>
      <c r="DD631" s="136"/>
      <c r="DE631" s="133"/>
      <c r="DF631" s="133"/>
      <c r="DG631" s="137" t="s">
        <v>128</v>
      </c>
      <c r="DH631" s="137" t="s">
        <v>131</v>
      </c>
      <c r="DI631" s="137" t="s">
        <v>574</v>
      </c>
      <c r="DJ631" s="138">
        <v>1.0</v>
      </c>
      <c r="DK631" s="137" t="b">
        <v>0</v>
      </c>
      <c r="DL631" s="139" t="s">
        <v>1495</v>
      </c>
      <c r="DM631" s="140"/>
      <c r="DN631" s="140"/>
      <c r="DO631" s="141"/>
      <c r="DP631" s="141"/>
      <c r="DQ631" s="137" t="s">
        <v>576</v>
      </c>
      <c r="DR631" s="141"/>
      <c r="DS631" s="137" t="s">
        <v>134</v>
      </c>
    </row>
    <row r="632">
      <c r="A632" s="113" t="s">
        <v>118</v>
      </c>
      <c r="B632" s="114">
        <v>16.0</v>
      </c>
      <c r="C632" s="113" t="s">
        <v>1468</v>
      </c>
      <c r="D632" s="114">
        <v>648806.0</v>
      </c>
      <c r="E632" s="113" t="s">
        <v>179</v>
      </c>
      <c r="F632" s="113" t="s">
        <v>1512</v>
      </c>
      <c r="G632" s="113" t="s">
        <v>1513</v>
      </c>
      <c r="H632" s="115"/>
      <c r="I632" s="115"/>
      <c r="J632" s="115"/>
      <c r="K632" s="115"/>
      <c r="L632" s="115"/>
      <c r="M632" s="115"/>
      <c r="N632" s="115"/>
      <c r="O632" s="115"/>
      <c r="P632" s="115"/>
      <c r="Q632" s="115"/>
      <c r="R632" s="115"/>
      <c r="S632" s="115"/>
      <c r="T632" s="115"/>
      <c r="U632" s="115"/>
      <c r="V632" s="115"/>
      <c r="W632" s="115"/>
      <c r="X632" s="115"/>
      <c r="Y632" s="115"/>
      <c r="Z632" s="115"/>
      <c r="AA632" s="115"/>
      <c r="AB632" s="115"/>
      <c r="AC632" s="115"/>
      <c r="AD632" s="115"/>
      <c r="AE632" s="115"/>
      <c r="AF632" s="115"/>
      <c r="AG632" s="115"/>
      <c r="AH632" s="115"/>
      <c r="AI632" s="115"/>
      <c r="AJ632" s="115"/>
      <c r="AK632" s="115"/>
      <c r="AL632" s="115"/>
      <c r="AM632" s="115"/>
      <c r="AN632" s="115"/>
      <c r="AO632" s="115"/>
      <c r="AP632" s="115"/>
      <c r="AQ632" s="115"/>
      <c r="AR632" s="115"/>
      <c r="AS632" s="115"/>
      <c r="AT632" s="115"/>
      <c r="AU632" s="115"/>
      <c r="AV632" s="115"/>
      <c r="AW632" s="115"/>
      <c r="AX632" s="115"/>
      <c r="AY632" s="115"/>
      <c r="AZ632" s="115"/>
      <c r="BA632" s="115"/>
      <c r="BB632" s="115"/>
      <c r="BC632" s="115"/>
      <c r="BD632" s="115"/>
      <c r="BE632" s="115"/>
      <c r="BF632" s="115"/>
      <c r="BG632" s="115"/>
      <c r="BH632" s="115"/>
      <c r="BI632" s="115"/>
      <c r="BJ632" s="115"/>
      <c r="BK632" s="115"/>
      <c r="BL632" s="115"/>
      <c r="BM632" s="115"/>
      <c r="BN632" s="115"/>
      <c r="BO632" s="115"/>
      <c r="BP632" s="115"/>
      <c r="BQ632" s="115"/>
      <c r="BR632" s="115"/>
      <c r="BS632" s="115"/>
      <c r="BT632" s="116"/>
      <c r="BU632" s="115"/>
      <c r="BV632" s="115"/>
      <c r="BW632" s="115"/>
      <c r="BX632" s="114">
        <v>1.0</v>
      </c>
      <c r="BY632" s="114" t="s">
        <v>123</v>
      </c>
      <c r="BZ632" s="117">
        <v>1.0</v>
      </c>
      <c r="CA632" s="118"/>
      <c r="CB632" s="119"/>
      <c r="CC632" s="120"/>
      <c r="CD632" s="121">
        <v>1.0</v>
      </c>
      <c r="CE632" s="122" t="s">
        <v>185</v>
      </c>
      <c r="CF632" s="123"/>
      <c r="CG632" s="124">
        <v>0.0</v>
      </c>
      <c r="CH632" s="125"/>
      <c r="CI632" s="126">
        <v>0.0</v>
      </c>
      <c r="CJ632" s="126">
        <v>0.0</v>
      </c>
      <c r="CK632" s="127">
        <v>0.0</v>
      </c>
      <c r="CL632" s="126">
        <v>0.0</v>
      </c>
      <c r="CM632" s="128">
        <v>0.0</v>
      </c>
      <c r="CN632" s="126">
        <v>0.0</v>
      </c>
      <c r="CO632" s="129">
        <v>0.0</v>
      </c>
      <c r="CP632" s="130">
        <v>0.0</v>
      </c>
      <c r="CQ632" s="126">
        <v>0.0</v>
      </c>
      <c r="CR632" s="126">
        <v>0.0</v>
      </c>
      <c r="CS632" s="126">
        <v>0.0</v>
      </c>
      <c r="CT632" s="131"/>
      <c r="CU632" s="132"/>
      <c r="CV632" s="133"/>
      <c r="CW632" s="134">
        <v>1.0</v>
      </c>
      <c r="CX632" s="134">
        <v>1.0</v>
      </c>
      <c r="CY632" s="134">
        <v>0.1</v>
      </c>
      <c r="CZ632" s="135"/>
      <c r="DA632" s="133"/>
      <c r="DB632" s="134">
        <v>0.0</v>
      </c>
      <c r="DC632" s="133"/>
      <c r="DD632" s="136"/>
      <c r="DE632" s="133"/>
      <c r="DF632" s="133"/>
      <c r="DG632" s="137" t="s">
        <v>128</v>
      </c>
      <c r="DH632" s="137" t="s">
        <v>131</v>
      </c>
      <c r="DI632" s="137" t="s">
        <v>574</v>
      </c>
      <c r="DJ632" s="138">
        <v>1.0</v>
      </c>
      <c r="DK632" s="137" t="b">
        <v>0</v>
      </c>
      <c r="DL632" s="139" t="s">
        <v>1495</v>
      </c>
      <c r="DM632" s="140"/>
      <c r="DN632" s="140"/>
      <c r="DO632" s="141"/>
      <c r="DP632" s="141"/>
      <c r="DQ632" s="137" t="s">
        <v>576</v>
      </c>
      <c r="DR632" s="141"/>
      <c r="DS632" s="137" t="s">
        <v>134</v>
      </c>
    </row>
    <row r="633">
      <c r="A633" s="113" t="s">
        <v>118</v>
      </c>
      <c r="B633" s="114">
        <v>16.0</v>
      </c>
      <c r="C633" s="113" t="s">
        <v>1468</v>
      </c>
      <c r="D633" s="114">
        <v>631195.0</v>
      </c>
      <c r="E633" s="113" t="s">
        <v>140</v>
      </c>
      <c r="F633" s="113" t="s">
        <v>1514</v>
      </c>
      <c r="G633" s="113" t="s">
        <v>1515</v>
      </c>
      <c r="H633" s="115"/>
      <c r="I633" s="115"/>
      <c r="J633" s="115"/>
      <c r="K633" s="115"/>
      <c r="L633" s="115"/>
      <c r="M633" s="115"/>
      <c r="N633" s="115"/>
      <c r="O633" s="115"/>
      <c r="P633" s="115"/>
      <c r="Q633" s="115"/>
      <c r="R633" s="115"/>
      <c r="S633" s="115"/>
      <c r="T633" s="115"/>
      <c r="U633" s="115"/>
      <c r="V633" s="115"/>
      <c r="W633" s="115"/>
      <c r="X633" s="115"/>
      <c r="Y633" s="115"/>
      <c r="Z633" s="115"/>
      <c r="AA633" s="115"/>
      <c r="AB633" s="115"/>
      <c r="AC633" s="115"/>
      <c r="AD633" s="115"/>
      <c r="AE633" s="115"/>
      <c r="AF633" s="115"/>
      <c r="AG633" s="115"/>
      <c r="AH633" s="115"/>
      <c r="AI633" s="115"/>
      <c r="AJ633" s="115"/>
      <c r="AK633" s="115"/>
      <c r="AL633" s="115"/>
      <c r="AM633" s="115"/>
      <c r="AN633" s="115"/>
      <c r="AO633" s="115"/>
      <c r="AP633" s="115"/>
      <c r="AQ633" s="115"/>
      <c r="AR633" s="115"/>
      <c r="AS633" s="115"/>
      <c r="AT633" s="115"/>
      <c r="AU633" s="115"/>
      <c r="AV633" s="115"/>
      <c r="AW633" s="115"/>
      <c r="AX633" s="115"/>
      <c r="AY633" s="115"/>
      <c r="AZ633" s="115"/>
      <c r="BA633" s="115"/>
      <c r="BB633" s="115"/>
      <c r="BC633" s="115"/>
      <c r="BD633" s="115"/>
      <c r="BE633" s="115"/>
      <c r="BF633" s="115"/>
      <c r="BG633" s="115"/>
      <c r="BH633" s="115"/>
      <c r="BI633" s="115"/>
      <c r="BJ633" s="115"/>
      <c r="BK633" s="115"/>
      <c r="BL633" s="115"/>
      <c r="BM633" s="115"/>
      <c r="BN633" s="115"/>
      <c r="BO633" s="115"/>
      <c r="BP633" s="115"/>
      <c r="BQ633" s="115"/>
      <c r="BR633" s="115"/>
      <c r="BS633" s="115"/>
      <c r="BT633" s="116"/>
      <c r="BU633" s="115"/>
      <c r="BV633" s="115"/>
      <c r="BW633" s="115"/>
      <c r="BX633" s="114">
        <v>1.0</v>
      </c>
      <c r="BY633" s="114" t="s">
        <v>123</v>
      </c>
      <c r="BZ633" s="117">
        <v>1.0</v>
      </c>
      <c r="CA633" s="118"/>
      <c r="CB633" s="119"/>
      <c r="CC633" s="120"/>
      <c r="CD633" s="121">
        <v>1.0</v>
      </c>
      <c r="CE633" s="122" t="s">
        <v>185</v>
      </c>
      <c r="CF633" s="123"/>
      <c r="CG633" s="124">
        <v>0.0</v>
      </c>
      <c r="CH633" s="125"/>
      <c r="CI633" s="126">
        <v>0.0</v>
      </c>
      <c r="CJ633" s="126">
        <v>0.0</v>
      </c>
      <c r="CK633" s="127">
        <v>0.0</v>
      </c>
      <c r="CL633" s="126">
        <v>0.0</v>
      </c>
      <c r="CM633" s="128">
        <v>0.0</v>
      </c>
      <c r="CN633" s="126">
        <v>0.0</v>
      </c>
      <c r="CO633" s="129">
        <v>0.0</v>
      </c>
      <c r="CP633" s="130">
        <v>0.0</v>
      </c>
      <c r="CQ633" s="126">
        <v>0.0</v>
      </c>
      <c r="CR633" s="126">
        <v>0.0</v>
      </c>
      <c r="CS633" s="126">
        <v>0.0</v>
      </c>
      <c r="CT633" s="131"/>
      <c r="CU633" s="132"/>
      <c r="CV633" s="133"/>
      <c r="CW633" s="134">
        <v>1.0</v>
      </c>
      <c r="CX633" s="134">
        <v>1.0</v>
      </c>
      <c r="CY633" s="134">
        <v>0.1</v>
      </c>
      <c r="CZ633" s="135"/>
      <c r="DA633" s="133"/>
      <c r="DB633" s="134">
        <v>0.0</v>
      </c>
      <c r="DC633" s="133"/>
      <c r="DD633" s="136"/>
      <c r="DE633" s="133"/>
      <c r="DF633" s="133"/>
      <c r="DG633" s="137" t="s">
        <v>128</v>
      </c>
      <c r="DH633" s="137" t="s">
        <v>131</v>
      </c>
      <c r="DI633" s="137" t="s">
        <v>574</v>
      </c>
      <c r="DJ633" s="138">
        <v>1.0</v>
      </c>
      <c r="DK633" s="137" t="b">
        <v>0</v>
      </c>
      <c r="DL633" s="139" t="s">
        <v>1495</v>
      </c>
      <c r="DM633" s="140"/>
      <c r="DN633" s="140"/>
      <c r="DO633" s="141"/>
      <c r="DP633" s="141"/>
      <c r="DQ633" s="137" t="s">
        <v>576</v>
      </c>
      <c r="DR633" s="141"/>
      <c r="DS633" s="137" t="s">
        <v>134</v>
      </c>
    </row>
    <row r="634">
      <c r="A634" s="113" t="s">
        <v>118</v>
      </c>
      <c r="B634" s="114">
        <v>16.0</v>
      </c>
      <c r="C634" s="113" t="s">
        <v>1468</v>
      </c>
      <c r="D634" s="114">
        <v>576393.0</v>
      </c>
      <c r="E634" s="113" t="s">
        <v>164</v>
      </c>
      <c r="F634" s="113" t="s">
        <v>1516</v>
      </c>
      <c r="G634" s="113" t="s">
        <v>1517</v>
      </c>
      <c r="H634" s="115"/>
      <c r="I634" s="115"/>
      <c r="J634" s="115"/>
      <c r="K634" s="115"/>
      <c r="L634" s="115"/>
      <c r="M634" s="115"/>
      <c r="N634" s="115"/>
      <c r="O634" s="115"/>
      <c r="P634" s="115"/>
      <c r="Q634" s="115"/>
      <c r="R634" s="115"/>
      <c r="S634" s="115"/>
      <c r="T634" s="115"/>
      <c r="U634" s="115"/>
      <c r="V634" s="115"/>
      <c r="W634" s="115"/>
      <c r="X634" s="115"/>
      <c r="Y634" s="115"/>
      <c r="Z634" s="115"/>
      <c r="AA634" s="115"/>
      <c r="AB634" s="115"/>
      <c r="AC634" s="115"/>
      <c r="AD634" s="115"/>
      <c r="AE634" s="115"/>
      <c r="AF634" s="115"/>
      <c r="AG634" s="115"/>
      <c r="AH634" s="115"/>
      <c r="AI634" s="115"/>
      <c r="AJ634" s="115"/>
      <c r="AK634" s="115"/>
      <c r="AL634" s="115"/>
      <c r="AM634" s="115"/>
      <c r="AN634" s="115"/>
      <c r="AO634" s="115"/>
      <c r="AP634" s="115"/>
      <c r="AQ634" s="115"/>
      <c r="AR634" s="115"/>
      <c r="AS634" s="115"/>
      <c r="AT634" s="115"/>
      <c r="AU634" s="115"/>
      <c r="AV634" s="115"/>
      <c r="AW634" s="115"/>
      <c r="AX634" s="115"/>
      <c r="AY634" s="115"/>
      <c r="AZ634" s="115"/>
      <c r="BA634" s="115"/>
      <c r="BB634" s="115"/>
      <c r="BC634" s="115"/>
      <c r="BD634" s="115"/>
      <c r="BE634" s="115"/>
      <c r="BF634" s="115"/>
      <c r="BG634" s="115"/>
      <c r="BH634" s="115"/>
      <c r="BI634" s="115"/>
      <c r="BJ634" s="115"/>
      <c r="BK634" s="115"/>
      <c r="BL634" s="115"/>
      <c r="BM634" s="115"/>
      <c r="BN634" s="115"/>
      <c r="BO634" s="115"/>
      <c r="BP634" s="115"/>
      <c r="BQ634" s="115"/>
      <c r="BR634" s="115"/>
      <c r="BS634" s="115"/>
      <c r="BT634" s="116"/>
      <c r="BU634" s="115"/>
      <c r="BV634" s="115"/>
      <c r="BW634" s="115"/>
      <c r="BX634" s="114">
        <v>1.0</v>
      </c>
      <c r="BY634" s="114" t="s">
        <v>123</v>
      </c>
      <c r="BZ634" s="117">
        <v>1.0</v>
      </c>
      <c r="CA634" s="118"/>
      <c r="CB634" s="119"/>
      <c r="CC634" s="120"/>
      <c r="CD634" s="121">
        <v>1.0</v>
      </c>
      <c r="CE634" s="122" t="s">
        <v>185</v>
      </c>
      <c r="CF634" s="123"/>
      <c r="CG634" s="124">
        <v>0.0</v>
      </c>
      <c r="CH634" s="125"/>
      <c r="CI634" s="126">
        <v>0.0</v>
      </c>
      <c r="CJ634" s="126">
        <v>0.0</v>
      </c>
      <c r="CK634" s="127">
        <v>0.0</v>
      </c>
      <c r="CL634" s="126">
        <v>0.0</v>
      </c>
      <c r="CM634" s="128">
        <v>0.0</v>
      </c>
      <c r="CN634" s="126">
        <v>0.0</v>
      </c>
      <c r="CO634" s="129">
        <v>0.0</v>
      </c>
      <c r="CP634" s="130">
        <v>0.0</v>
      </c>
      <c r="CQ634" s="126">
        <v>0.0</v>
      </c>
      <c r="CR634" s="126">
        <v>0.0</v>
      </c>
      <c r="CS634" s="126">
        <v>0.0</v>
      </c>
      <c r="CT634" s="131"/>
      <c r="CU634" s="132"/>
      <c r="CV634" s="133"/>
      <c r="CW634" s="134">
        <v>1.0</v>
      </c>
      <c r="CX634" s="134">
        <v>1.0</v>
      </c>
      <c r="CY634" s="134">
        <v>0.1</v>
      </c>
      <c r="CZ634" s="135"/>
      <c r="DA634" s="133"/>
      <c r="DB634" s="134">
        <v>0.0</v>
      </c>
      <c r="DC634" s="133"/>
      <c r="DD634" s="136"/>
      <c r="DE634" s="133"/>
      <c r="DF634" s="133"/>
      <c r="DG634" s="137" t="s">
        <v>128</v>
      </c>
      <c r="DH634" s="137" t="s">
        <v>131</v>
      </c>
      <c r="DI634" s="137" t="s">
        <v>574</v>
      </c>
      <c r="DJ634" s="138">
        <v>1.0</v>
      </c>
      <c r="DK634" s="137" t="b">
        <v>0</v>
      </c>
      <c r="DL634" s="139" t="s">
        <v>1495</v>
      </c>
      <c r="DM634" s="140"/>
      <c r="DN634" s="140"/>
      <c r="DO634" s="141"/>
      <c r="DP634" s="141"/>
      <c r="DQ634" s="137" t="s">
        <v>576</v>
      </c>
      <c r="DR634" s="141"/>
      <c r="DS634" s="137" t="s">
        <v>134</v>
      </c>
    </row>
    <row r="635">
      <c r="A635" s="113" t="s">
        <v>118</v>
      </c>
      <c r="B635" s="114">
        <v>16.0</v>
      </c>
      <c r="C635" s="113" t="s">
        <v>1468</v>
      </c>
      <c r="D635" s="114">
        <v>604008.0</v>
      </c>
      <c r="E635" s="113" t="s">
        <v>176</v>
      </c>
      <c r="F635" s="113" t="s">
        <v>1518</v>
      </c>
      <c r="G635" s="113" t="s">
        <v>1519</v>
      </c>
      <c r="H635" s="115"/>
      <c r="I635" s="115"/>
      <c r="J635" s="115"/>
      <c r="K635" s="115"/>
      <c r="L635" s="115"/>
      <c r="M635" s="115"/>
      <c r="N635" s="115"/>
      <c r="O635" s="115"/>
      <c r="P635" s="115"/>
      <c r="Q635" s="115"/>
      <c r="R635" s="115"/>
      <c r="S635" s="115"/>
      <c r="T635" s="115"/>
      <c r="U635" s="115"/>
      <c r="V635" s="115"/>
      <c r="W635" s="115"/>
      <c r="X635" s="115"/>
      <c r="Y635" s="115"/>
      <c r="Z635" s="115"/>
      <c r="AA635" s="115"/>
      <c r="AB635" s="115"/>
      <c r="AC635" s="115"/>
      <c r="AD635" s="115"/>
      <c r="AE635" s="115"/>
      <c r="AF635" s="115"/>
      <c r="AG635" s="115"/>
      <c r="AH635" s="115"/>
      <c r="AI635" s="115"/>
      <c r="AJ635" s="115"/>
      <c r="AK635" s="115"/>
      <c r="AL635" s="115"/>
      <c r="AM635" s="115"/>
      <c r="AN635" s="115"/>
      <c r="AO635" s="115"/>
      <c r="AP635" s="115"/>
      <c r="AQ635" s="115"/>
      <c r="AR635" s="115"/>
      <c r="AS635" s="115"/>
      <c r="AT635" s="115"/>
      <c r="AU635" s="115"/>
      <c r="AV635" s="115"/>
      <c r="AW635" s="115"/>
      <c r="AX635" s="115"/>
      <c r="AY635" s="115"/>
      <c r="AZ635" s="115"/>
      <c r="BA635" s="115"/>
      <c r="BB635" s="115"/>
      <c r="BC635" s="115"/>
      <c r="BD635" s="115"/>
      <c r="BE635" s="115"/>
      <c r="BF635" s="115"/>
      <c r="BG635" s="115"/>
      <c r="BH635" s="115"/>
      <c r="BI635" s="115"/>
      <c r="BJ635" s="115"/>
      <c r="BK635" s="115"/>
      <c r="BL635" s="115"/>
      <c r="BM635" s="115"/>
      <c r="BN635" s="115"/>
      <c r="BO635" s="115"/>
      <c r="BP635" s="115"/>
      <c r="BQ635" s="115"/>
      <c r="BR635" s="115"/>
      <c r="BS635" s="115"/>
      <c r="BT635" s="116"/>
      <c r="BU635" s="115"/>
      <c r="BV635" s="115"/>
      <c r="BW635" s="115"/>
      <c r="BX635" s="114">
        <v>1.0</v>
      </c>
      <c r="BY635" s="114" t="s">
        <v>123</v>
      </c>
      <c r="BZ635" s="117">
        <v>1.0</v>
      </c>
      <c r="CA635" s="118"/>
      <c r="CB635" s="119"/>
      <c r="CC635" s="120"/>
      <c r="CD635" s="121">
        <v>1.0</v>
      </c>
      <c r="CE635" s="122" t="s">
        <v>185</v>
      </c>
      <c r="CF635" s="123"/>
      <c r="CG635" s="124">
        <v>0.0</v>
      </c>
      <c r="CH635" s="125"/>
      <c r="CI635" s="126">
        <v>0.0</v>
      </c>
      <c r="CJ635" s="126">
        <v>0.0</v>
      </c>
      <c r="CK635" s="127">
        <v>0.0</v>
      </c>
      <c r="CL635" s="126">
        <v>0.0</v>
      </c>
      <c r="CM635" s="128">
        <v>0.0</v>
      </c>
      <c r="CN635" s="126">
        <v>0.0</v>
      </c>
      <c r="CO635" s="129">
        <v>0.0</v>
      </c>
      <c r="CP635" s="130">
        <v>0.0</v>
      </c>
      <c r="CQ635" s="126">
        <v>0.0</v>
      </c>
      <c r="CR635" s="126">
        <v>0.0</v>
      </c>
      <c r="CS635" s="126">
        <v>0.0</v>
      </c>
      <c r="CT635" s="131"/>
      <c r="CU635" s="132"/>
      <c r="CV635" s="133"/>
      <c r="CW635" s="134">
        <v>1.0</v>
      </c>
      <c r="CX635" s="134">
        <v>1.0</v>
      </c>
      <c r="CY635" s="134">
        <v>0.1</v>
      </c>
      <c r="CZ635" s="135"/>
      <c r="DA635" s="133"/>
      <c r="DB635" s="134">
        <v>0.0</v>
      </c>
      <c r="DC635" s="133"/>
      <c r="DD635" s="136"/>
      <c r="DE635" s="133"/>
      <c r="DF635" s="133"/>
      <c r="DG635" s="137" t="s">
        <v>128</v>
      </c>
      <c r="DH635" s="137" t="s">
        <v>131</v>
      </c>
      <c r="DI635" s="137" t="s">
        <v>574</v>
      </c>
      <c r="DJ635" s="138">
        <v>1.0</v>
      </c>
      <c r="DK635" s="137" t="b">
        <v>0</v>
      </c>
      <c r="DL635" s="139" t="s">
        <v>1495</v>
      </c>
      <c r="DM635" s="140"/>
      <c r="DN635" s="140"/>
      <c r="DO635" s="141"/>
      <c r="DP635" s="141"/>
      <c r="DQ635" s="137" t="s">
        <v>576</v>
      </c>
      <c r="DR635" s="141"/>
      <c r="DS635" s="137" t="s">
        <v>134</v>
      </c>
    </row>
    <row r="636">
      <c r="A636" s="113" t="s">
        <v>118</v>
      </c>
      <c r="B636" s="114">
        <v>16.0</v>
      </c>
      <c r="C636" s="113" t="s">
        <v>1468</v>
      </c>
      <c r="D636" s="114">
        <v>648803.0</v>
      </c>
      <c r="E636" s="113" t="s">
        <v>189</v>
      </c>
      <c r="F636" s="113" t="s">
        <v>1520</v>
      </c>
      <c r="G636" s="113" t="s">
        <v>1521</v>
      </c>
      <c r="H636" s="115"/>
      <c r="I636" s="115"/>
      <c r="J636" s="115"/>
      <c r="K636" s="115"/>
      <c r="L636" s="115"/>
      <c r="M636" s="115"/>
      <c r="N636" s="115"/>
      <c r="O636" s="115"/>
      <c r="P636" s="115"/>
      <c r="Q636" s="115"/>
      <c r="R636" s="115"/>
      <c r="S636" s="115"/>
      <c r="T636" s="115"/>
      <c r="U636" s="115"/>
      <c r="V636" s="115"/>
      <c r="W636" s="115"/>
      <c r="X636" s="115"/>
      <c r="Y636" s="115"/>
      <c r="Z636" s="115"/>
      <c r="AA636" s="115"/>
      <c r="AB636" s="115"/>
      <c r="AC636" s="115"/>
      <c r="AD636" s="115"/>
      <c r="AE636" s="115"/>
      <c r="AF636" s="115"/>
      <c r="AG636" s="115"/>
      <c r="AH636" s="115"/>
      <c r="AI636" s="115"/>
      <c r="AJ636" s="115"/>
      <c r="AK636" s="115"/>
      <c r="AL636" s="115"/>
      <c r="AM636" s="115"/>
      <c r="AN636" s="115"/>
      <c r="AO636" s="115"/>
      <c r="AP636" s="115"/>
      <c r="AQ636" s="115"/>
      <c r="AR636" s="115"/>
      <c r="AS636" s="115"/>
      <c r="AT636" s="115"/>
      <c r="AU636" s="115"/>
      <c r="AV636" s="115"/>
      <c r="AW636" s="115"/>
      <c r="AX636" s="115"/>
      <c r="AY636" s="115"/>
      <c r="AZ636" s="115"/>
      <c r="BA636" s="115"/>
      <c r="BB636" s="115"/>
      <c r="BC636" s="115"/>
      <c r="BD636" s="115"/>
      <c r="BE636" s="115"/>
      <c r="BF636" s="115"/>
      <c r="BG636" s="115"/>
      <c r="BH636" s="115"/>
      <c r="BI636" s="115"/>
      <c r="BJ636" s="115"/>
      <c r="BK636" s="115"/>
      <c r="BL636" s="115"/>
      <c r="BM636" s="115"/>
      <c r="BN636" s="115"/>
      <c r="BO636" s="115"/>
      <c r="BP636" s="115"/>
      <c r="BQ636" s="115"/>
      <c r="BR636" s="115"/>
      <c r="BS636" s="115"/>
      <c r="BT636" s="116"/>
      <c r="BU636" s="115"/>
      <c r="BV636" s="115"/>
      <c r="BW636" s="115"/>
      <c r="BX636" s="114">
        <v>1.0</v>
      </c>
      <c r="BY636" s="113" t="s">
        <v>123</v>
      </c>
      <c r="BZ636" s="117">
        <v>1.0</v>
      </c>
      <c r="CA636" s="118"/>
      <c r="CB636" s="119"/>
      <c r="CC636" s="120"/>
      <c r="CD636" s="121">
        <v>1.0</v>
      </c>
      <c r="CE636" s="122" t="s">
        <v>185</v>
      </c>
      <c r="CF636" s="123"/>
      <c r="CG636" s="124">
        <v>0.0</v>
      </c>
      <c r="CH636" s="125"/>
      <c r="CI636" s="126">
        <v>0.0</v>
      </c>
      <c r="CJ636" s="126">
        <v>0.0</v>
      </c>
      <c r="CK636" s="127">
        <v>0.0</v>
      </c>
      <c r="CL636" s="126">
        <v>0.0</v>
      </c>
      <c r="CM636" s="128">
        <v>0.0</v>
      </c>
      <c r="CN636" s="126">
        <v>0.0</v>
      </c>
      <c r="CO636" s="129">
        <v>0.0</v>
      </c>
      <c r="CP636" s="130">
        <v>0.0</v>
      </c>
      <c r="CQ636" s="126">
        <v>0.0</v>
      </c>
      <c r="CR636" s="126">
        <v>0.0</v>
      </c>
      <c r="CS636" s="126">
        <v>0.0</v>
      </c>
      <c r="CT636" s="131"/>
      <c r="CU636" s="132"/>
      <c r="CV636" s="133"/>
      <c r="CW636" s="134">
        <v>1.0</v>
      </c>
      <c r="CX636" s="134">
        <v>1.0</v>
      </c>
      <c r="CY636" s="134">
        <v>0.1</v>
      </c>
      <c r="CZ636" s="135"/>
      <c r="DA636" s="133"/>
      <c r="DB636" s="134">
        <v>0.0</v>
      </c>
      <c r="DC636" s="133"/>
      <c r="DD636" s="136"/>
      <c r="DE636" s="133"/>
      <c r="DF636" s="133"/>
      <c r="DG636" s="137" t="s">
        <v>128</v>
      </c>
      <c r="DH636" s="137" t="s">
        <v>131</v>
      </c>
      <c r="DI636" s="137" t="s">
        <v>574</v>
      </c>
      <c r="DJ636" s="138">
        <v>1.0</v>
      </c>
      <c r="DK636" s="137" t="b">
        <v>0</v>
      </c>
      <c r="DL636" s="139" t="s">
        <v>1495</v>
      </c>
      <c r="DM636" s="140"/>
      <c r="DN636" s="140"/>
      <c r="DO636" s="141"/>
      <c r="DP636" s="141"/>
      <c r="DQ636" s="137" t="s">
        <v>576</v>
      </c>
      <c r="DR636" s="141"/>
      <c r="DS636" s="137" t="s">
        <v>134</v>
      </c>
    </row>
    <row r="637">
      <c r="A637" s="113" t="s">
        <v>118</v>
      </c>
      <c r="B637" s="114">
        <v>16.0</v>
      </c>
      <c r="C637" s="113" t="s">
        <v>1468</v>
      </c>
      <c r="D637" s="114">
        <v>648801.0</v>
      </c>
      <c r="E637" s="113" t="s">
        <v>198</v>
      </c>
      <c r="F637" s="113" t="s">
        <v>1522</v>
      </c>
      <c r="G637" s="113" t="s">
        <v>1523</v>
      </c>
      <c r="H637" s="115"/>
      <c r="I637" s="115"/>
      <c r="J637" s="115"/>
      <c r="K637" s="115"/>
      <c r="L637" s="115"/>
      <c r="M637" s="115"/>
      <c r="N637" s="115"/>
      <c r="O637" s="115"/>
      <c r="P637" s="115"/>
      <c r="Q637" s="115"/>
      <c r="R637" s="115"/>
      <c r="S637" s="115"/>
      <c r="T637" s="115"/>
      <c r="U637" s="115"/>
      <c r="V637" s="115"/>
      <c r="W637" s="115"/>
      <c r="X637" s="115"/>
      <c r="Y637" s="115"/>
      <c r="Z637" s="115"/>
      <c r="AA637" s="115"/>
      <c r="AB637" s="115"/>
      <c r="AC637" s="115"/>
      <c r="AD637" s="115"/>
      <c r="AE637" s="115"/>
      <c r="AF637" s="115"/>
      <c r="AG637" s="115"/>
      <c r="AH637" s="115"/>
      <c r="AI637" s="115"/>
      <c r="AJ637" s="115"/>
      <c r="AK637" s="115"/>
      <c r="AL637" s="115"/>
      <c r="AM637" s="115"/>
      <c r="AN637" s="115"/>
      <c r="AO637" s="115"/>
      <c r="AP637" s="115"/>
      <c r="AQ637" s="115"/>
      <c r="AR637" s="115"/>
      <c r="AS637" s="115"/>
      <c r="AT637" s="115"/>
      <c r="AU637" s="115"/>
      <c r="AV637" s="115"/>
      <c r="AW637" s="115"/>
      <c r="AX637" s="115"/>
      <c r="AY637" s="115"/>
      <c r="AZ637" s="115"/>
      <c r="BA637" s="115"/>
      <c r="BB637" s="115"/>
      <c r="BC637" s="115"/>
      <c r="BD637" s="115"/>
      <c r="BE637" s="115"/>
      <c r="BF637" s="115"/>
      <c r="BG637" s="115"/>
      <c r="BH637" s="115"/>
      <c r="BI637" s="115"/>
      <c r="BJ637" s="115"/>
      <c r="BK637" s="115"/>
      <c r="BL637" s="115"/>
      <c r="BM637" s="115"/>
      <c r="BN637" s="115"/>
      <c r="BO637" s="115"/>
      <c r="BP637" s="115"/>
      <c r="BQ637" s="115"/>
      <c r="BR637" s="115"/>
      <c r="BS637" s="115"/>
      <c r="BT637" s="116"/>
      <c r="BU637" s="115"/>
      <c r="BV637" s="115"/>
      <c r="BW637" s="115"/>
      <c r="BX637" s="114">
        <v>1.0</v>
      </c>
      <c r="BY637" s="113" t="s">
        <v>123</v>
      </c>
      <c r="BZ637" s="117">
        <v>1.0</v>
      </c>
      <c r="CA637" s="118"/>
      <c r="CB637" s="119"/>
      <c r="CC637" s="120"/>
      <c r="CD637" s="121">
        <v>1.0</v>
      </c>
      <c r="CE637" s="122" t="s">
        <v>185</v>
      </c>
      <c r="CF637" s="123"/>
      <c r="CG637" s="124">
        <v>0.0</v>
      </c>
      <c r="CH637" s="125"/>
      <c r="CI637" s="126">
        <v>0.0</v>
      </c>
      <c r="CJ637" s="126">
        <v>0.0</v>
      </c>
      <c r="CK637" s="127">
        <v>0.0</v>
      </c>
      <c r="CL637" s="126">
        <v>0.0</v>
      </c>
      <c r="CM637" s="128">
        <v>0.0</v>
      </c>
      <c r="CN637" s="126">
        <v>0.0</v>
      </c>
      <c r="CO637" s="129">
        <v>0.0</v>
      </c>
      <c r="CP637" s="130">
        <v>0.0</v>
      </c>
      <c r="CQ637" s="126">
        <v>0.0</v>
      </c>
      <c r="CR637" s="126">
        <v>0.0</v>
      </c>
      <c r="CS637" s="126">
        <v>0.0</v>
      </c>
      <c r="CT637" s="131"/>
      <c r="CU637" s="132"/>
      <c r="CV637" s="133"/>
      <c r="CW637" s="134">
        <v>1.0</v>
      </c>
      <c r="CX637" s="134">
        <v>1.0</v>
      </c>
      <c r="CY637" s="134">
        <v>0.1</v>
      </c>
      <c r="CZ637" s="135"/>
      <c r="DA637" s="133"/>
      <c r="DB637" s="134">
        <v>0.0</v>
      </c>
      <c r="DC637" s="133"/>
      <c r="DD637" s="136"/>
      <c r="DE637" s="133"/>
      <c r="DF637" s="133"/>
      <c r="DG637" s="137" t="s">
        <v>128</v>
      </c>
      <c r="DH637" s="137" t="s">
        <v>131</v>
      </c>
      <c r="DI637" s="137" t="s">
        <v>574</v>
      </c>
      <c r="DJ637" s="138">
        <v>1.0</v>
      </c>
      <c r="DK637" s="137" t="b">
        <v>0</v>
      </c>
      <c r="DL637" s="139" t="s">
        <v>1495</v>
      </c>
      <c r="DM637" s="140"/>
      <c r="DN637" s="140"/>
      <c r="DO637" s="141"/>
      <c r="DP637" s="141"/>
      <c r="DQ637" s="137" t="s">
        <v>576</v>
      </c>
      <c r="DR637" s="141"/>
      <c r="DS637" s="137" t="s">
        <v>134</v>
      </c>
    </row>
    <row r="638">
      <c r="A638" s="113" t="s">
        <v>118</v>
      </c>
      <c r="B638" s="114">
        <v>16.0</v>
      </c>
      <c r="C638" s="113" t="s">
        <v>1468</v>
      </c>
      <c r="D638" s="114">
        <v>641892.0</v>
      </c>
      <c r="E638" s="113" t="s">
        <v>170</v>
      </c>
      <c r="F638" s="113" t="s">
        <v>1524</v>
      </c>
      <c r="G638" s="113" t="s">
        <v>1525</v>
      </c>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c r="AH638" s="115"/>
      <c r="AI638" s="115"/>
      <c r="AJ638" s="115"/>
      <c r="AK638" s="115"/>
      <c r="AL638" s="115"/>
      <c r="AM638" s="115"/>
      <c r="AN638" s="115"/>
      <c r="AO638" s="115"/>
      <c r="AP638" s="115"/>
      <c r="AQ638" s="115"/>
      <c r="AR638" s="115"/>
      <c r="AS638" s="115"/>
      <c r="AT638" s="115"/>
      <c r="AU638" s="115"/>
      <c r="AV638" s="115"/>
      <c r="AW638" s="115"/>
      <c r="AX638" s="115"/>
      <c r="AY638" s="115"/>
      <c r="AZ638" s="115"/>
      <c r="BA638" s="115"/>
      <c r="BB638" s="115"/>
      <c r="BC638" s="115"/>
      <c r="BD638" s="115"/>
      <c r="BE638" s="115"/>
      <c r="BF638" s="115"/>
      <c r="BG638" s="115"/>
      <c r="BH638" s="115"/>
      <c r="BI638" s="115"/>
      <c r="BJ638" s="115"/>
      <c r="BK638" s="115"/>
      <c r="BL638" s="115"/>
      <c r="BM638" s="115"/>
      <c r="BN638" s="115"/>
      <c r="BO638" s="115"/>
      <c r="BP638" s="115"/>
      <c r="BQ638" s="115"/>
      <c r="BR638" s="115"/>
      <c r="BS638" s="115"/>
      <c r="BT638" s="116"/>
      <c r="BU638" s="115"/>
      <c r="BV638" s="115"/>
      <c r="BW638" s="115"/>
      <c r="BX638" s="114">
        <v>1.0</v>
      </c>
      <c r="BY638" s="114" t="s">
        <v>123</v>
      </c>
      <c r="BZ638" s="117">
        <v>1.0</v>
      </c>
      <c r="CA638" s="118"/>
      <c r="CB638" s="119"/>
      <c r="CC638" s="120"/>
      <c r="CD638" s="121">
        <v>1.0</v>
      </c>
      <c r="CE638" s="122" t="s">
        <v>185</v>
      </c>
      <c r="CF638" s="123"/>
      <c r="CG638" s="124">
        <v>0.0</v>
      </c>
      <c r="CH638" s="125"/>
      <c r="CI638" s="126">
        <v>0.0</v>
      </c>
      <c r="CJ638" s="126">
        <v>0.0</v>
      </c>
      <c r="CK638" s="127">
        <v>0.0</v>
      </c>
      <c r="CL638" s="126">
        <v>0.0</v>
      </c>
      <c r="CM638" s="128">
        <v>0.0</v>
      </c>
      <c r="CN638" s="126">
        <v>0.0</v>
      </c>
      <c r="CO638" s="129">
        <v>0.0</v>
      </c>
      <c r="CP638" s="130">
        <v>0.0</v>
      </c>
      <c r="CQ638" s="126">
        <v>0.0</v>
      </c>
      <c r="CR638" s="126">
        <v>0.0</v>
      </c>
      <c r="CS638" s="126">
        <v>0.0</v>
      </c>
      <c r="CT638" s="131"/>
      <c r="CU638" s="132"/>
      <c r="CV638" s="133"/>
      <c r="CW638" s="134">
        <v>1.0</v>
      </c>
      <c r="CX638" s="134">
        <v>1.0</v>
      </c>
      <c r="CY638" s="134">
        <v>0.1</v>
      </c>
      <c r="CZ638" s="135"/>
      <c r="DA638" s="133"/>
      <c r="DB638" s="134">
        <v>0.0</v>
      </c>
      <c r="DC638" s="133"/>
      <c r="DD638" s="136"/>
      <c r="DE638" s="133"/>
      <c r="DF638" s="133"/>
      <c r="DG638" s="137" t="s">
        <v>128</v>
      </c>
      <c r="DH638" s="137" t="s">
        <v>131</v>
      </c>
      <c r="DI638" s="137" t="s">
        <v>574</v>
      </c>
      <c r="DJ638" s="138">
        <v>1.0</v>
      </c>
      <c r="DK638" s="137" t="b">
        <v>0</v>
      </c>
      <c r="DL638" s="139" t="s">
        <v>1495</v>
      </c>
      <c r="DM638" s="140"/>
      <c r="DN638" s="140"/>
      <c r="DO638" s="141"/>
      <c r="DP638" s="141"/>
      <c r="DQ638" s="137" t="s">
        <v>576</v>
      </c>
      <c r="DR638" s="141"/>
      <c r="DS638" s="137" t="s">
        <v>134</v>
      </c>
    </row>
    <row r="639">
      <c r="A639" s="113" t="s">
        <v>118</v>
      </c>
      <c r="B639" s="114">
        <v>16.0</v>
      </c>
      <c r="C639" s="113" t="s">
        <v>1468</v>
      </c>
      <c r="D639" s="114">
        <v>610881.0</v>
      </c>
      <c r="E639" s="113" t="s">
        <v>167</v>
      </c>
      <c r="F639" s="113" t="s">
        <v>1526</v>
      </c>
      <c r="G639" s="113" t="s">
        <v>1527</v>
      </c>
      <c r="H639" s="115"/>
      <c r="I639" s="115"/>
      <c r="J639" s="115"/>
      <c r="K639" s="115"/>
      <c r="L639" s="115"/>
      <c r="M639" s="115"/>
      <c r="N639" s="115"/>
      <c r="O639" s="115"/>
      <c r="P639" s="115"/>
      <c r="Q639" s="115"/>
      <c r="R639" s="115"/>
      <c r="S639" s="115"/>
      <c r="T639" s="115"/>
      <c r="U639" s="115"/>
      <c r="V639" s="115"/>
      <c r="W639" s="115"/>
      <c r="X639" s="115"/>
      <c r="Y639" s="115"/>
      <c r="Z639" s="115"/>
      <c r="AA639" s="115"/>
      <c r="AB639" s="115"/>
      <c r="AC639" s="115"/>
      <c r="AD639" s="115"/>
      <c r="AE639" s="115"/>
      <c r="AF639" s="115"/>
      <c r="AG639" s="115"/>
      <c r="AH639" s="115"/>
      <c r="AI639" s="115"/>
      <c r="AJ639" s="115"/>
      <c r="AK639" s="115"/>
      <c r="AL639" s="115"/>
      <c r="AM639" s="115"/>
      <c r="AN639" s="115"/>
      <c r="AO639" s="115"/>
      <c r="AP639" s="115"/>
      <c r="AQ639" s="115"/>
      <c r="AR639" s="115"/>
      <c r="AS639" s="115"/>
      <c r="AT639" s="115"/>
      <c r="AU639" s="115"/>
      <c r="AV639" s="115"/>
      <c r="AW639" s="115"/>
      <c r="AX639" s="115"/>
      <c r="AY639" s="115"/>
      <c r="AZ639" s="115"/>
      <c r="BA639" s="115"/>
      <c r="BB639" s="115"/>
      <c r="BC639" s="115"/>
      <c r="BD639" s="115"/>
      <c r="BE639" s="115"/>
      <c r="BF639" s="115"/>
      <c r="BG639" s="115"/>
      <c r="BH639" s="115"/>
      <c r="BI639" s="115"/>
      <c r="BJ639" s="115"/>
      <c r="BK639" s="115"/>
      <c r="BL639" s="115"/>
      <c r="BM639" s="115"/>
      <c r="BN639" s="115"/>
      <c r="BO639" s="115"/>
      <c r="BP639" s="115"/>
      <c r="BQ639" s="115"/>
      <c r="BR639" s="115"/>
      <c r="BS639" s="115"/>
      <c r="BT639" s="116"/>
      <c r="BU639" s="115"/>
      <c r="BV639" s="115"/>
      <c r="BW639" s="115"/>
      <c r="BX639" s="114">
        <v>1.0</v>
      </c>
      <c r="BY639" s="114" t="s">
        <v>123</v>
      </c>
      <c r="BZ639" s="117">
        <v>1.0</v>
      </c>
      <c r="CA639" s="118"/>
      <c r="CB639" s="119"/>
      <c r="CC639" s="120"/>
      <c r="CD639" s="121">
        <v>1.0</v>
      </c>
      <c r="CE639" s="122" t="s">
        <v>185</v>
      </c>
      <c r="CF639" s="123"/>
      <c r="CG639" s="124">
        <v>0.0</v>
      </c>
      <c r="CH639" s="125"/>
      <c r="CI639" s="126">
        <v>0.0</v>
      </c>
      <c r="CJ639" s="126">
        <v>0.0</v>
      </c>
      <c r="CK639" s="127">
        <v>0.0</v>
      </c>
      <c r="CL639" s="126">
        <v>0.0</v>
      </c>
      <c r="CM639" s="128">
        <v>0.0</v>
      </c>
      <c r="CN639" s="126">
        <v>0.0</v>
      </c>
      <c r="CO639" s="129">
        <v>0.0</v>
      </c>
      <c r="CP639" s="130">
        <v>0.0</v>
      </c>
      <c r="CQ639" s="126">
        <v>0.0</v>
      </c>
      <c r="CR639" s="126">
        <v>0.0</v>
      </c>
      <c r="CS639" s="126">
        <v>0.0</v>
      </c>
      <c r="CT639" s="131"/>
      <c r="CU639" s="132"/>
      <c r="CV639" s="133"/>
      <c r="CW639" s="134">
        <v>1.0</v>
      </c>
      <c r="CX639" s="134">
        <v>1.0</v>
      </c>
      <c r="CY639" s="134">
        <v>0.1</v>
      </c>
      <c r="CZ639" s="135"/>
      <c r="DA639" s="133"/>
      <c r="DB639" s="134">
        <v>0.0</v>
      </c>
      <c r="DC639" s="133"/>
      <c r="DD639" s="136"/>
      <c r="DE639" s="133"/>
      <c r="DF639" s="133"/>
      <c r="DG639" s="137" t="s">
        <v>128</v>
      </c>
      <c r="DH639" s="137" t="s">
        <v>131</v>
      </c>
      <c r="DI639" s="137" t="s">
        <v>574</v>
      </c>
      <c r="DJ639" s="138">
        <v>1.0</v>
      </c>
      <c r="DK639" s="137" t="b">
        <v>0</v>
      </c>
      <c r="DL639" s="139" t="s">
        <v>1495</v>
      </c>
      <c r="DM639" s="140"/>
      <c r="DN639" s="140"/>
      <c r="DO639" s="141"/>
      <c r="DP639" s="141"/>
      <c r="DQ639" s="137" t="s">
        <v>576</v>
      </c>
      <c r="DR639" s="141"/>
      <c r="DS639" s="137" t="s">
        <v>134</v>
      </c>
    </row>
    <row r="640">
      <c r="A640" s="113" t="s">
        <v>118</v>
      </c>
      <c r="B640" s="114">
        <v>16.0</v>
      </c>
      <c r="C640" s="113" t="s">
        <v>1468</v>
      </c>
      <c r="D640" s="114">
        <v>639495.0</v>
      </c>
      <c r="E640" s="113" t="s">
        <v>155</v>
      </c>
      <c r="F640" s="113" t="s">
        <v>1528</v>
      </c>
      <c r="G640" s="113" t="s">
        <v>1529</v>
      </c>
      <c r="H640" s="115"/>
      <c r="I640" s="115"/>
      <c r="J640" s="115"/>
      <c r="K640" s="115"/>
      <c r="L640" s="115"/>
      <c r="M640" s="115"/>
      <c r="N640" s="115"/>
      <c r="O640" s="115"/>
      <c r="P640" s="115"/>
      <c r="Q640" s="115"/>
      <c r="R640" s="115"/>
      <c r="S640" s="115"/>
      <c r="T640" s="115"/>
      <c r="U640" s="115"/>
      <c r="V640" s="115"/>
      <c r="W640" s="115"/>
      <c r="X640" s="115"/>
      <c r="Y640" s="115"/>
      <c r="Z640" s="115"/>
      <c r="AA640" s="115"/>
      <c r="AB640" s="115"/>
      <c r="AC640" s="115"/>
      <c r="AD640" s="115"/>
      <c r="AE640" s="115"/>
      <c r="AF640" s="115"/>
      <c r="AG640" s="115"/>
      <c r="AH640" s="115"/>
      <c r="AI640" s="115"/>
      <c r="AJ640" s="115"/>
      <c r="AK640" s="115"/>
      <c r="AL640" s="115"/>
      <c r="AM640" s="115"/>
      <c r="AN640" s="115"/>
      <c r="AO640" s="115"/>
      <c r="AP640" s="115"/>
      <c r="AQ640" s="115"/>
      <c r="AR640" s="115"/>
      <c r="AS640" s="115"/>
      <c r="AT640" s="115"/>
      <c r="AU640" s="115"/>
      <c r="AV640" s="115"/>
      <c r="AW640" s="115"/>
      <c r="AX640" s="115"/>
      <c r="AY640" s="115"/>
      <c r="AZ640" s="115"/>
      <c r="BA640" s="115"/>
      <c r="BB640" s="115"/>
      <c r="BC640" s="115"/>
      <c r="BD640" s="115"/>
      <c r="BE640" s="115"/>
      <c r="BF640" s="115"/>
      <c r="BG640" s="115"/>
      <c r="BH640" s="115"/>
      <c r="BI640" s="115"/>
      <c r="BJ640" s="115"/>
      <c r="BK640" s="115"/>
      <c r="BL640" s="115"/>
      <c r="BM640" s="115"/>
      <c r="BN640" s="115"/>
      <c r="BO640" s="115"/>
      <c r="BP640" s="115"/>
      <c r="BQ640" s="115"/>
      <c r="BR640" s="115"/>
      <c r="BS640" s="115"/>
      <c r="BT640" s="116"/>
      <c r="BU640" s="115"/>
      <c r="BV640" s="115"/>
      <c r="BW640" s="115"/>
      <c r="BX640" s="114">
        <v>1.0</v>
      </c>
      <c r="BY640" s="114" t="s">
        <v>123</v>
      </c>
      <c r="BZ640" s="117">
        <v>1.0</v>
      </c>
      <c r="CA640" s="118"/>
      <c r="CB640" s="119"/>
      <c r="CC640" s="120"/>
      <c r="CD640" s="121">
        <v>1.0</v>
      </c>
      <c r="CE640" s="122" t="s">
        <v>185</v>
      </c>
      <c r="CF640" s="123"/>
      <c r="CG640" s="124">
        <v>0.0</v>
      </c>
      <c r="CH640" s="125"/>
      <c r="CI640" s="126">
        <v>0.0</v>
      </c>
      <c r="CJ640" s="126">
        <v>0.0</v>
      </c>
      <c r="CK640" s="127">
        <v>0.0</v>
      </c>
      <c r="CL640" s="126">
        <v>0.0</v>
      </c>
      <c r="CM640" s="128">
        <v>0.0</v>
      </c>
      <c r="CN640" s="126">
        <v>0.0</v>
      </c>
      <c r="CO640" s="129">
        <v>0.0</v>
      </c>
      <c r="CP640" s="130">
        <v>0.0</v>
      </c>
      <c r="CQ640" s="126">
        <v>0.0</v>
      </c>
      <c r="CR640" s="126">
        <v>0.0</v>
      </c>
      <c r="CS640" s="126">
        <v>0.0</v>
      </c>
      <c r="CT640" s="131"/>
      <c r="CU640" s="132"/>
      <c r="CV640" s="133"/>
      <c r="CW640" s="134">
        <v>1.0</v>
      </c>
      <c r="CX640" s="134">
        <v>1.0</v>
      </c>
      <c r="CY640" s="134">
        <v>0.1</v>
      </c>
      <c r="CZ640" s="135"/>
      <c r="DA640" s="133"/>
      <c r="DB640" s="134">
        <v>0.0</v>
      </c>
      <c r="DC640" s="133"/>
      <c r="DD640" s="136"/>
      <c r="DE640" s="133"/>
      <c r="DF640" s="133"/>
      <c r="DG640" s="137" t="s">
        <v>128</v>
      </c>
      <c r="DH640" s="137" t="s">
        <v>131</v>
      </c>
      <c r="DI640" s="137" t="s">
        <v>574</v>
      </c>
      <c r="DJ640" s="138">
        <v>1.0</v>
      </c>
      <c r="DK640" s="137" t="b">
        <v>0</v>
      </c>
      <c r="DL640" s="139" t="s">
        <v>1495</v>
      </c>
      <c r="DM640" s="140"/>
      <c r="DN640" s="140"/>
      <c r="DO640" s="141"/>
      <c r="DP640" s="141"/>
      <c r="DQ640" s="137" t="s">
        <v>576</v>
      </c>
      <c r="DR640" s="141"/>
      <c r="DS640" s="137" t="s">
        <v>134</v>
      </c>
    </row>
    <row r="641">
      <c r="A641" s="113" t="s">
        <v>118</v>
      </c>
      <c r="B641" s="114">
        <v>16.0</v>
      </c>
      <c r="C641" s="113" t="s">
        <v>1468</v>
      </c>
      <c r="D641" s="114">
        <v>643373.0</v>
      </c>
      <c r="E641" s="113" t="s">
        <v>120</v>
      </c>
      <c r="F641" s="113" t="s">
        <v>1530</v>
      </c>
      <c r="G641" s="113" t="s">
        <v>1531</v>
      </c>
      <c r="H641" s="115"/>
      <c r="I641" s="115"/>
      <c r="J641" s="115"/>
      <c r="K641" s="115"/>
      <c r="L641" s="115"/>
      <c r="M641" s="115"/>
      <c r="N641" s="115"/>
      <c r="O641" s="115"/>
      <c r="P641" s="115"/>
      <c r="Q641" s="115"/>
      <c r="R641" s="115"/>
      <c r="S641" s="115"/>
      <c r="T641" s="115"/>
      <c r="U641" s="115"/>
      <c r="V641" s="115"/>
      <c r="W641" s="115"/>
      <c r="X641" s="115"/>
      <c r="Y641" s="115"/>
      <c r="Z641" s="115"/>
      <c r="AA641" s="115"/>
      <c r="AB641" s="115"/>
      <c r="AC641" s="115"/>
      <c r="AD641" s="115"/>
      <c r="AE641" s="115"/>
      <c r="AF641" s="115"/>
      <c r="AG641" s="115"/>
      <c r="AH641" s="115"/>
      <c r="AI641" s="115"/>
      <c r="AJ641" s="115"/>
      <c r="AK641" s="115"/>
      <c r="AL641" s="115"/>
      <c r="AM641" s="115"/>
      <c r="AN641" s="115"/>
      <c r="AO641" s="115"/>
      <c r="AP641" s="115"/>
      <c r="AQ641" s="115"/>
      <c r="AR641" s="115"/>
      <c r="AS641" s="115"/>
      <c r="AT641" s="115"/>
      <c r="AU641" s="115"/>
      <c r="AV641" s="115"/>
      <c r="AW641" s="115"/>
      <c r="AX641" s="115"/>
      <c r="AY641" s="115"/>
      <c r="AZ641" s="115"/>
      <c r="BA641" s="115"/>
      <c r="BB641" s="115"/>
      <c r="BC641" s="115"/>
      <c r="BD641" s="115"/>
      <c r="BE641" s="115"/>
      <c r="BF641" s="115"/>
      <c r="BG641" s="115"/>
      <c r="BH641" s="115"/>
      <c r="BI641" s="115"/>
      <c r="BJ641" s="115"/>
      <c r="BK641" s="115"/>
      <c r="BL641" s="115"/>
      <c r="BM641" s="115"/>
      <c r="BN641" s="115"/>
      <c r="BO641" s="115"/>
      <c r="BP641" s="115"/>
      <c r="BQ641" s="115"/>
      <c r="BR641" s="115"/>
      <c r="BS641" s="115"/>
      <c r="BT641" s="116"/>
      <c r="BU641" s="115"/>
      <c r="BV641" s="115"/>
      <c r="BW641" s="115"/>
      <c r="BX641" s="114">
        <v>1.0</v>
      </c>
      <c r="BY641" s="114" t="s">
        <v>123</v>
      </c>
      <c r="BZ641" s="117">
        <v>1.0</v>
      </c>
      <c r="CA641" s="118"/>
      <c r="CB641" s="119"/>
      <c r="CC641" s="120"/>
      <c r="CD641" s="121">
        <v>1.0</v>
      </c>
      <c r="CE641" s="122" t="s">
        <v>185</v>
      </c>
      <c r="CF641" s="123"/>
      <c r="CG641" s="124">
        <v>0.0</v>
      </c>
      <c r="CH641" s="125"/>
      <c r="CI641" s="126">
        <v>0.0</v>
      </c>
      <c r="CJ641" s="126">
        <v>0.0</v>
      </c>
      <c r="CK641" s="127">
        <v>0.0</v>
      </c>
      <c r="CL641" s="126">
        <v>0.0</v>
      </c>
      <c r="CM641" s="128">
        <v>0.0</v>
      </c>
      <c r="CN641" s="126">
        <v>0.0</v>
      </c>
      <c r="CO641" s="129">
        <v>0.0</v>
      </c>
      <c r="CP641" s="130">
        <v>0.0</v>
      </c>
      <c r="CQ641" s="126">
        <v>0.0</v>
      </c>
      <c r="CR641" s="126">
        <v>0.0</v>
      </c>
      <c r="CS641" s="126">
        <v>0.0</v>
      </c>
      <c r="CT641" s="131"/>
      <c r="CU641" s="132"/>
      <c r="CV641" s="133"/>
      <c r="CW641" s="134">
        <v>1.0</v>
      </c>
      <c r="CX641" s="134">
        <v>1.0</v>
      </c>
      <c r="CY641" s="134">
        <v>0.1</v>
      </c>
      <c r="CZ641" s="135"/>
      <c r="DA641" s="133"/>
      <c r="DB641" s="134">
        <v>0.0</v>
      </c>
      <c r="DC641" s="133"/>
      <c r="DD641" s="136"/>
      <c r="DE641" s="133"/>
      <c r="DF641" s="133"/>
      <c r="DG641" s="137" t="s">
        <v>128</v>
      </c>
      <c r="DH641" s="137" t="s">
        <v>131</v>
      </c>
      <c r="DI641" s="137" t="s">
        <v>574</v>
      </c>
      <c r="DJ641" s="138">
        <v>1.0</v>
      </c>
      <c r="DK641" s="137" t="b">
        <v>0</v>
      </c>
      <c r="DL641" s="139" t="s">
        <v>1495</v>
      </c>
      <c r="DM641" s="140"/>
      <c r="DN641" s="140"/>
      <c r="DO641" s="141"/>
      <c r="DP641" s="141"/>
      <c r="DQ641" s="137" t="s">
        <v>576</v>
      </c>
      <c r="DR641" s="141"/>
      <c r="DS641" s="137" t="s">
        <v>134</v>
      </c>
    </row>
    <row r="642">
      <c r="A642" s="113" t="s">
        <v>118</v>
      </c>
      <c r="B642" s="114">
        <v>16.0</v>
      </c>
      <c r="C642" s="113" t="s">
        <v>1468</v>
      </c>
      <c r="D642" s="114">
        <v>536832.0</v>
      </c>
      <c r="E642" s="113" t="s">
        <v>158</v>
      </c>
      <c r="F642" s="113" t="s">
        <v>1532</v>
      </c>
      <c r="G642" s="113" t="s">
        <v>1533</v>
      </c>
      <c r="H642" s="115"/>
      <c r="I642" s="115"/>
      <c r="J642" s="115"/>
      <c r="K642" s="115"/>
      <c r="L642" s="115"/>
      <c r="M642" s="115"/>
      <c r="N642" s="115"/>
      <c r="O642" s="115"/>
      <c r="P642" s="115"/>
      <c r="Q642" s="115"/>
      <c r="R642" s="115"/>
      <c r="S642" s="115"/>
      <c r="T642" s="115"/>
      <c r="U642" s="115"/>
      <c r="V642" s="115"/>
      <c r="W642" s="115"/>
      <c r="X642" s="115"/>
      <c r="Y642" s="115"/>
      <c r="Z642" s="115"/>
      <c r="AA642" s="115"/>
      <c r="AB642" s="115"/>
      <c r="AC642" s="115"/>
      <c r="AD642" s="115"/>
      <c r="AE642" s="115"/>
      <c r="AF642" s="115"/>
      <c r="AG642" s="115"/>
      <c r="AH642" s="115"/>
      <c r="AI642" s="115"/>
      <c r="AJ642" s="115"/>
      <c r="AK642" s="115"/>
      <c r="AL642" s="115"/>
      <c r="AM642" s="115"/>
      <c r="AN642" s="115"/>
      <c r="AO642" s="115"/>
      <c r="AP642" s="115"/>
      <c r="AQ642" s="115"/>
      <c r="AR642" s="115"/>
      <c r="AS642" s="115"/>
      <c r="AT642" s="115"/>
      <c r="AU642" s="115"/>
      <c r="AV642" s="115"/>
      <c r="AW642" s="115"/>
      <c r="AX642" s="115"/>
      <c r="AY642" s="115"/>
      <c r="AZ642" s="115"/>
      <c r="BA642" s="115"/>
      <c r="BB642" s="115"/>
      <c r="BC642" s="115"/>
      <c r="BD642" s="115"/>
      <c r="BE642" s="115"/>
      <c r="BF642" s="115"/>
      <c r="BG642" s="115"/>
      <c r="BH642" s="115"/>
      <c r="BI642" s="115"/>
      <c r="BJ642" s="115"/>
      <c r="BK642" s="115"/>
      <c r="BL642" s="115"/>
      <c r="BM642" s="115"/>
      <c r="BN642" s="115"/>
      <c r="BO642" s="115"/>
      <c r="BP642" s="115"/>
      <c r="BQ642" s="115"/>
      <c r="BR642" s="115"/>
      <c r="BS642" s="115"/>
      <c r="BT642" s="116"/>
      <c r="BU642" s="115"/>
      <c r="BV642" s="115"/>
      <c r="BW642" s="115"/>
      <c r="BX642" s="114">
        <v>1.0</v>
      </c>
      <c r="BY642" s="113" t="s">
        <v>123</v>
      </c>
      <c r="BZ642" s="117">
        <v>1.0</v>
      </c>
      <c r="CA642" s="118"/>
      <c r="CB642" s="119"/>
      <c r="CC642" s="120"/>
      <c r="CD642" s="121">
        <v>1.0</v>
      </c>
      <c r="CE642" s="122" t="s">
        <v>185</v>
      </c>
      <c r="CF642" s="123"/>
      <c r="CG642" s="124">
        <v>0.0</v>
      </c>
      <c r="CH642" s="125"/>
      <c r="CI642" s="126">
        <v>0.0</v>
      </c>
      <c r="CJ642" s="126">
        <v>0.0</v>
      </c>
      <c r="CK642" s="127">
        <v>0.0</v>
      </c>
      <c r="CL642" s="126">
        <v>0.0</v>
      </c>
      <c r="CM642" s="128">
        <v>0.0</v>
      </c>
      <c r="CN642" s="126">
        <v>0.0</v>
      </c>
      <c r="CO642" s="129">
        <v>0.0</v>
      </c>
      <c r="CP642" s="130">
        <v>0.0</v>
      </c>
      <c r="CQ642" s="126">
        <v>0.0</v>
      </c>
      <c r="CR642" s="126">
        <v>0.0</v>
      </c>
      <c r="CS642" s="126">
        <v>0.0</v>
      </c>
      <c r="CT642" s="131"/>
      <c r="CU642" s="132"/>
      <c r="CV642" s="133"/>
      <c r="CW642" s="134">
        <v>1.0</v>
      </c>
      <c r="CX642" s="134">
        <v>1.0</v>
      </c>
      <c r="CY642" s="134">
        <v>0.1</v>
      </c>
      <c r="CZ642" s="135"/>
      <c r="DA642" s="133"/>
      <c r="DB642" s="134">
        <v>0.0</v>
      </c>
      <c r="DC642" s="133"/>
      <c r="DD642" s="136"/>
      <c r="DE642" s="133"/>
      <c r="DF642" s="133"/>
      <c r="DG642" s="137" t="s">
        <v>128</v>
      </c>
      <c r="DH642" s="137" t="s">
        <v>131</v>
      </c>
      <c r="DI642" s="137" t="s">
        <v>574</v>
      </c>
      <c r="DJ642" s="138">
        <v>1.0</v>
      </c>
      <c r="DK642" s="137" t="b">
        <v>0</v>
      </c>
      <c r="DL642" s="139" t="s">
        <v>1495</v>
      </c>
      <c r="DM642" s="140"/>
      <c r="DN642" s="140"/>
      <c r="DO642" s="141"/>
      <c r="DP642" s="141"/>
      <c r="DQ642" s="137" t="s">
        <v>576</v>
      </c>
      <c r="DR642" s="141"/>
      <c r="DS642" s="137" t="s">
        <v>134</v>
      </c>
    </row>
    <row r="643">
      <c r="A643" s="113" t="s">
        <v>118</v>
      </c>
      <c r="B643" s="114">
        <v>16.0</v>
      </c>
      <c r="C643" s="113" t="s">
        <v>1468</v>
      </c>
      <c r="D643" s="114">
        <v>627274.0</v>
      </c>
      <c r="E643" s="113" t="s">
        <v>173</v>
      </c>
      <c r="F643" s="113" t="s">
        <v>1534</v>
      </c>
      <c r="G643" s="113" t="s">
        <v>1535</v>
      </c>
      <c r="H643" s="115"/>
      <c r="I643" s="115"/>
      <c r="J643" s="115"/>
      <c r="K643" s="115"/>
      <c r="L643" s="115"/>
      <c r="M643" s="115"/>
      <c r="N643" s="115"/>
      <c r="O643" s="115"/>
      <c r="P643" s="115"/>
      <c r="Q643" s="115"/>
      <c r="R643" s="115"/>
      <c r="S643" s="115"/>
      <c r="T643" s="115"/>
      <c r="U643" s="115"/>
      <c r="V643" s="115"/>
      <c r="W643" s="115"/>
      <c r="X643" s="115"/>
      <c r="Y643" s="115"/>
      <c r="Z643" s="115"/>
      <c r="AA643" s="115"/>
      <c r="AB643" s="115"/>
      <c r="AC643" s="115"/>
      <c r="AD643" s="115"/>
      <c r="AE643" s="115"/>
      <c r="AF643" s="115"/>
      <c r="AG643" s="115"/>
      <c r="AH643" s="115"/>
      <c r="AI643" s="115"/>
      <c r="AJ643" s="115"/>
      <c r="AK643" s="115"/>
      <c r="AL643" s="115"/>
      <c r="AM643" s="115"/>
      <c r="AN643" s="115"/>
      <c r="AO643" s="115"/>
      <c r="AP643" s="115"/>
      <c r="AQ643" s="115"/>
      <c r="AR643" s="115"/>
      <c r="AS643" s="115"/>
      <c r="AT643" s="115"/>
      <c r="AU643" s="115"/>
      <c r="AV643" s="115"/>
      <c r="AW643" s="115"/>
      <c r="AX643" s="115"/>
      <c r="AY643" s="115"/>
      <c r="AZ643" s="115"/>
      <c r="BA643" s="115"/>
      <c r="BB643" s="115"/>
      <c r="BC643" s="115"/>
      <c r="BD643" s="115"/>
      <c r="BE643" s="115"/>
      <c r="BF643" s="115"/>
      <c r="BG643" s="115"/>
      <c r="BH643" s="115"/>
      <c r="BI643" s="115"/>
      <c r="BJ643" s="115"/>
      <c r="BK643" s="115"/>
      <c r="BL643" s="115"/>
      <c r="BM643" s="115"/>
      <c r="BN643" s="115"/>
      <c r="BO643" s="115"/>
      <c r="BP643" s="115"/>
      <c r="BQ643" s="115"/>
      <c r="BR643" s="115"/>
      <c r="BS643" s="115"/>
      <c r="BT643" s="116"/>
      <c r="BU643" s="115"/>
      <c r="BV643" s="115"/>
      <c r="BW643" s="115"/>
      <c r="BX643" s="114">
        <v>1.0</v>
      </c>
      <c r="BY643" s="114" t="s">
        <v>123</v>
      </c>
      <c r="BZ643" s="117">
        <v>1.0</v>
      </c>
      <c r="CA643" s="118"/>
      <c r="CB643" s="119"/>
      <c r="CC643" s="120"/>
      <c r="CD643" s="121">
        <v>1.0</v>
      </c>
      <c r="CE643" s="122" t="s">
        <v>185</v>
      </c>
      <c r="CF643" s="123"/>
      <c r="CG643" s="124">
        <v>0.0</v>
      </c>
      <c r="CH643" s="125"/>
      <c r="CI643" s="126">
        <v>0.0</v>
      </c>
      <c r="CJ643" s="126">
        <v>0.0</v>
      </c>
      <c r="CK643" s="127">
        <v>0.0</v>
      </c>
      <c r="CL643" s="126">
        <v>0.0</v>
      </c>
      <c r="CM643" s="128">
        <v>0.0</v>
      </c>
      <c r="CN643" s="126">
        <v>0.0</v>
      </c>
      <c r="CO643" s="129">
        <v>0.0</v>
      </c>
      <c r="CP643" s="130">
        <v>0.0</v>
      </c>
      <c r="CQ643" s="126">
        <v>0.0</v>
      </c>
      <c r="CR643" s="126">
        <v>0.0</v>
      </c>
      <c r="CS643" s="126">
        <v>0.0</v>
      </c>
      <c r="CT643" s="131"/>
      <c r="CU643" s="132"/>
      <c r="CV643" s="133"/>
      <c r="CW643" s="134">
        <v>1.0</v>
      </c>
      <c r="CX643" s="134">
        <v>1.0</v>
      </c>
      <c r="CY643" s="134">
        <v>0.1</v>
      </c>
      <c r="CZ643" s="135"/>
      <c r="DA643" s="133"/>
      <c r="DB643" s="134">
        <v>0.0</v>
      </c>
      <c r="DC643" s="133"/>
      <c r="DD643" s="136"/>
      <c r="DE643" s="133"/>
      <c r="DF643" s="133"/>
      <c r="DG643" s="137" t="s">
        <v>128</v>
      </c>
      <c r="DH643" s="137" t="s">
        <v>131</v>
      </c>
      <c r="DI643" s="137" t="s">
        <v>574</v>
      </c>
      <c r="DJ643" s="138">
        <v>1.0</v>
      </c>
      <c r="DK643" s="137" t="b">
        <v>0</v>
      </c>
      <c r="DL643" s="139" t="s">
        <v>1495</v>
      </c>
      <c r="DM643" s="140"/>
      <c r="DN643" s="140"/>
      <c r="DO643" s="141"/>
      <c r="DP643" s="137" t="s">
        <v>128</v>
      </c>
      <c r="DQ643" s="137" t="s">
        <v>576</v>
      </c>
      <c r="DR643" s="141"/>
      <c r="DS643" s="137" t="s">
        <v>134</v>
      </c>
    </row>
    <row r="644">
      <c r="A644" s="113" t="s">
        <v>118</v>
      </c>
      <c r="B644" s="114">
        <v>56.0</v>
      </c>
      <c r="C644" s="113" t="s">
        <v>1536</v>
      </c>
      <c r="D644" s="114">
        <v>648803.0</v>
      </c>
      <c r="E644" s="113" t="s">
        <v>189</v>
      </c>
      <c r="F644" s="113" t="s">
        <v>1537</v>
      </c>
      <c r="G644" s="113" t="s">
        <v>1538</v>
      </c>
      <c r="H644" s="114">
        <v>81827.0</v>
      </c>
      <c r="I644" s="114">
        <v>1.0</v>
      </c>
      <c r="J644" s="114">
        <v>0.0</v>
      </c>
      <c r="K644" s="114">
        <v>0.0</v>
      </c>
      <c r="L644" s="114">
        <v>0.0</v>
      </c>
      <c r="M644" s="114">
        <v>0.0</v>
      </c>
      <c r="N644" s="114">
        <v>0.0</v>
      </c>
      <c r="O644" s="114">
        <v>0.0</v>
      </c>
      <c r="P644" s="114">
        <v>0.0</v>
      </c>
      <c r="Q644" s="114">
        <v>0.0</v>
      </c>
      <c r="R644" s="114">
        <v>0.0</v>
      </c>
      <c r="S644" s="114">
        <v>0.0</v>
      </c>
      <c r="T644" s="114">
        <v>0.0</v>
      </c>
      <c r="U644" s="114">
        <v>0.0</v>
      </c>
      <c r="V644" s="114">
        <v>0.0</v>
      </c>
      <c r="W644" s="114">
        <v>0.0</v>
      </c>
      <c r="X644" s="114">
        <v>0.0</v>
      </c>
      <c r="Y644" s="114">
        <v>0.0</v>
      </c>
      <c r="Z644" s="114">
        <v>0.0</v>
      </c>
      <c r="AA644" s="114">
        <v>0.0</v>
      </c>
      <c r="AB644" s="114">
        <v>0.0</v>
      </c>
      <c r="AC644" s="114">
        <v>0.0</v>
      </c>
      <c r="AD644" s="114">
        <v>0.0</v>
      </c>
      <c r="AE644" s="114">
        <v>1.0</v>
      </c>
      <c r="AF644" s="114">
        <v>0.0</v>
      </c>
      <c r="AG644" s="114">
        <v>0.0</v>
      </c>
      <c r="AH644" s="114">
        <v>0.0</v>
      </c>
      <c r="AI644" s="114">
        <v>0.0</v>
      </c>
      <c r="AJ644" s="114">
        <v>0.0</v>
      </c>
      <c r="AK644" s="114">
        <v>0.0</v>
      </c>
      <c r="AL644" s="114">
        <v>0.0</v>
      </c>
      <c r="AM644" s="114">
        <v>0.0</v>
      </c>
      <c r="AN644" s="114">
        <v>0.0</v>
      </c>
      <c r="AO644" s="142">
        <v>30.4</v>
      </c>
      <c r="AP644" s="115"/>
      <c r="AQ644" s="115"/>
      <c r="AR644" s="115"/>
      <c r="AS644" s="115"/>
      <c r="AT644" s="115"/>
      <c r="AU644" s="115"/>
      <c r="AV644" s="115"/>
      <c r="AW644" s="115"/>
      <c r="AX644" s="115"/>
      <c r="AY644" s="115"/>
      <c r="AZ644" s="115"/>
      <c r="BA644" s="115"/>
      <c r="BB644" s="115"/>
      <c r="BC644" s="115"/>
      <c r="BD644" s="115"/>
      <c r="BE644" s="115"/>
      <c r="BF644" s="115"/>
      <c r="BG644" s="115"/>
      <c r="BH644" s="115"/>
      <c r="BI644" s="115"/>
      <c r="BJ644" s="115"/>
      <c r="BK644" s="114">
        <v>30.35</v>
      </c>
      <c r="BL644" s="115"/>
      <c r="BM644" s="115"/>
      <c r="BN644" s="115"/>
      <c r="BO644" s="115"/>
      <c r="BP644" s="114">
        <v>6.3</v>
      </c>
      <c r="BQ644" s="114">
        <v>2.47</v>
      </c>
      <c r="BR644" s="114">
        <v>8.57</v>
      </c>
      <c r="BS644" s="142">
        <v>14.88</v>
      </c>
      <c r="BT644" s="116"/>
      <c r="BU644" s="115"/>
      <c r="BV644" s="115"/>
      <c r="BW644" s="115"/>
      <c r="BX644" s="114">
        <v>2100.0</v>
      </c>
      <c r="BY644" s="113" t="s">
        <v>123</v>
      </c>
      <c r="BZ644" s="143">
        <v>1800.0</v>
      </c>
      <c r="CA644" s="144" t="s">
        <v>124</v>
      </c>
      <c r="CB644" s="145">
        <v>2100.0</v>
      </c>
      <c r="CC644" s="120"/>
      <c r="CD644" s="121">
        <v>2100.0</v>
      </c>
      <c r="CE644" s="146"/>
      <c r="CF644" s="123"/>
      <c r="CG644" s="124">
        <v>0.0</v>
      </c>
      <c r="CH644" s="147">
        <v>0.0</v>
      </c>
      <c r="CI644" s="126">
        <v>1.0</v>
      </c>
      <c r="CJ644" s="126">
        <v>753.0</v>
      </c>
      <c r="CK644" s="127">
        <v>-13.0</v>
      </c>
      <c r="CL644" s="126">
        <v>740.0</v>
      </c>
      <c r="CM644" s="128">
        <v>30.0</v>
      </c>
      <c r="CN644" s="126">
        <v>0.0</v>
      </c>
      <c r="CO644" s="129">
        <v>30.4</v>
      </c>
      <c r="CP644" s="130">
        <v>0.0</v>
      </c>
      <c r="CQ644" s="126">
        <v>6.0</v>
      </c>
      <c r="CR644" s="126">
        <v>6.0</v>
      </c>
      <c r="CS644" s="126">
        <v>15.0</v>
      </c>
      <c r="CT644" s="131"/>
      <c r="CU644" s="132"/>
      <c r="CV644" s="133"/>
      <c r="CW644" s="134">
        <v>7.0</v>
      </c>
      <c r="CX644" s="134" t="s">
        <v>201</v>
      </c>
      <c r="CY644" s="134" t="s">
        <v>202</v>
      </c>
      <c r="CZ644" s="135"/>
      <c r="DA644" s="134">
        <v>2100.0</v>
      </c>
      <c r="DB644" s="134">
        <v>0.0</v>
      </c>
      <c r="DC644" s="133"/>
      <c r="DD644" s="136"/>
      <c r="DE644" s="133"/>
      <c r="DF644" s="133"/>
      <c r="DG644" s="137" t="s">
        <v>128</v>
      </c>
      <c r="DH644" s="137" t="s">
        <v>128</v>
      </c>
      <c r="DI644" s="137" t="s">
        <v>129</v>
      </c>
      <c r="DJ644" s="138">
        <v>1.0</v>
      </c>
      <c r="DK644" s="137" t="b">
        <v>0</v>
      </c>
      <c r="DL644" s="139" t="s">
        <v>1539</v>
      </c>
      <c r="DM644" s="139" t="s">
        <v>131</v>
      </c>
      <c r="DN644" s="139" t="s">
        <v>1540</v>
      </c>
      <c r="DO644" s="138">
        <v>0.0</v>
      </c>
      <c r="DP644" s="137" t="s">
        <v>128</v>
      </c>
      <c r="DQ644" s="137" t="s">
        <v>417</v>
      </c>
      <c r="DR644" s="141"/>
      <c r="DS644" s="137" t="s">
        <v>134</v>
      </c>
    </row>
    <row r="645">
      <c r="A645" s="113" t="s">
        <v>118</v>
      </c>
      <c r="B645" s="114">
        <v>56.0</v>
      </c>
      <c r="C645" s="113" t="s">
        <v>1536</v>
      </c>
      <c r="D645" s="114">
        <v>627274.0</v>
      </c>
      <c r="E645" s="113" t="s">
        <v>173</v>
      </c>
      <c r="F645" s="113" t="s">
        <v>1541</v>
      </c>
      <c r="G645" s="113" t="s">
        <v>1542</v>
      </c>
      <c r="H645" s="114">
        <v>81827.0</v>
      </c>
      <c r="I645" s="114">
        <v>9.0</v>
      </c>
      <c r="J645" s="114">
        <v>0.0</v>
      </c>
      <c r="K645" s="114">
        <v>0.0</v>
      </c>
      <c r="L645" s="114">
        <v>0.0</v>
      </c>
      <c r="M645" s="114">
        <v>0.0</v>
      </c>
      <c r="N645" s="114">
        <v>0.0</v>
      </c>
      <c r="O645" s="114">
        <v>0.0</v>
      </c>
      <c r="P645" s="114">
        <v>0.0</v>
      </c>
      <c r="Q645" s="114">
        <v>0.0</v>
      </c>
      <c r="R645" s="114">
        <v>0.0</v>
      </c>
      <c r="S645" s="114">
        <v>0.0</v>
      </c>
      <c r="T645" s="114">
        <v>0.0</v>
      </c>
      <c r="U645" s="114">
        <v>0.0</v>
      </c>
      <c r="V645" s="114">
        <v>0.0</v>
      </c>
      <c r="W645" s="114">
        <v>2.0</v>
      </c>
      <c r="X645" s="114">
        <v>2.0</v>
      </c>
      <c r="Y645" s="114">
        <v>0.0</v>
      </c>
      <c r="Z645" s="114">
        <v>0.0</v>
      </c>
      <c r="AA645" s="114">
        <v>1.0</v>
      </c>
      <c r="AB645" s="114">
        <v>0.0</v>
      </c>
      <c r="AC645" s="114">
        <v>0.0</v>
      </c>
      <c r="AD645" s="114">
        <v>0.0</v>
      </c>
      <c r="AE645" s="114">
        <v>0.0</v>
      </c>
      <c r="AF645" s="114">
        <v>1.0</v>
      </c>
      <c r="AG645" s="114">
        <v>0.0</v>
      </c>
      <c r="AH645" s="114">
        <v>0.0</v>
      </c>
      <c r="AI645" s="114">
        <v>0.0</v>
      </c>
      <c r="AJ645" s="114">
        <v>2.0</v>
      </c>
      <c r="AK645" s="114">
        <v>1.0</v>
      </c>
      <c r="AL645" s="114">
        <v>0.0</v>
      </c>
      <c r="AM645" s="114">
        <v>0.0</v>
      </c>
      <c r="AN645" s="114">
        <v>0.0</v>
      </c>
      <c r="AO645" s="142">
        <v>23.6</v>
      </c>
      <c r="AP645" s="115"/>
      <c r="AQ645" s="115"/>
      <c r="AR645" s="115"/>
      <c r="AS645" s="115"/>
      <c r="AT645" s="115"/>
      <c r="AU645" s="115"/>
      <c r="AV645" s="115"/>
      <c r="AW645" s="115"/>
      <c r="AX645" s="115"/>
      <c r="AY645" s="115"/>
      <c r="AZ645" s="115"/>
      <c r="BA645" s="115"/>
      <c r="BB645" s="115"/>
      <c r="BC645" s="114">
        <v>14.72</v>
      </c>
      <c r="BD645" s="114">
        <v>28.19</v>
      </c>
      <c r="BE645" s="115"/>
      <c r="BF645" s="115"/>
      <c r="BG645" s="114">
        <v>16.87</v>
      </c>
      <c r="BH645" s="115"/>
      <c r="BI645" s="115"/>
      <c r="BJ645" s="115"/>
      <c r="BK645" s="115"/>
      <c r="BL645" s="114">
        <v>19.13</v>
      </c>
      <c r="BM645" s="115"/>
      <c r="BN645" s="115"/>
      <c r="BO645" s="114">
        <v>0.5</v>
      </c>
      <c r="BP645" s="114">
        <v>1.12</v>
      </c>
      <c r="BQ645" s="114">
        <v>4.94</v>
      </c>
      <c r="BR645" s="114">
        <v>5.85</v>
      </c>
      <c r="BS645" s="142">
        <v>8.2</v>
      </c>
      <c r="BT645" s="148">
        <v>30.6</v>
      </c>
      <c r="BU645" s="142">
        <v>16.2</v>
      </c>
      <c r="BV645" s="142">
        <v>7.44</v>
      </c>
      <c r="BW645" s="115"/>
      <c r="BX645" s="114">
        <v>3000.0</v>
      </c>
      <c r="BY645" s="113" t="s">
        <v>123</v>
      </c>
      <c r="BZ645" s="143">
        <v>2700.0</v>
      </c>
      <c r="CA645" s="144" t="s">
        <v>124</v>
      </c>
      <c r="CB645" s="145">
        <v>2700.0</v>
      </c>
      <c r="CC645" s="120"/>
      <c r="CD645" s="121">
        <v>2700.0</v>
      </c>
      <c r="CE645" s="146"/>
      <c r="CF645" s="123"/>
      <c r="CG645" s="124">
        <v>-3.0</v>
      </c>
      <c r="CH645" s="147">
        <v>-0.33</v>
      </c>
      <c r="CI645" s="126">
        <v>6.0</v>
      </c>
      <c r="CJ645" s="126">
        <v>753.0</v>
      </c>
      <c r="CK645" s="127">
        <v>-13.0</v>
      </c>
      <c r="CL645" s="126">
        <v>740.0</v>
      </c>
      <c r="CM645" s="128">
        <v>212.0</v>
      </c>
      <c r="CN645" s="126">
        <v>1.0</v>
      </c>
      <c r="CO645" s="129">
        <v>35.3</v>
      </c>
      <c r="CP645" s="149">
        <f>+11.7</f>
        <v>11.7</v>
      </c>
      <c r="CQ645" s="126">
        <v>10.0</v>
      </c>
      <c r="CR645" s="126">
        <v>7.0</v>
      </c>
      <c r="CS645" s="126">
        <v>49.0</v>
      </c>
      <c r="CT645" s="131"/>
      <c r="CU645" s="132"/>
      <c r="CV645" s="133"/>
      <c r="CW645" s="134">
        <v>9.0</v>
      </c>
      <c r="CX645" s="134" t="s">
        <v>143</v>
      </c>
      <c r="CY645" s="134" t="s">
        <v>144</v>
      </c>
      <c r="CZ645" s="150" t="s">
        <v>124</v>
      </c>
      <c r="DA645" s="134">
        <v>2700.0</v>
      </c>
      <c r="DB645" s="134">
        <v>0.0</v>
      </c>
      <c r="DC645" s="151" t="s">
        <v>127</v>
      </c>
      <c r="DD645" s="152">
        <v>46213.0</v>
      </c>
      <c r="DE645" s="133"/>
      <c r="DF645" s="133"/>
      <c r="DG645" s="137" t="s">
        <v>128</v>
      </c>
      <c r="DH645" s="137" t="s">
        <v>128</v>
      </c>
      <c r="DI645" s="137" t="s">
        <v>128</v>
      </c>
      <c r="DJ645" s="138">
        <v>1.0</v>
      </c>
      <c r="DK645" s="137" t="b">
        <v>0</v>
      </c>
      <c r="DL645" s="139" t="s">
        <v>1539</v>
      </c>
      <c r="DM645" s="139" t="s">
        <v>131</v>
      </c>
      <c r="DN645" s="139" t="s">
        <v>1540</v>
      </c>
      <c r="DO645" s="138">
        <v>0.0</v>
      </c>
      <c r="DP645" s="137" t="s">
        <v>128</v>
      </c>
      <c r="DQ645" s="137" t="s">
        <v>128</v>
      </c>
      <c r="DR645" s="141"/>
      <c r="DS645" s="137" t="s">
        <v>134</v>
      </c>
    </row>
    <row r="646">
      <c r="A646" s="113" t="s">
        <v>118</v>
      </c>
      <c r="B646" s="114">
        <v>56.0</v>
      </c>
      <c r="C646" s="113" t="s">
        <v>1536</v>
      </c>
      <c r="D646" s="114">
        <v>558730.0</v>
      </c>
      <c r="E646" s="113" t="s">
        <v>148</v>
      </c>
      <c r="F646" s="113" t="s">
        <v>1543</v>
      </c>
      <c r="G646" s="113" t="s">
        <v>1544</v>
      </c>
      <c r="H646" s="114">
        <v>81827.0</v>
      </c>
      <c r="I646" s="114">
        <v>2.0</v>
      </c>
      <c r="J646" s="114">
        <v>0.0</v>
      </c>
      <c r="K646" s="114">
        <v>0.0</v>
      </c>
      <c r="L646" s="114">
        <v>0.0</v>
      </c>
      <c r="M646" s="114">
        <v>0.0</v>
      </c>
      <c r="N646" s="114">
        <v>0.0</v>
      </c>
      <c r="O646" s="114">
        <v>0.0</v>
      </c>
      <c r="P646" s="114">
        <v>0.0</v>
      </c>
      <c r="Q646" s="114">
        <v>0.0</v>
      </c>
      <c r="R646" s="114">
        <v>0.0</v>
      </c>
      <c r="S646" s="114">
        <v>0.0</v>
      </c>
      <c r="T646" s="114">
        <v>0.0</v>
      </c>
      <c r="U646" s="114">
        <v>1.0</v>
      </c>
      <c r="V646" s="114">
        <v>0.0</v>
      </c>
      <c r="W646" s="114">
        <v>0.0</v>
      </c>
      <c r="X646" s="114">
        <v>0.0</v>
      </c>
      <c r="Y646" s="114">
        <v>1.0</v>
      </c>
      <c r="Z646" s="114">
        <v>0.0</v>
      </c>
      <c r="AA646" s="114">
        <v>0.0</v>
      </c>
      <c r="AB646" s="114">
        <v>0.0</v>
      </c>
      <c r="AC646" s="114">
        <v>0.0</v>
      </c>
      <c r="AD646" s="114">
        <v>0.0</v>
      </c>
      <c r="AE646" s="114">
        <v>0.0</v>
      </c>
      <c r="AF646" s="114">
        <v>0.0</v>
      </c>
      <c r="AG646" s="114">
        <v>0.0</v>
      </c>
      <c r="AH646" s="114">
        <v>0.0</v>
      </c>
      <c r="AI646" s="114">
        <v>0.0</v>
      </c>
      <c r="AJ646" s="114">
        <v>0.0</v>
      </c>
      <c r="AK646" s="114">
        <v>0.0</v>
      </c>
      <c r="AL646" s="114">
        <v>0.0</v>
      </c>
      <c r="AM646" s="114">
        <v>0.0</v>
      </c>
      <c r="AN646" s="114">
        <v>0.0</v>
      </c>
      <c r="AO646" s="142">
        <v>22.7</v>
      </c>
      <c r="AP646" s="115"/>
      <c r="AQ646" s="115"/>
      <c r="AR646" s="115"/>
      <c r="AS646" s="115"/>
      <c r="AT646" s="115"/>
      <c r="AU646" s="115"/>
      <c r="AV646" s="115"/>
      <c r="AW646" s="115"/>
      <c r="AX646" s="115"/>
      <c r="AY646" s="115"/>
      <c r="AZ646" s="115"/>
      <c r="BA646" s="114">
        <v>18.35</v>
      </c>
      <c r="BB646" s="115"/>
      <c r="BC646" s="115"/>
      <c r="BD646" s="115"/>
      <c r="BE646" s="114">
        <v>27.03</v>
      </c>
      <c r="BF646" s="115"/>
      <c r="BG646" s="115"/>
      <c r="BH646" s="115"/>
      <c r="BI646" s="115"/>
      <c r="BJ646" s="115"/>
      <c r="BK646" s="115"/>
      <c r="BL646" s="115"/>
      <c r="BM646" s="115"/>
      <c r="BN646" s="115"/>
      <c r="BO646" s="115"/>
      <c r="BP646" s="114">
        <v>1.07</v>
      </c>
      <c r="BQ646" s="114">
        <v>6.38</v>
      </c>
      <c r="BR646" s="114">
        <v>7.24</v>
      </c>
      <c r="BS646" s="142">
        <v>6.48</v>
      </c>
      <c r="BT646" s="148">
        <v>27.0</v>
      </c>
      <c r="BU646" s="142">
        <v>6.4</v>
      </c>
      <c r="BV646" s="142">
        <v>10.23</v>
      </c>
      <c r="BW646" s="115"/>
      <c r="BX646" s="114">
        <v>2700.0</v>
      </c>
      <c r="BY646" s="113" t="s">
        <v>123</v>
      </c>
      <c r="BZ646" s="143">
        <v>2400.0</v>
      </c>
      <c r="CA646" s="144" t="s">
        <v>124</v>
      </c>
      <c r="CB646" s="145">
        <v>2400.0</v>
      </c>
      <c r="CC646" s="120"/>
      <c r="CD646" s="121">
        <v>2400.0</v>
      </c>
      <c r="CE646" s="146"/>
      <c r="CF646" s="123"/>
      <c r="CG646" s="124">
        <v>0.0</v>
      </c>
      <c r="CH646" s="147">
        <v>0.0</v>
      </c>
      <c r="CI646" s="126">
        <v>2.0</v>
      </c>
      <c r="CJ646" s="126">
        <v>753.0</v>
      </c>
      <c r="CK646" s="127">
        <v>-13.0</v>
      </c>
      <c r="CL646" s="126">
        <v>740.0</v>
      </c>
      <c r="CM646" s="128">
        <v>45.0</v>
      </c>
      <c r="CN646" s="153"/>
      <c r="CO646" s="129">
        <v>22.7</v>
      </c>
      <c r="CP646" s="130">
        <v>0.0</v>
      </c>
      <c r="CQ646" s="126">
        <v>2.0</v>
      </c>
      <c r="CR646" s="126">
        <v>2.0</v>
      </c>
      <c r="CS646" s="126">
        <v>13.0</v>
      </c>
      <c r="CT646" s="131"/>
      <c r="CU646" s="132"/>
      <c r="CV646" s="133"/>
      <c r="CW646" s="134">
        <v>8.0</v>
      </c>
      <c r="CX646" s="134" t="s">
        <v>125</v>
      </c>
      <c r="CY646" s="134" t="s">
        <v>126</v>
      </c>
      <c r="CZ646" s="150" t="s">
        <v>124</v>
      </c>
      <c r="DA646" s="134">
        <v>2400.0</v>
      </c>
      <c r="DB646" s="134">
        <v>0.0</v>
      </c>
      <c r="DC646" s="133"/>
      <c r="DD646" s="136"/>
      <c r="DE646" s="133"/>
      <c r="DF646" s="133"/>
      <c r="DG646" s="137" t="s">
        <v>128</v>
      </c>
      <c r="DH646" s="137" t="s">
        <v>128</v>
      </c>
      <c r="DI646" s="137" t="s">
        <v>128</v>
      </c>
      <c r="DJ646" s="138">
        <v>1.0</v>
      </c>
      <c r="DK646" s="137" t="b">
        <v>0</v>
      </c>
      <c r="DL646" s="139" t="s">
        <v>1539</v>
      </c>
      <c r="DM646" s="139" t="s">
        <v>131</v>
      </c>
      <c r="DN646" s="139" t="s">
        <v>1540</v>
      </c>
      <c r="DO646" s="138">
        <v>0.0</v>
      </c>
      <c r="DP646" s="137" t="s">
        <v>128</v>
      </c>
      <c r="DQ646" s="137" t="s">
        <v>128</v>
      </c>
      <c r="DR646" s="141"/>
      <c r="DS646" s="137" t="s">
        <v>134</v>
      </c>
    </row>
    <row r="647">
      <c r="A647" s="113" t="s">
        <v>118</v>
      </c>
      <c r="B647" s="114">
        <v>56.0</v>
      </c>
      <c r="C647" s="113" t="s">
        <v>1536</v>
      </c>
      <c r="D647" s="114">
        <v>626041.0</v>
      </c>
      <c r="E647" s="113" t="s">
        <v>135</v>
      </c>
      <c r="F647" s="113" t="s">
        <v>1545</v>
      </c>
      <c r="G647" s="113" t="s">
        <v>1546</v>
      </c>
      <c r="H647" s="114">
        <v>81827.0</v>
      </c>
      <c r="I647" s="114">
        <v>2.0</v>
      </c>
      <c r="J647" s="114">
        <v>0.0</v>
      </c>
      <c r="K647" s="114">
        <v>0.0</v>
      </c>
      <c r="L647" s="114">
        <v>0.0</v>
      </c>
      <c r="M647" s="114">
        <v>0.0</v>
      </c>
      <c r="N647" s="114">
        <v>0.0</v>
      </c>
      <c r="O647" s="114">
        <v>0.0</v>
      </c>
      <c r="P647" s="114">
        <v>0.0</v>
      </c>
      <c r="Q647" s="114">
        <v>0.0</v>
      </c>
      <c r="R647" s="114">
        <v>1.0</v>
      </c>
      <c r="S647" s="114">
        <v>0.0</v>
      </c>
      <c r="T647" s="114">
        <v>0.0</v>
      </c>
      <c r="U647" s="114">
        <v>0.0</v>
      </c>
      <c r="V647" s="114">
        <v>0.0</v>
      </c>
      <c r="W647" s="114">
        <v>1.0</v>
      </c>
      <c r="X647" s="114">
        <v>0.0</v>
      </c>
      <c r="Y647" s="114">
        <v>0.0</v>
      </c>
      <c r="Z647" s="114">
        <v>0.0</v>
      </c>
      <c r="AA647" s="114">
        <v>0.0</v>
      </c>
      <c r="AB647" s="114">
        <v>0.0</v>
      </c>
      <c r="AC647" s="114">
        <v>0.0</v>
      </c>
      <c r="AD647" s="114">
        <v>0.0</v>
      </c>
      <c r="AE647" s="114">
        <v>0.0</v>
      </c>
      <c r="AF647" s="114">
        <v>0.0</v>
      </c>
      <c r="AG647" s="114">
        <v>0.0</v>
      </c>
      <c r="AH647" s="114">
        <v>0.0</v>
      </c>
      <c r="AI647" s="114">
        <v>0.0</v>
      </c>
      <c r="AJ647" s="114">
        <v>0.0</v>
      </c>
      <c r="AK647" s="114">
        <v>0.0</v>
      </c>
      <c r="AL647" s="114">
        <v>0.0</v>
      </c>
      <c r="AM647" s="114">
        <v>0.0</v>
      </c>
      <c r="AN647" s="114">
        <v>0.0</v>
      </c>
      <c r="AO647" s="154">
        <v>16.6</v>
      </c>
      <c r="AP647" s="115"/>
      <c r="AQ647" s="115"/>
      <c r="AR647" s="115"/>
      <c r="AS647" s="115"/>
      <c r="AT647" s="115"/>
      <c r="AU647" s="115"/>
      <c r="AV647" s="115"/>
      <c r="AW647" s="115"/>
      <c r="AX647" s="114">
        <v>15.27</v>
      </c>
      <c r="AY647" s="115"/>
      <c r="AZ647" s="115"/>
      <c r="BA647" s="115"/>
      <c r="BB647" s="115"/>
      <c r="BC647" s="114">
        <v>17.85</v>
      </c>
      <c r="BD647" s="115"/>
      <c r="BE647" s="115"/>
      <c r="BF647" s="115"/>
      <c r="BG647" s="115"/>
      <c r="BH647" s="115"/>
      <c r="BI647" s="115"/>
      <c r="BJ647" s="115"/>
      <c r="BK647" s="115"/>
      <c r="BL647" s="115"/>
      <c r="BM647" s="115"/>
      <c r="BN647" s="115"/>
      <c r="BO647" s="115"/>
      <c r="BP647" s="114">
        <v>1.97</v>
      </c>
      <c r="BQ647" s="114">
        <v>4.22</v>
      </c>
      <c r="BR647" s="114">
        <v>5.95</v>
      </c>
      <c r="BS647" s="142">
        <v>6.02</v>
      </c>
      <c r="BT647" s="155">
        <v>15.3</v>
      </c>
      <c r="BU647" s="142">
        <v>4.8</v>
      </c>
      <c r="BV647" s="156">
        <v>5.48</v>
      </c>
      <c r="BW647" s="115"/>
      <c r="BX647" s="114">
        <v>2100.0</v>
      </c>
      <c r="BY647" s="113" t="s">
        <v>123</v>
      </c>
      <c r="BZ647" s="143">
        <v>1800.0</v>
      </c>
      <c r="CA647" s="144" t="s">
        <v>124</v>
      </c>
      <c r="CB647" s="145">
        <v>2100.0</v>
      </c>
      <c r="CC647" s="120"/>
      <c r="CD647" s="121">
        <v>2100.0</v>
      </c>
      <c r="CE647" s="146"/>
      <c r="CF647" s="123"/>
      <c r="CG647" s="124">
        <v>0.0</v>
      </c>
      <c r="CH647" s="147">
        <v>0.0</v>
      </c>
      <c r="CI647" s="126">
        <v>2.0</v>
      </c>
      <c r="CJ647" s="126">
        <v>753.0</v>
      </c>
      <c r="CK647" s="127">
        <v>-13.0</v>
      </c>
      <c r="CL647" s="126">
        <v>740.0</v>
      </c>
      <c r="CM647" s="128">
        <v>33.0</v>
      </c>
      <c r="CN647" s="126">
        <v>0.0</v>
      </c>
      <c r="CO647" s="129">
        <v>16.6</v>
      </c>
      <c r="CP647" s="130">
        <v>0.0</v>
      </c>
      <c r="CQ647" s="126">
        <v>4.0</v>
      </c>
      <c r="CR647" s="126">
        <v>4.0</v>
      </c>
      <c r="CS647" s="126">
        <v>12.0</v>
      </c>
      <c r="CT647" s="131"/>
      <c r="CU647" s="132"/>
      <c r="CV647" s="133"/>
      <c r="CW647" s="134">
        <v>7.0</v>
      </c>
      <c r="CX647" s="134" t="s">
        <v>201</v>
      </c>
      <c r="CY647" s="134" t="s">
        <v>202</v>
      </c>
      <c r="CZ647" s="135"/>
      <c r="DA647" s="134">
        <v>2100.0</v>
      </c>
      <c r="DB647" s="134">
        <v>0.0</v>
      </c>
      <c r="DC647" s="151" t="s">
        <v>127</v>
      </c>
      <c r="DD647" s="152">
        <v>46197.0</v>
      </c>
      <c r="DE647" s="133"/>
      <c r="DF647" s="133"/>
      <c r="DG647" s="137" t="s">
        <v>128</v>
      </c>
      <c r="DH647" s="137" t="s">
        <v>128</v>
      </c>
      <c r="DI647" s="137" t="s">
        <v>128</v>
      </c>
      <c r="DJ647" s="138">
        <v>1.0</v>
      </c>
      <c r="DK647" s="137" t="b">
        <v>1</v>
      </c>
      <c r="DL647" s="139" t="s">
        <v>1539</v>
      </c>
      <c r="DM647" s="139" t="s">
        <v>131</v>
      </c>
      <c r="DN647" s="139" t="s">
        <v>1540</v>
      </c>
      <c r="DO647" s="138">
        <v>0.0</v>
      </c>
      <c r="DP647" s="137" t="s">
        <v>128</v>
      </c>
      <c r="DQ647" s="137" t="s">
        <v>128</v>
      </c>
      <c r="DR647" s="141"/>
      <c r="DS647" s="137" t="s">
        <v>134</v>
      </c>
    </row>
    <row r="648">
      <c r="A648" s="113" t="s">
        <v>118</v>
      </c>
      <c r="B648" s="114">
        <v>56.0</v>
      </c>
      <c r="C648" s="113" t="s">
        <v>1536</v>
      </c>
      <c r="D648" s="114">
        <v>680607.0</v>
      </c>
      <c r="E648" s="113" t="s">
        <v>246</v>
      </c>
      <c r="F648" s="113" t="s">
        <v>1547</v>
      </c>
      <c r="G648" s="113" t="s">
        <v>1548</v>
      </c>
      <c r="H648" s="114">
        <v>81827.0</v>
      </c>
      <c r="I648" s="114">
        <v>1.0</v>
      </c>
      <c r="J648" s="114">
        <v>0.0</v>
      </c>
      <c r="K648" s="114">
        <v>0.0</v>
      </c>
      <c r="L648" s="114">
        <v>0.0</v>
      </c>
      <c r="M648" s="114">
        <v>0.0</v>
      </c>
      <c r="N648" s="114">
        <v>0.0</v>
      </c>
      <c r="O648" s="114">
        <v>0.0</v>
      </c>
      <c r="P648" s="114">
        <v>0.0</v>
      </c>
      <c r="Q648" s="114">
        <v>0.0</v>
      </c>
      <c r="R648" s="114">
        <v>0.0</v>
      </c>
      <c r="S648" s="114">
        <v>0.0</v>
      </c>
      <c r="T648" s="114">
        <v>0.0</v>
      </c>
      <c r="U648" s="114">
        <v>0.0</v>
      </c>
      <c r="V648" s="114">
        <v>0.0</v>
      </c>
      <c r="W648" s="114">
        <v>0.0</v>
      </c>
      <c r="X648" s="114">
        <v>0.0</v>
      </c>
      <c r="Y648" s="114">
        <v>0.0</v>
      </c>
      <c r="Z648" s="114">
        <v>0.0</v>
      </c>
      <c r="AA648" s="114">
        <v>1.0</v>
      </c>
      <c r="AB648" s="114">
        <v>0.0</v>
      </c>
      <c r="AC648" s="114">
        <v>0.0</v>
      </c>
      <c r="AD648" s="114">
        <v>0.0</v>
      </c>
      <c r="AE648" s="114">
        <v>0.0</v>
      </c>
      <c r="AF648" s="114">
        <v>0.0</v>
      </c>
      <c r="AG648" s="114">
        <v>0.0</v>
      </c>
      <c r="AH648" s="114">
        <v>0.0</v>
      </c>
      <c r="AI648" s="114">
        <v>0.0</v>
      </c>
      <c r="AJ648" s="114">
        <v>0.0</v>
      </c>
      <c r="AK648" s="114">
        <v>0.0</v>
      </c>
      <c r="AL648" s="114">
        <v>0.0</v>
      </c>
      <c r="AM648" s="114">
        <v>0.0</v>
      </c>
      <c r="AN648" s="114">
        <v>0.0</v>
      </c>
      <c r="AO648" s="142">
        <v>25.4</v>
      </c>
      <c r="AP648" s="115"/>
      <c r="AQ648" s="115"/>
      <c r="AR648" s="115"/>
      <c r="AS648" s="115"/>
      <c r="AT648" s="115"/>
      <c r="AU648" s="115"/>
      <c r="AV648" s="115"/>
      <c r="AW648" s="115"/>
      <c r="AX648" s="115"/>
      <c r="AY648" s="115"/>
      <c r="AZ648" s="115"/>
      <c r="BA648" s="115"/>
      <c r="BB648" s="115"/>
      <c r="BC648" s="115"/>
      <c r="BD648" s="115"/>
      <c r="BE648" s="115"/>
      <c r="BF648" s="115"/>
      <c r="BG648" s="114">
        <v>25.4</v>
      </c>
      <c r="BH648" s="115"/>
      <c r="BI648" s="115"/>
      <c r="BJ648" s="115"/>
      <c r="BK648" s="115"/>
      <c r="BL648" s="115"/>
      <c r="BM648" s="115"/>
      <c r="BN648" s="115"/>
      <c r="BO648" s="115"/>
      <c r="BP648" s="114">
        <v>3.33</v>
      </c>
      <c r="BQ648" s="114">
        <v>9.0</v>
      </c>
      <c r="BR648" s="114">
        <v>12.13</v>
      </c>
      <c r="BS648" s="142">
        <v>5.6</v>
      </c>
      <c r="BT648" s="116"/>
      <c r="BU648" s="115"/>
      <c r="BV648" s="115"/>
      <c r="BW648" s="115"/>
      <c r="BX648" s="114">
        <v>2700.0</v>
      </c>
      <c r="BY648" s="113" t="s">
        <v>123</v>
      </c>
      <c r="BZ648" s="143">
        <v>2400.0</v>
      </c>
      <c r="CA648" s="144" t="s">
        <v>124</v>
      </c>
      <c r="CB648" s="145">
        <v>2700.0</v>
      </c>
      <c r="CC648" s="120"/>
      <c r="CD648" s="121">
        <v>2700.0</v>
      </c>
      <c r="CE648" s="146"/>
      <c r="CF648" s="123"/>
      <c r="CG648" s="124">
        <v>0.0</v>
      </c>
      <c r="CH648" s="147">
        <v>0.0</v>
      </c>
      <c r="CI648" s="126">
        <v>1.0</v>
      </c>
      <c r="CJ648" s="126">
        <v>753.0</v>
      </c>
      <c r="CK648" s="127">
        <v>-13.0</v>
      </c>
      <c r="CL648" s="126">
        <v>740.0</v>
      </c>
      <c r="CM648" s="128">
        <v>25.0</v>
      </c>
      <c r="CN648" s="126">
        <v>0.0</v>
      </c>
      <c r="CO648" s="129">
        <v>25.4</v>
      </c>
      <c r="CP648" s="130">
        <v>0.0</v>
      </c>
      <c r="CQ648" s="126">
        <v>3.0</v>
      </c>
      <c r="CR648" s="126">
        <v>3.0</v>
      </c>
      <c r="CS648" s="126">
        <v>6.0</v>
      </c>
      <c r="CT648" s="131"/>
      <c r="CU648" s="132"/>
      <c r="CV648" s="133"/>
      <c r="CW648" s="134">
        <v>9.0</v>
      </c>
      <c r="CX648" s="134" t="s">
        <v>143</v>
      </c>
      <c r="CY648" s="134" t="s">
        <v>144</v>
      </c>
      <c r="CZ648" s="135"/>
      <c r="DA648" s="134">
        <v>2700.0</v>
      </c>
      <c r="DB648" s="134">
        <v>0.0</v>
      </c>
      <c r="DC648" s="133"/>
      <c r="DD648" s="136"/>
      <c r="DE648" s="133"/>
      <c r="DF648" s="133"/>
      <c r="DG648" s="137" t="s">
        <v>128</v>
      </c>
      <c r="DH648" s="137" t="s">
        <v>128</v>
      </c>
      <c r="DI648" s="157" t="str">
        <f>+ OFF 30 DIAS SIN VENTA</f>
        <v>#ERROR!</v>
      </c>
      <c r="DJ648" s="138">
        <v>0.0</v>
      </c>
      <c r="DK648" s="137" t="b">
        <v>0</v>
      </c>
      <c r="DL648" s="139" t="s">
        <v>1539</v>
      </c>
      <c r="DM648" s="139" t="s">
        <v>131</v>
      </c>
      <c r="DN648" s="139" t="s">
        <v>1540</v>
      </c>
      <c r="DO648" s="138">
        <v>0.0</v>
      </c>
      <c r="DP648" s="137" t="s">
        <v>128</v>
      </c>
      <c r="DQ648" s="158" t="str">
        <f>+ OFF 30 DIAS SIN VENTA</f>
        <v>#ERROR!</v>
      </c>
      <c r="DR648" s="141"/>
      <c r="DS648" s="137" t="s">
        <v>134</v>
      </c>
    </row>
    <row r="649">
      <c r="A649" s="113" t="s">
        <v>118</v>
      </c>
      <c r="B649" s="114">
        <v>56.0</v>
      </c>
      <c r="C649" s="113" t="s">
        <v>1536</v>
      </c>
      <c r="D649" s="114">
        <v>669823.0</v>
      </c>
      <c r="E649" s="113" t="s">
        <v>214</v>
      </c>
      <c r="F649" s="113" t="s">
        <v>1549</v>
      </c>
      <c r="G649" s="113" t="s">
        <v>1550</v>
      </c>
      <c r="H649" s="114">
        <v>81827.0</v>
      </c>
      <c r="I649" s="114">
        <v>1.0</v>
      </c>
      <c r="J649" s="114">
        <v>0.0</v>
      </c>
      <c r="K649" s="114">
        <v>0.0</v>
      </c>
      <c r="L649" s="114">
        <v>0.0</v>
      </c>
      <c r="M649" s="114">
        <v>0.0</v>
      </c>
      <c r="N649" s="114">
        <v>0.0</v>
      </c>
      <c r="O649" s="114">
        <v>0.0</v>
      </c>
      <c r="P649" s="114">
        <v>0.0</v>
      </c>
      <c r="Q649" s="114">
        <v>0.0</v>
      </c>
      <c r="R649" s="114">
        <v>0.0</v>
      </c>
      <c r="S649" s="114">
        <v>0.0</v>
      </c>
      <c r="T649" s="114">
        <v>0.0</v>
      </c>
      <c r="U649" s="114">
        <v>0.0</v>
      </c>
      <c r="V649" s="114">
        <v>0.0</v>
      </c>
      <c r="W649" s="114">
        <v>0.0</v>
      </c>
      <c r="X649" s="114">
        <v>0.0</v>
      </c>
      <c r="Y649" s="114">
        <v>1.0</v>
      </c>
      <c r="Z649" s="114">
        <v>0.0</v>
      </c>
      <c r="AA649" s="114">
        <v>0.0</v>
      </c>
      <c r="AB649" s="114">
        <v>0.0</v>
      </c>
      <c r="AC649" s="114">
        <v>0.0</v>
      </c>
      <c r="AD649" s="114">
        <v>0.0</v>
      </c>
      <c r="AE649" s="114">
        <v>0.0</v>
      </c>
      <c r="AF649" s="114">
        <v>0.0</v>
      </c>
      <c r="AG649" s="114">
        <v>0.0</v>
      </c>
      <c r="AH649" s="114">
        <v>0.0</v>
      </c>
      <c r="AI649" s="114">
        <v>0.0</v>
      </c>
      <c r="AJ649" s="114">
        <v>0.0</v>
      </c>
      <c r="AK649" s="114">
        <v>0.0</v>
      </c>
      <c r="AL649" s="114">
        <v>0.0</v>
      </c>
      <c r="AM649" s="114">
        <v>0.0</v>
      </c>
      <c r="AN649" s="114">
        <v>0.0</v>
      </c>
      <c r="AO649" s="142">
        <v>40.8</v>
      </c>
      <c r="AP649" s="115"/>
      <c r="AQ649" s="115"/>
      <c r="AR649" s="115"/>
      <c r="AS649" s="115"/>
      <c r="AT649" s="115"/>
      <c r="AU649" s="115"/>
      <c r="AV649" s="115"/>
      <c r="AW649" s="115"/>
      <c r="AX649" s="115"/>
      <c r="AY649" s="115"/>
      <c r="AZ649" s="115"/>
      <c r="BA649" s="115"/>
      <c r="BB649" s="115"/>
      <c r="BC649" s="115"/>
      <c r="BD649" s="115"/>
      <c r="BE649" s="114">
        <v>40.75</v>
      </c>
      <c r="BF649" s="115"/>
      <c r="BG649" s="115"/>
      <c r="BH649" s="115"/>
      <c r="BI649" s="115"/>
      <c r="BJ649" s="115"/>
      <c r="BK649" s="115"/>
      <c r="BL649" s="115"/>
      <c r="BM649" s="115"/>
      <c r="BN649" s="115"/>
      <c r="BO649" s="115"/>
      <c r="BP649" s="114">
        <v>6.28</v>
      </c>
      <c r="BQ649" s="114">
        <v>11.0</v>
      </c>
      <c r="BR649" s="114">
        <v>17.1</v>
      </c>
      <c r="BS649" s="142">
        <v>5.15</v>
      </c>
      <c r="BT649" s="148">
        <v>40.8</v>
      </c>
      <c r="BU649" s="142">
        <v>5.2</v>
      </c>
      <c r="BV649" s="142">
        <v>18.32</v>
      </c>
      <c r="BW649" s="115"/>
      <c r="BX649" s="114">
        <v>2100.0</v>
      </c>
      <c r="BY649" s="113" t="s">
        <v>123</v>
      </c>
      <c r="BZ649" s="143">
        <v>1800.0</v>
      </c>
      <c r="CA649" s="144" t="s">
        <v>124</v>
      </c>
      <c r="CB649" s="145">
        <v>2100.0</v>
      </c>
      <c r="CC649" s="120"/>
      <c r="CD649" s="121">
        <v>2100.0</v>
      </c>
      <c r="CE649" s="146"/>
      <c r="CF649" s="123"/>
      <c r="CG649" s="124">
        <v>0.0</v>
      </c>
      <c r="CH649" s="147">
        <v>0.0</v>
      </c>
      <c r="CI649" s="126">
        <v>1.0</v>
      </c>
      <c r="CJ649" s="126">
        <v>753.0</v>
      </c>
      <c r="CK649" s="127">
        <v>-13.0</v>
      </c>
      <c r="CL649" s="126">
        <v>740.0</v>
      </c>
      <c r="CM649" s="128">
        <v>41.0</v>
      </c>
      <c r="CN649" s="126">
        <v>0.0</v>
      </c>
      <c r="CO649" s="129">
        <v>40.8</v>
      </c>
      <c r="CP649" s="130">
        <v>0.0</v>
      </c>
      <c r="CQ649" s="126">
        <v>6.0</v>
      </c>
      <c r="CR649" s="126">
        <v>6.0</v>
      </c>
      <c r="CS649" s="126">
        <v>5.0</v>
      </c>
      <c r="CT649" s="131"/>
      <c r="CU649" s="132"/>
      <c r="CV649" s="133"/>
      <c r="CW649" s="134">
        <v>7.0</v>
      </c>
      <c r="CX649" s="134" t="s">
        <v>201</v>
      </c>
      <c r="CY649" s="134" t="s">
        <v>202</v>
      </c>
      <c r="CZ649" s="135"/>
      <c r="DA649" s="134">
        <v>2100.0</v>
      </c>
      <c r="DB649" s="134">
        <v>0.0</v>
      </c>
      <c r="DC649" s="133"/>
      <c r="DD649" s="136"/>
      <c r="DE649" s="133"/>
      <c r="DF649" s="133"/>
      <c r="DG649" s="137" t="s">
        <v>128</v>
      </c>
      <c r="DH649" s="137" t="s">
        <v>128</v>
      </c>
      <c r="DI649" s="137" t="s">
        <v>129</v>
      </c>
      <c r="DJ649" s="138">
        <v>1.0</v>
      </c>
      <c r="DK649" s="137" t="b">
        <v>0</v>
      </c>
      <c r="DL649" s="139" t="s">
        <v>1539</v>
      </c>
      <c r="DM649" s="139" t="s">
        <v>131</v>
      </c>
      <c r="DN649" s="139" t="s">
        <v>1540</v>
      </c>
      <c r="DO649" s="138">
        <v>0.0</v>
      </c>
      <c r="DP649" s="137" t="s">
        <v>128</v>
      </c>
      <c r="DQ649" s="137" t="s">
        <v>133</v>
      </c>
      <c r="DR649" s="141"/>
      <c r="DS649" s="137" t="s">
        <v>134</v>
      </c>
    </row>
    <row r="650">
      <c r="A650" s="113" t="s">
        <v>118</v>
      </c>
      <c r="B650" s="114">
        <v>56.0</v>
      </c>
      <c r="C650" s="113" t="s">
        <v>1536</v>
      </c>
      <c r="D650" s="114">
        <v>642178.0</v>
      </c>
      <c r="E650" s="113" t="s">
        <v>205</v>
      </c>
      <c r="F650" s="113" t="s">
        <v>1551</v>
      </c>
      <c r="G650" s="113" t="s">
        <v>1552</v>
      </c>
      <c r="H650" s="114">
        <v>81827.0</v>
      </c>
      <c r="I650" s="114">
        <v>16.0</v>
      </c>
      <c r="J650" s="114">
        <v>0.0</v>
      </c>
      <c r="K650" s="114">
        <v>0.0</v>
      </c>
      <c r="L650" s="114">
        <v>0.0</v>
      </c>
      <c r="M650" s="114">
        <v>0.0</v>
      </c>
      <c r="N650" s="114">
        <v>0.0</v>
      </c>
      <c r="O650" s="114">
        <v>0.0</v>
      </c>
      <c r="P650" s="114">
        <v>0.0</v>
      </c>
      <c r="Q650" s="114">
        <v>2.0</v>
      </c>
      <c r="R650" s="114">
        <v>1.0</v>
      </c>
      <c r="S650" s="114">
        <v>1.0</v>
      </c>
      <c r="T650" s="114">
        <v>0.0</v>
      </c>
      <c r="U650" s="114">
        <v>0.0</v>
      </c>
      <c r="V650" s="114">
        <v>2.0</v>
      </c>
      <c r="W650" s="114">
        <v>1.0</v>
      </c>
      <c r="X650" s="114">
        <v>0.0</v>
      </c>
      <c r="Y650" s="114">
        <v>0.0</v>
      </c>
      <c r="Z650" s="114">
        <v>1.0</v>
      </c>
      <c r="AA650" s="114">
        <v>0.0</v>
      </c>
      <c r="AB650" s="114">
        <v>0.0</v>
      </c>
      <c r="AC650" s="114">
        <v>0.0</v>
      </c>
      <c r="AD650" s="114">
        <v>1.0</v>
      </c>
      <c r="AE650" s="114">
        <v>0.0</v>
      </c>
      <c r="AF650" s="114">
        <v>0.0</v>
      </c>
      <c r="AG650" s="114">
        <v>0.0</v>
      </c>
      <c r="AH650" s="114">
        <v>0.0</v>
      </c>
      <c r="AI650" s="114">
        <v>7.0</v>
      </c>
      <c r="AJ650" s="114">
        <v>0.0</v>
      </c>
      <c r="AK650" s="114">
        <v>0.0</v>
      </c>
      <c r="AL650" s="114">
        <v>0.0</v>
      </c>
      <c r="AM650" s="114">
        <v>0.0</v>
      </c>
      <c r="AN650" s="114">
        <v>0.0</v>
      </c>
      <c r="AO650" s="142">
        <v>21.5</v>
      </c>
      <c r="AP650" s="115"/>
      <c r="AQ650" s="115"/>
      <c r="AR650" s="115"/>
      <c r="AS650" s="115"/>
      <c r="AT650" s="115"/>
      <c r="AU650" s="115"/>
      <c r="AV650" s="115"/>
      <c r="AW650" s="114">
        <v>18.87</v>
      </c>
      <c r="AX650" s="114">
        <v>14.55</v>
      </c>
      <c r="AY650" s="114">
        <v>19.68</v>
      </c>
      <c r="AZ650" s="115"/>
      <c r="BA650" s="115"/>
      <c r="BB650" s="114">
        <v>17.27</v>
      </c>
      <c r="BC650" s="114">
        <v>24.55</v>
      </c>
      <c r="BD650" s="115"/>
      <c r="BE650" s="115"/>
      <c r="BF650" s="114">
        <v>28.33</v>
      </c>
      <c r="BG650" s="115"/>
      <c r="BH650" s="115"/>
      <c r="BI650" s="115"/>
      <c r="BJ650" s="114">
        <v>17.9</v>
      </c>
      <c r="BK650" s="115"/>
      <c r="BL650" s="115"/>
      <c r="BM650" s="115"/>
      <c r="BN650" s="115"/>
      <c r="BO650" s="114">
        <v>0.4</v>
      </c>
      <c r="BP650" s="114">
        <v>1.28</v>
      </c>
      <c r="BQ650" s="114">
        <v>5.6</v>
      </c>
      <c r="BR650" s="114">
        <v>6.68</v>
      </c>
      <c r="BS650" s="142">
        <v>5.07</v>
      </c>
      <c r="BT650" s="148">
        <v>23.0</v>
      </c>
      <c r="BU650" s="142">
        <v>4.9</v>
      </c>
      <c r="BV650" s="142">
        <v>11.1</v>
      </c>
      <c r="BW650" s="115"/>
      <c r="BX650" s="114">
        <v>3000.0</v>
      </c>
      <c r="BY650" s="113" t="s">
        <v>123</v>
      </c>
      <c r="BZ650" s="143">
        <v>2700.0</v>
      </c>
      <c r="CA650" s="144" t="s">
        <v>124</v>
      </c>
      <c r="CB650" s="145">
        <v>2700.0</v>
      </c>
      <c r="CC650" s="120"/>
      <c r="CD650" s="121">
        <v>2700.0</v>
      </c>
      <c r="CE650" s="146"/>
      <c r="CF650" s="123"/>
      <c r="CG650" s="124">
        <v>0.0</v>
      </c>
      <c r="CH650" s="147">
        <v>0.0</v>
      </c>
      <c r="CI650" s="126">
        <v>16.0</v>
      </c>
      <c r="CJ650" s="126">
        <v>753.0</v>
      </c>
      <c r="CK650" s="127">
        <v>-13.0</v>
      </c>
      <c r="CL650" s="126">
        <v>740.0</v>
      </c>
      <c r="CM650" s="128">
        <v>344.0</v>
      </c>
      <c r="CN650" s="126">
        <v>0.0</v>
      </c>
      <c r="CO650" s="129">
        <v>21.5</v>
      </c>
      <c r="CP650" s="130">
        <v>0.0</v>
      </c>
      <c r="CQ650" s="126">
        <v>20.0</v>
      </c>
      <c r="CR650" s="126">
        <v>20.0</v>
      </c>
      <c r="CS650" s="126">
        <v>81.0</v>
      </c>
      <c r="CT650" s="131"/>
      <c r="CU650" s="132"/>
      <c r="CV650" s="133"/>
      <c r="CW650" s="134">
        <v>9.0</v>
      </c>
      <c r="CX650" s="134" t="s">
        <v>143</v>
      </c>
      <c r="CY650" s="134" t="s">
        <v>144</v>
      </c>
      <c r="CZ650" s="150" t="s">
        <v>124</v>
      </c>
      <c r="DA650" s="134">
        <v>2700.0</v>
      </c>
      <c r="DB650" s="134">
        <v>0.0</v>
      </c>
      <c r="DC650" s="151" t="s">
        <v>127</v>
      </c>
      <c r="DD650" s="152">
        <v>46228.0</v>
      </c>
      <c r="DE650" s="133"/>
      <c r="DF650" s="133"/>
      <c r="DG650" s="137" t="s">
        <v>128</v>
      </c>
      <c r="DH650" s="137" t="s">
        <v>128</v>
      </c>
      <c r="DI650" s="137" t="s">
        <v>128</v>
      </c>
      <c r="DJ650" s="138">
        <v>1.0</v>
      </c>
      <c r="DK650" s="137" t="b">
        <v>0</v>
      </c>
      <c r="DL650" s="139" t="s">
        <v>1539</v>
      </c>
      <c r="DM650" s="139" t="s">
        <v>131</v>
      </c>
      <c r="DN650" s="139" t="s">
        <v>1540</v>
      </c>
      <c r="DO650" s="138">
        <v>0.0</v>
      </c>
      <c r="DP650" s="137" t="s">
        <v>128</v>
      </c>
      <c r="DQ650" s="137" t="s">
        <v>128</v>
      </c>
      <c r="DR650" s="141"/>
      <c r="DS650" s="137" t="s">
        <v>134</v>
      </c>
    </row>
    <row r="651">
      <c r="A651" s="113" t="s">
        <v>118</v>
      </c>
      <c r="B651" s="114">
        <v>56.0</v>
      </c>
      <c r="C651" s="113" t="s">
        <v>1536</v>
      </c>
      <c r="D651" s="114">
        <v>640888.0</v>
      </c>
      <c r="E651" s="113" t="s">
        <v>161</v>
      </c>
      <c r="F651" s="113" t="s">
        <v>1553</v>
      </c>
      <c r="G651" s="113" t="s">
        <v>1554</v>
      </c>
      <c r="H651" s="114">
        <v>81827.0</v>
      </c>
      <c r="I651" s="114">
        <v>4.0</v>
      </c>
      <c r="J651" s="114">
        <v>0.0</v>
      </c>
      <c r="K651" s="114">
        <v>0.0</v>
      </c>
      <c r="L651" s="114">
        <v>0.0</v>
      </c>
      <c r="M651" s="114">
        <v>0.0</v>
      </c>
      <c r="N651" s="114">
        <v>0.0</v>
      </c>
      <c r="O651" s="114">
        <v>0.0</v>
      </c>
      <c r="P651" s="114">
        <v>0.0</v>
      </c>
      <c r="Q651" s="114">
        <v>1.0</v>
      </c>
      <c r="R651" s="114">
        <v>0.0</v>
      </c>
      <c r="S651" s="114">
        <v>0.0</v>
      </c>
      <c r="T651" s="114">
        <v>0.0</v>
      </c>
      <c r="U651" s="114">
        <v>0.0</v>
      </c>
      <c r="V651" s="114">
        <v>1.0</v>
      </c>
      <c r="W651" s="114">
        <v>0.0</v>
      </c>
      <c r="X651" s="114">
        <v>1.0</v>
      </c>
      <c r="Y651" s="114">
        <v>0.0</v>
      </c>
      <c r="Z651" s="114">
        <v>0.0</v>
      </c>
      <c r="AA651" s="114">
        <v>0.0</v>
      </c>
      <c r="AB651" s="114">
        <v>0.0</v>
      </c>
      <c r="AC651" s="114">
        <v>0.0</v>
      </c>
      <c r="AD651" s="114">
        <v>0.0</v>
      </c>
      <c r="AE651" s="114">
        <v>0.0</v>
      </c>
      <c r="AF651" s="114">
        <v>0.0</v>
      </c>
      <c r="AG651" s="114">
        <v>0.0</v>
      </c>
      <c r="AH651" s="114">
        <v>0.0</v>
      </c>
      <c r="AI651" s="114">
        <v>0.0</v>
      </c>
      <c r="AJ651" s="114">
        <v>1.0</v>
      </c>
      <c r="AK651" s="114">
        <v>0.0</v>
      </c>
      <c r="AL651" s="114">
        <v>0.0</v>
      </c>
      <c r="AM651" s="114">
        <v>0.0</v>
      </c>
      <c r="AN651" s="114">
        <v>0.0</v>
      </c>
      <c r="AO651" s="142">
        <v>18.2</v>
      </c>
      <c r="AP651" s="115"/>
      <c r="AQ651" s="115"/>
      <c r="AR651" s="115"/>
      <c r="AS651" s="115"/>
      <c r="AT651" s="115"/>
      <c r="AU651" s="115"/>
      <c r="AV651" s="115"/>
      <c r="AW651" s="114">
        <v>12.3</v>
      </c>
      <c r="AX651" s="115"/>
      <c r="AY651" s="115"/>
      <c r="AZ651" s="115"/>
      <c r="BA651" s="115"/>
      <c r="BB651" s="114">
        <v>15.72</v>
      </c>
      <c r="BC651" s="115"/>
      <c r="BD651" s="114">
        <v>26.35</v>
      </c>
      <c r="BE651" s="115"/>
      <c r="BF651" s="115"/>
      <c r="BG651" s="115"/>
      <c r="BH651" s="115"/>
      <c r="BI651" s="115"/>
      <c r="BJ651" s="115"/>
      <c r="BK651" s="115"/>
      <c r="BL651" s="115"/>
      <c r="BM651" s="115"/>
      <c r="BN651" s="115"/>
      <c r="BO651" s="114">
        <v>0.31</v>
      </c>
      <c r="BP651" s="114">
        <v>1.37</v>
      </c>
      <c r="BQ651" s="114">
        <v>3.8</v>
      </c>
      <c r="BR651" s="114">
        <v>4.96</v>
      </c>
      <c r="BS651" s="142">
        <v>5.04</v>
      </c>
      <c r="BT651" s="116"/>
      <c r="BU651" s="115"/>
      <c r="BV651" s="115"/>
      <c r="BW651" s="115"/>
      <c r="BX651" s="114">
        <v>2100.0</v>
      </c>
      <c r="BY651" s="113" t="s">
        <v>123</v>
      </c>
      <c r="BZ651" s="143">
        <v>1800.0</v>
      </c>
      <c r="CA651" s="144" t="s">
        <v>124</v>
      </c>
      <c r="CB651" s="145">
        <v>2100.0</v>
      </c>
      <c r="CC651" s="120"/>
      <c r="CD651" s="121">
        <v>2100.0</v>
      </c>
      <c r="CE651" s="146"/>
      <c r="CF651" s="123"/>
      <c r="CG651" s="124">
        <v>0.0</v>
      </c>
      <c r="CH651" s="147">
        <v>0.0</v>
      </c>
      <c r="CI651" s="126">
        <v>4.0</v>
      </c>
      <c r="CJ651" s="126">
        <v>753.0</v>
      </c>
      <c r="CK651" s="127">
        <v>-13.0</v>
      </c>
      <c r="CL651" s="126">
        <v>740.0</v>
      </c>
      <c r="CM651" s="128">
        <v>73.0</v>
      </c>
      <c r="CN651" s="126">
        <v>0.0</v>
      </c>
      <c r="CO651" s="129">
        <v>18.2</v>
      </c>
      <c r="CP651" s="130">
        <v>0.0</v>
      </c>
      <c r="CQ651" s="126">
        <v>5.0</v>
      </c>
      <c r="CR651" s="126">
        <v>5.0</v>
      </c>
      <c r="CS651" s="126">
        <v>20.0</v>
      </c>
      <c r="CT651" s="131"/>
      <c r="CU651" s="132"/>
      <c r="CV651" s="133"/>
      <c r="CW651" s="134">
        <v>7.0</v>
      </c>
      <c r="CX651" s="134" t="s">
        <v>201</v>
      </c>
      <c r="CY651" s="134" t="s">
        <v>202</v>
      </c>
      <c r="CZ651" s="135"/>
      <c r="DA651" s="134">
        <v>2100.0</v>
      </c>
      <c r="DB651" s="134">
        <v>0.0</v>
      </c>
      <c r="DC651" s="133"/>
      <c r="DD651" s="136"/>
      <c r="DE651" s="133"/>
      <c r="DF651" s="133"/>
      <c r="DG651" s="137" t="s">
        <v>128</v>
      </c>
      <c r="DH651" s="137" t="s">
        <v>128</v>
      </c>
      <c r="DI651" s="137" t="s">
        <v>128</v>
      </c>
      <c r="DJ651" s="138">
        <v>0.0</v>
      </c>
      <c r="DK651" s="137" t="b">
        <v>0</v>
      </c>
      <c r="DL651" s="139" t="s">
        <v>1539</v>
      </c>
      <c r="DM651" s="139" t="s">
        <v>131</v>
      </c>
      <c r="DN651" s="139" t="s">
        <v>1540</v>
      </c>
      <c r="DO651" s="138">
        <v>0.0</v>
      </c>
      <c r="DP651" s="137" t="s">
        <v>128</v>
      </c>
      <c r="DQ651" s="137" t="s">
        <v>128</v>
      </c>
      <c r="DR651" s="141"/>
      <c r="DS651" s="137" t="s">
        <v>134</v>
      </c>
    </row>
    <row r="652">
      <c r="A652" s="113" t="s">
        <v>118</v>
      </c>
      <c r="B652" s="114">
        <v>56.0</v>
      </c>
      <c r="C652" s="113" t="s">
        <v>1536</v>
      </c>
      <c r="D652" s="114">
        <v>588071.0</v>
      </c>
      <c r="E652" s="113" t="s">
        <v>152</v>
      </c>
      <c r="F652" s="113" t="s">
        <v>1555</v>
      </c>
      <c r="G652" s="113" t="s">
        <v>1556</v>
      </c>
      <c r="H652" s="114">
        <v>81827.0</v>
      </c>
      <c r="I652" s="114">
        <v>14.0</v>
      </c>
      <c r="J652" s="114">
        <v>0.0</v>
      </c>
      <c r="K652" s="114">
        <v>0.0</v>
      </c>
      <c r="L652" s="114">
        <v>0.0</v>
      </c>
      <c r="M652" s="114">
        <v>0.0</v>
      </c>
      <c r="N652" s="114">
        <v>0.0</v>
      </c>
      <c r="O652" s="114">
        <v>1.0</v>
      </c>
      <c r="P652" s="114">
        <v>1.0</v>
      </c>
      <c r="Q652" s="114">
        <v>0.0</v>
      </c>
      <c r="R652" s="114">
        <v>4.0</v>
      </c>
      <c r="S652" s="114">
        <v>1.0</v>
      </c>
      <c r="T652" s="114">
        <v>0.0</v>
      </c>
      <c r="U652" s="114">
        <v>1.0</v>
      </c>
      <c r="V652" s="114">
        <v>0.0</v>
      </c>
      <c r="W652" s="114">
        <v>0.0</v>
      </c>
      <c r="X652" s="114">
        <v>0.0</v>
      </c>
      <c r="Y652" s="114">
        <v>0.0</v>
      </c>
      <c r="Z652" s="114">
        <v>0.0</v>
      </c>
      <c r="AA652" s="114">
        <v>1.0</v>
      </c>
      <c r="AB652" s="114">
        <v>1.0</v>
      </c>
      <c r="AC652" s="114">
        <v>0.0</v>
      </c>
      <c r="AD652" s="114">
        <v>0.0</v>
      </c>
      <c r="AE652" s="114">
        <v>3.0</v>
      </c>
      <c r="AF652" s="114">
        <v>1.0</v>
      </c>
      <c r="AG652" s="114">
        <v>0.0</v>
      </c>
      <c r="AH652" s="114">
        <v>0.0</v>
      </c>
      <c r="AI652" s="114">
        <v>0.0</v>
      </c>
      <c r="AJ652" s="114">
        <v>0.0</v>
      </c>
      <c r="AK652" s="114">
        <v>0.0</v>
      </c>
      <c r="AL652" s="114">
        <v>0.0</v>
      </c>
      <c r="AM652" s="114">
        <v>0.0</v>
      </c>
      <c r="AN652" s="114">
        <v>0.0</v>
      </c>
      <c r="AO652" s="142">
        <v>19.7</v>
      </c>
      <c r="AP652" s="115"/>
      <c r="AQ652" s="115"/>
      <c r="AR652" s="115"/>
      <c r="AS652" s="115"/>
      <c r="AT652" s="115"/>
      <c r="AU652" s="114">
        <v>23.95</v>
      </c>
      <c r="AV652" s="114">
        <v>10.68</v>
      </c>
      <c r="AW652" s="115"/>
      <c r="AX652" s="114">
        <v>14.87</v>
      </c>
      <c r="AY652" s="114">
        <v>24.6</v>
      </c>
      <c r="AZ652" s="115"/>
      <c r="BA652" s="114">
        <v>29.52</v>
      </c>
      <c r="BB652" s="115"/>
      <c r="BC652" s="115"/>
      <c r="BD652" s="115"/>
      <c r="BE652" s="115"/>
      <c r="BF652" s="115"/>
      <c r="BG652" s="114">
        <v>20.92</v>
      </c>
      <c r="BH652" s="114">
        <v>25.52</v>
      </c>
      <c r="BI652" s="115"/>
      <c r="BJ652" s="115"/>
      <c r="BK652" s="114">
        <v>20.87</v>
      </c>
      <c r="BL652" s="114">
        <v>18.52</v>
      </c>
      <c r="BM652" s="115"/>
      <c r="BN652" s="115"/>
      <c r="BO652" s="115"/>
      <c r="BP652" s="114">
        <v>1.29</v>
      </c>
      <c r="BQ652" s="114">
        <v>6.28</v>
      </c>
      <c r="BR652" s="114">
        <v>7.37</v>
      </c>
      <c r="BS652" s="142">
        <v>4.85</v>
      </c>
      <c r="BT652" s="148">
        <v>22.1</v>
      </c>
      <c r="BU652" s="142">
        <v>4.8</v>
      </c>
      <c r="BV652" s="142">
        <v>9.89</v>
      </c>
      <c r="BW652" s="115"/>
      <c r="BX652" s="114">
        <v>3000.0</v>
      </c>
      <c r="BY652" s="113" t="s">
        <v>123</v>
      </c>
      <c r="BZ652" s="143">
        <v>2700.0</v>
      </c>
      <c r="CA652" s="144" t="s">
        <v>124</v>
      </c>
      <c r="CB652" s="145">
        <v>3000.0</v>
      </c>
      <c r="CC652" s="120"/>
      <c r="CD652" s="121">
        <v>3000.0</v>
      </c>
      <c r="CE652" s="146"/>
      <c r="CF652" s="123"/>
      <c r="CG652" s="124">
        <v>0.0</v>
      </c>
      <c r="CH652" s="147">
        <v>0.0</v>
      </c>
      <c r="CI652" s="126">
        <v>14.0</v>
      </c>
      <c r="CJ652" s="126">
        <v>753.0</v>
      </c>
      <c r="CK652" s="127">
        <v>-13.0</v>
      </c>
      <c r="CL652" s="126">
        <v>740.0</v>
      </c>
      <c r="CM652" s="128">
        <v>276.0</v>
      </c>
      <c r="CN652" s="126">
        <v>0.0</v>
      </c>
      <c r="CO652" s="129">
        <v>19.7</v>
      </c>
      <c r="CP652" s="130">
        <v>0.0</v>
      </c>
      <c r="CQ652" s="126">
        <v>18.0</v>
      </c>
      <c r="CR652" s="126">
        <v>18.0</v>
      </c>
      <c r="CS652" s="126">
        <v>68.0</v>
      </c>
      <c r="CT652" s="131"/>
      <c r="CU652" s="132"/>
      <c r="CV652" s="133"/>
      <c r="CW652" s="134">
        <v>10.0</v>
      </c>
      <c r="CX652" s="134" t="s">
        <v>138</v>
      </c>
      <c r="CY652" s="134" t="s">
        <v>139</v>
      </c>
      <c r="CZ652" s="135"/>
      <c r="DA652" s="134">
        <v>3000.0</v>
      </c>
      <c r="DB652" s="134">
        <v>0.0</v>
      </c>
      <c r="DC652" s="151" t="s">
        <v>127</v>
      </c>
      <c r="DD652" s="152">
        <v>46245.0</v>
      </c>
      <c r="DE652" s="133"/>
      <c r="DF652" s="133"/>
      <c r="DG652" s="137" t="s">
        <v>128</v>
      </c>
      <c r="DH652" s="137" t="s">
        <v>128</v>
      </c>
      <c r="DI652" s="137" t="s">
        <v>128</v>
      </c>
      <c r="DJ652" s="138">
        <v>1.0</v>
      </c>
      <c r="DK652" s="137" t="b">
        <v>0</v>
      </c>
      <c r="DL652" s="139" t="s">
        <v>1539</v>
      </c>
      <c r="DM652" s="139" t="s">
        <v>131</v>
      </c>
      <c r="DN652" s="139" t="s">
        <v>1540</v>
      </c>
      <c r="DO652" s="138">
        <v>0.0</v>
      </c>
      <c r="DP652" s="137" t="s">
        <v>128</v>
      </c>
      <c r="DQ652" s="137" t="s">
        <v>128</v>
      </c>
      <c r="DR652" s="141"/>
      <c r="DS652" s="137" t="s">
        <v>134</v>
      </c>
    </row>
    <row r="653">
      <c r="A653" s="113" t="s">
        <v>118</v>
      </c>
      <c r="B653" s="114">
        <v>56.0</v>
      </c>
      <c r="C653" s="113" t="s">
        <v>1536</v>
      </c>
      <c r="D653" s="114">
        <v>536832.0</v>
      </c>
      <c r="E653" s="113" t="s">
        <v>158</v>
      </c>
      <c r="F653" s="113" t="s">
        <v>1557</v>
      </c>
      <c r="G653" s="113" t="s">
        <v>1558</v>
      </c>
      <c r="H653" s="114">
        <v>81827.0</v>
      </c>
      <c r="I653" s="114">
        <v>4.0</v>
      </c>
      <c r="J653" s="114">
        <v>0.0</v>
      </c>
      <c r="K653" s="114">
        <v>0.0</v>
      </c>
      <c r="L653" s="114">
        <v>0.0</v>
      </c>
      <c r="M653" s="114">
        <v>0.0</v>
      </c>
      <c r="N653" s="114">
        <v>0.0</v>
      </c>
      <c r="O653" s="114">
        <v>0.0</v>
      </c>
      <c r="P653" s="114">
        <v>0.0</v>
      </c>
      <c r="Q653" s="114">
        <v>1.0</v>
      </c>
      <c r="R653" s="114">
        <v>1.0</v>
      </c>
      <c r="S653" s="114">
        <v>0.0</v>
      </c>
      <c r="T653" s="114">
        <v>0.0</v>
      </c>
      <c r="U653" s="114">
        <v>0.0</v>
      </c>
      <c r="V653" s="114">
        <v>0.0</v>
      </c>
      <c r="W653" s="114">
        <v>0.0</v>
      </c>
      <c r="X653" s="114">
        <v>1.0</v>
      </c>
      <c r="Y653" s="114">
        <v>0.0</v>
      </c>
      <c r="Z653" s="114">
        <v>1.0</v>
      </c>
      <c r="AA653" s="114">
        <v>0.0</v>
      </c>
      <c r="AB653" s="114">
        <v>0.0</v>
      </c>
      <c r="AC653" s="114">
        <v>0.0</v>
      </c>
      <c r="AD653" s="114">
        <v>0.0</v>
      </c>
      <c r="AE653" s="114">
        <v>0.0</v>
      </c>
      <c r="AF653" s="114">
        <v>0.0</v>
      </c>
      <c r="AG653" s="114">
        <v>0.0</v>
      </c>
      <c r="AH653" s="114">
        <v>0.0</v>
      </c>
      <c r="AI653" s="114">
        <v>0.0</v>
      </c>
      <c r="AJ653" s="114">
        <v>0.0</v>
      </c>
      <c r="AK653" s="114">
        <v>0.0</v>
      </c>
      <c r="AL653" s="114">
        <v>0.0</v>
      </c>
      <c r="AM653" s="114">
        <v>0.0</v>
      </c>
      <c r="AN653" s="114">
        <v>0.0</v>
      </c>
      <c r="AO653" s="142">
        <v>17.7</v>
      </c>
      <c r="AP653" s="115"/>
      <c r="AQ653" s="115"/>
      <c r="AR653" s="115"/>
      <c r="AS653" s="115"/>
      <c r="AT653" s="115"/>
      <c r="AU653" s="115"/>
      <c r="AV653" s="115"/>
      <c r="AW653" s="114">
        <v>23.15</v>
      </c>
      <c r="AX653" s="114">
        <v>12.1</v>
      </c>
      <c r="AY653" s="115"/>
      <c r="AZ653" s="115"/>
      <c r="BA653" s="115"/>
      <c r="BB653" s="115"/>
      <c r="BC653" s="115"/>
      <c r="BD653" s="114">
        <v>19.08</v>
      </c>
      <c r="BE653" s="115"/>
      <c r="BF653" s="114">
        <v>16.53</v>
      </c>
      <c r="BG653" s="115"/>
      <c r="BH653" s="115"/>
      <c r="BI653" s="115"/>
      <c r="BJ653" s="115"/>
      <c r="BK653" s="115"/>
      <c r="BL653" s="115"/>
      <c r="BM653" s="115"/>
      <c r="BN653" s="115"/>
      <c r="BO653" s="115"/>
      <c r="BP653" s="114">
        <v>1.81</v>
      </c>
      <c r="BQ653" s="114">
        <v>4.66</v>
      </c>
      <c r="BR653" s="114">
        <v>6.26</v>
      </c>
      <c r="BS653" s="142">
        <v>4.65</v>
      </c>
      <c r="BT653" s="155">
        <v>15.6</v>
      </c>
      <c r="BU653" s="154">
        <v>3.2</v>
      </c>
      <c r="BV653" s="154">
        <v>6.03</v>
      </c>
      <c r="BW653" s="115"/>
      <c r="BX653" s="114">
        <v>2400.0</v>
      </c>
      <c r="BY653" s="113" t="s">
        <v>123</v>
      </c>
      <c r="BZ653" s="143">
        <v>2100.0</v>
      </c>
      <c r="CA653" s="144" t="s">
        <v>124</v>
      </c>
      <c r="CB653" s="145">
        <v>2700.0</v>
      </c>
      <c r="CC653" s="120"/>
      <c r="CD653" s="121">
        <v>2700.0</v>
      </c>
      <c r="CE653" s="146"/>
      <c r="CF653" s="123"/>
      <c r="CG653" s="124">
        <v>0.0</v>
      </c>
      <c r="CH653" s="147">
        <v>0.0</v>
      </c>
      <c r="CI653" s="126">
        <v>4.0</v>
      </c>
      <c r="CJ653" s="126">
        <v>753.0</v>
      </c>
      <c r="CK653" s="127">
        <v>-13.0</v>
      </c>
      <c r="CL653" s="126">
        <v>740.0</v>
      </c>
      <c r="CM653" s="128">
        <v>71.0</v>
      </c>
      <c r="CN653" s="153"/>
      <c r="CO653" s="129">
        <v>17.7</v>
      </c>
      <c r="CP653" s="130">
        <v>0.0</v>
      </c>
      <c r="CQ653" s="126">
        <v>7.0</v>
      </c>
      <c r="CR653" s="126">
        <v>7.0</v>
      </c>
      <c r="CS653" s="126">
        <v>19.0</v>
      </c>
      <c r="CT653" s="131"/>
      <c r="CU653" s="132"/>
      <c r="CV653" s="133"/>
      <c r="CW653" s="134">
        <v>9.0</v>
      </c>
      <c r="CX653" s="134" t="s">
        <v>143</v>
      </c>
      <c r="CY653" s="134" t="s">
        <v>144</v>
      </c>
      <c r="CZ653" s="159" t="s">
        <v>151</v>
      </c>
      <c r="DA653" s="134">
        <v>2700.0</v>
      </c>
      <c r="DB653" s="134">
        <v>0.0</v>
      </c>
      <c r="DC653" s="151" t="s">
        <v>127</v>
      </c>
      <c r="DD653" s="152">
        <v>46245.0</v>
      </c>
      <c r="DE653" s="133"/>
      <c r="DF653" s="133"/>
      <c r="DG653" s="137" t="s">
        <v>128</v>
      </c>
      <c r="DH653" s="137" t="s">
        <v>128</v>
      </c>
      <c r="DI653" s="137" t="s">
        <v>128</v>
      </c>
      <c r="DJ653" s="138">
        <v>1.0</v>
      </c>
      <c r="DK653" s="137" t="b">
        <v>1</v>
      </c>
      <c r="DL653" s="139" t="s">
        <v>1539</v>
      </c>
      <c r="DM653" s="139" t="s">
        <v>131</v>
      </c>
      <c r="DN653" s="139" t="s">
        <v>1540</v>
      </c>
      <c r="DO653" s="138">
        <v>0.0</v>
      </c>
      <c r="DP653" s="137" t="s">
        <v>128</v>
      </c>
      <c r="DQ653" s="137" t="s">
        <v>128</v>
      </c>
      <c r="DR653" s="141"/>
      <c r="DS653" s="137" t="s">
        <v>134</v>
      </c>
    </row>
    <row r="654">
      <c r="A654" s="113" t="s">
        <v>118</v>
      </c>
      <c r="B654" s="114">
        <v>56.0</v>
      </c>
      <c r="C654" s="113" t="s">
        <v>1536</v>
      </c>
      <c r="D654" s="114">
        <v>639495.0</v>
      </c>
      <c r="E654" s="113" t="s">
        <v>155</v>
      </c>
      <c r="F654" s="113" t="s">
        <v>1559</v>
      </c>
      <c r="G654" s="113" t="s">
        <v>1560</v>
      </c>
      <c r="H654" s="114">
        <v>81827.0</v>
      </c>
      <c r="I654" s="114">
        <v>13.0</v>
      </c>
      <c r="J654" s="114">
        <v>0.0</v>
      </c>
      <c r="K654" s="114">
        <v>0.0</v>
      </c>
      <c r="L654" s="114">
        <v>0.0</v>
      </c>
      <c r="M654" s="114">
        <v>0.0</v>
      </c>
      <c r="N654" s="114">
        <v>0.0</v>
      </c>
      <c r="O654" s="114">
        <v>1.0</v>
      </c>
      <c r="P654" s="114">
        <v>0.0</v>
      </c>
      <c r="Q654" s="114">
        <v>1.0</v>
      </c>
      <c r="R654" s="114">
        <v>0.0</v>
      </c>
      <c r="S654" s="114">
        <v>0.0</v>
      </c>
      <c r="T654" s="114">
        <v>1.0</v>
      </c>
      <c r="U654" s="114">
        <v>0.0</v>
      </c>
      <c r="V654" s="114">
        <v>0.0</v>
      </c>
      <c r="W654" s="114">
        <v>3.0</v>
      </c>
      <c r="X654" s="114">
        <v>2.0</v>
      </c>
      <c r="Y654" s="114">
        <v>0.0</v>
      </c>
      <c r="Z654" s="114">
        <v>1.0</v>
      </c>
      <c r="AA654" s="114">
        <v>0.0</v>
      </c>
      <c r="AB654" s="114">
        <v>0.0</v>
      </c>
      <c r="AC654" s="114">
        <v>0.0</v>
      </c>
      <c r="AD654" s="114">
        <v>0.0</v>
      </c>
      <c r="AE654" s="114">
        <v>0.0</v>
      </c>
      <c r="AF654" s="114">
        <v>0.0</v>
      </c>
      <c r="AG654" s="114">
        <v>0.0</v>
      </c>
      <c r="AH654" s="114">
        <v>0.0</v>
      </c>
      <c r="AI654" s="114">
        <v>1.0</v>
      </c>
      <c r="AJ654" s="114">
        <v>0.0</v>
      </c>
      <c r="AK654" s="114">
        <v>0.0</v>
      </c>
      <c r="AL654" s="114">
        <v>2.0</v>
      </c>
      <c r="AM654" s="114">
        <v>0.0</v>
      </c>
      <c r="AN654" s="114">
        <v>1.0</v>
      </c>
      <c r="AO654" s="142">
        <v>19.5</v>
      </c>
      <c r="AP654" s="115"/>
      <c r="AQ654" s="115"/>
      <c r="AR654" s="115"/>
      <c r="AS654" s="115"/>
      <c r="AT654" s="115"/>
      <c r="AU654" s="114">
        <v>14.98</v>
      </c>
      <c r="AV654" s="115"/>
      <c r="AW654" s="114">
        <v>12.13</v>
      </c>
      <c r="AX654" s="115"/>
      <c r="AY654" s="115"/>
      <c r="AZ654" s="114">
        <v>15.8</v>
      </c>
      <c r="BA654" s="115"/>
      <c r="BB654" s="115"/>
      <c r="BC654" s="114">
        <v>18.84</v>
      </c>
      <c r="BD654" s="114">
        <v>21.6</v>
      </c>
      <c r="BE654" s="115"/>
      <c r="BF654" s="114">
        <v>16.18</v>
      </c>
      <c r="BG654" s="115"/>
      <c r="BH654" s="115"/>
      <c r="BI654" s="115"/>
      <c r="BJ654" s="115"/>
      <c r="BK654" s="115"/>
      <c r="BL654" s="115"/>
      <c r="BM654" s="115"/>
      <c r="BN654" s="115"/>
      <c r="BO654" s="114">
        <v>0.39</v>
      </c>
      <c r="BP654" s="114">
        <v>3.65</v>
      </c>
      <c r="BQ654" s="114">
        <v>6.48</v>
      </c>
      <c r="BR654" s="114">
        <v>9.94</v>
      </c>
      <c r="BS654" s="154">
        <v>3.24</v>
      </c>
      <c r="BT654" s="148">
        <v>19.5</v>
      </c>
      <c r="BU654" s="154">
        <v>3.2</v>
      </c>
      <c r="BV654" s="154">
        <v>6.09</v>
      </c>
      <c r="BW654" s="115"/>
      <c r="BX654" s="114">
        <v>3000.0</v>
      </c>
      <c r="BY654" s="113" t="s">
        <v>123</v>
      </c>
      <c r="BZ654" s="143">
        <v>3000.0</v>
      </c>
      <c r="CA654" s="118"/>
      <c r="CB654" s="145">
        <v>3000.0</v>
      </c>
      <c r="CC654" s="120"/>
      <c r="CD654" s="121">
        <v>3000.0</v>
      </c>
      <c r="CE654" s="146"/>
      <c r="CF654" s="123"/>
      <c r="CG654" s="124">
        <v>0.0</v>
      </c>
      <c r="CH654" s="147">
        <v>0.0</v>
      </c>
      <c r="CI654" s="126">
        <v>13.0</v>
      </c>
      <c r="CJ654" s="126">
        <v>753.0</v>
      </c>
      <c r="CK654" s="127">
        <v>-13.0</v>
      </c>
      <c r="CL654" s="126">
        <v>740.0</v>
      </c>
      <c r="CM654" s="128">
        <v>254.0</v>
      </c>
      <c r="CN654" s="126">
        <v>0.0</v>
      </c>
      <c r="CO654" s="129">
        <v>19.5</v>
      </c>
      <c r="CP654" s="130">
        <v>0.0</v>
      </c>
      <c r="CQ654" s="126">
        <v>47.0</v>
      </c>
      <c r="CR654" s="126">
        <v>47.0</v>
      </c>
      <c r="CS654" s="126">
        <v>42.0</v>
      </c>
      <c r="CT654" s="131"/>
      <c r="CU654" s="132"/>
      <c r="CV654" s="133"/>
      <c r="CW654" s="134">
        <v>10.0</v>
      </c>
      <c r="CX654" s="134" t="s">
        <v>138</v>
      </c>
      <c r="CY654" s="134" t="s">
        <v>139</v>
      </c>
      <c r="CZ654" s="135"/>
      <c r="DA654" s="134">
        <v>3000.0</v>
      </c>
      <c r="DB654" s="134">
        <v>0.0</v>
      </c>
      <c r="DC654" s="151" t="s">
        <v>127</v>
      </c>
      <c r="DD654" s="152">
        <v>46186.0</v>
      </c>
      <c r="DE654" s="133"/>
      <c r="DF654" s="133"/>
      <c r="DG654" s="137" t="s">
        <v>128</v>
      </c>
      <c r="DH654" s="137" t="s">
        <v>128</v>
      </c>
      <c r="DI654" s="137" t="s">
        <v>128</v>
      </c>
      <c r="DJ654" s="138">
        <v>1.0</v>
      </c>
      <c r="DK654" s="137" t="b">
        <v>0</v>
      </c>
      <c r="DL654" s="139" t="s">
        <v>1539</v>
      </c>
      <c r="DM654" s="139" t="s">
        <v>131</v>
      </c>
      <c r="DN654" s="139" t="s">
        <v>1540</v>
      </c>
      <c r="DO654" s="138">
        <v>0.0</v>
      </c>
      <c r="DP654" s="137" t="s">
        <v>128</v>
      </c>
      <c r="DQ654" s="137" t="s">
        <v>128</v>
      </c>
      <c r="DR654" s="141"/>
      <c r="DS654" s="137" t="s">
        <v>134</v>
      </c>
    </row>
    <row r="655">
      <c r="A655" s="113" t="s">
        <v>118</v>
      </c>
      <c r="B655" s="114">
        <v>56.0</v>
      </c>
      <c r="C655" s="113" t="s">
        <v>1536</v>
      </c>
      <c r="D655" s="114">
        <v>641645.0</v>
      </c>
      <c r="E655" s="113" t="s">
        <v>145</v>
      </c>
      <c r="F655" s="113" t="s">
        <v>1561</v>
      </c>
      <c r="G655" s="113" t="s">
        <v>1562</v>
      </c>
      <c r="H655" s="114">
        <v>81827.0</v>
      </c>
      <c r="I655" s="114">
        <v>13.0</v>
      </c>
      <c r="J655" s="114">
        <v>0.0</v>
      </c>
      <c r="K655" s="114">
        <v>0.0</v>
      </c>
      <c r="L655" s="114">
        <v>1.0</v>
      </c>
      <c r="M655" s="114">
        <v>0.0</v>
      </c>
      <c r="N655" s="114">
        <v>0.0</v>
      </c>
      <c r="O655" s="114">
        <v>1.0</v>
      </c>
      <c r="P655" s="114">
        <v>1.0</v>
      </c>
      <c r="Q655" s="114">
        <v>1.0</v>
      </c>
      <c r="R655" s="114">
        <v>0.0</v>
      </c>
      <c r="S655" s="114">
        <v>1.0</v>
      </c>
      <c r="T655" s="114">
        <v>0.0</v>
      </c>
      <c r="U655" s="114">
        <v>0.0</v>
      </c>
      <c r="V655" s="114">
        <v>0.0</v>
      </c>
      <c r="W655" s="114">
        <v>0.0</v>
      </c>
      <c r="X655" s="114">
        <v>0.0</v>
      </c>
      <c r="Y655" s="114">
        <v>0.0</v>
      </c>
      <c r="Z655" s="114">
        <v>1.0</v>
      </c>
      <c r="AA655" s="114">
        <v>1.0</v>
      </c>
      <c r="AB655" s="114">
        <v>1.0</v>
      </c>
      <c r="AC655" s="114">
        <v>0.0</v>
      </c>
      <c r="AD655" s="114">
        <v>0.0</v>
      </c>
      <c r="AE655" s="114">
        <v>2.0</v>
      </c>
      <c r="AF655" s="114">
        <v>0.0</v>
      </c>
      <c r="AG655" s="114">
        <v>0.0</v>
      </c>
      <c r="AH655" s="114">
        <v>0.0</v>
      </c>
      <c r="AI655" s="114">
        <v>2.0</v>
      </c>
      <c r="AJ655" s="114">
        <v>0.0</v>
      </c>
      <c r="AK655" s="114">
        <v>0.0</v>
      </c>
      <c r="AL655" s="114">
        <v>0.0</v>
      </c>
      <c r="AM655" s="114">
        <v>1.0</v>
      </c>
      <c r="AN655" s="114">
        <v>0.0</v>
      </c>
      <c r="AO655" s="142">
        <v>19.1</v>
      </c>
      <c r="AP655" s="115"/>
      <c r="AQ655" s="115"/>
      <c r="AR655" s="114">
        <v>18.58</v>
      </c>
      <c r="AS655" s="115"/>
      <c r="AT655" s="115"/>
      <c r="AU655" s="114">
        <v>17.9</v>
      </c>
      <c r="AV655" s="114">
        <v>13.58</v>
      </c>
      <c r="AW655" s="114">
        <v>19.8</v>
      </c>
      <c r="AX655" s="115"/>
      <c r="AY655" s="114">
        <v>24.12</v>
      </c>
      <c r="AZ655" s="115"/>
      <c r="BA655" s="115"/>
      <c r="BB655" s="115"/>
      <c r="BC655" s="115"/>
      <c r="BD655" s="115"/>
      <c r="BE655" s="115"/>
      <c r="BF655" s="114">
        <v>14.3</v>
      </c>
      <c r="BG655" s="114">
        <v>22.1</v>
      </c>
      <c r="BH655" s="114">
        <v>19.73</v>
      </c>
      <c r="BI655" s="115"/>
      <c r="BJ655" s="115"/>
      <c r="BK655" s="114">
        <v>18.02</v>
      </c>
      <c r="BL655" s="115"/>
      <c r="BM655" s="115"/>
      <c r="BN655" s="115"/>
      <c r="BO655" s="114">
        <v>0.35</v>
      </c>
      <c r="BP655" s="114">
        <v>2.59</v>
      </c>
      <c r="BQ655" s="114">
        <v>6.38</v>
      </c>
      <c r="BR655" s="114">
        <v>8.77</v>
      </c>
      <c r="BS655" s="154">
        <v>3.22</v>
      </c>
      <c r="BT655" s="155">
        <v>15.0</v>
      </c>
      <c r="BU655" s="156">
        <v>2.2</v>
      </c>
      <c r="BV655" s="154">
        <v>6.17</v>
      </c>
      <c r="BW655" s="115"/>
      <c r="BX655" s="114">
        <v>3000.0</v>
      </c>
      <c r="BY655" s="113" t="s">
        <v>123</v>
      </c>
      <c r="BZ655" s="143">
        <v>3000.0</v>
      </c>
      <c r="CA655" s="118"/>
      <c r="CB655" s="145">
        <v>3000.0</v>
      </c>
      <c r="CC655" s="120"/>
      <c r="CD655" s="121">
        <v>3000.0</v>
      </c>
      <c r="CE655" s="146"/>
      <c r="CF655" s="123"/>
      <c r="CG655" s="124">
        <v>0.0</v>
      </c>
      <c r="CH655" s="147">
        <v>0.0</v>
      </c>
      <c r="CI655" s="126">
        <v>13.0</v>
      </c>
      <c r="CJ655" s="126">
        <v>753.0</v>
      </c>
      <c r="CK655" s="127">
        <v>-13.0</v>
      </c>
      <c r="CL655" s="126">
        <v>740.0</v>
      </c>
      <c r="CM655" s="128">
        <v>248.0</v>
      </c>
      <c r="CN655" s="126">
        <v>0.0</v>
      </c>
      <c r="CO655" s="129">
        <v>19.1</v>
      </c>
      <c r="CP655" s="130">
        <v>0.0</v>
      </c>
      <c r="CQ655" s="126">
        <v>34.0</v>
      </c>
      <c r="CR655" s="126">
        <v>34.0</v>
      </c>
      <c r="CS655" s="126">
        <v>42.0</v>
      </c>
      <c r="CT655" s="131"/>
      <c r="CU655" s="132"/>
      <c r="CV655" s="133"/>
      <c r="CW655" s="134">
        <v>10.0</v>
      </c>
      <c r="CX655" s="134" t="s">
        <v>138</v>
      </c>
      <c r="CY655" s="134" t="s">
        <v>139</v>
      </c>
      <c r="CZ655" s="135"/>
      <c r="DA655" s="134">
        <v>3000.0</v>
      </c>
      <c r="DB655" s="134">
        <v>0.0</v>
      </c>
      <c r="DC655" s="151" t="s">
        <v>127</v>
      </c>
      <c r="DD655" s="152">
        <v>46228.0</v>
      </c>
      <c r="DE655" s="133"/>
      <c r="DF655" s="133"/>
      <c r="DG655" s="137" t="s">
        <v>128</v>
      </c>
      <c r="DH655" s="137" t="s">
        <v>128</v>
      </c>
      <c r="DI655" s="137" t="s">
        <v>128</v>
      </c>
      <c r="DJ655" s="138">
        <v>1.0</v>
      </c>
      <c r="DK655" s="137" t="b">
        <v>1</v>
      </c>
      <c r="DL655" s="139" t="s">
        <v>1539</v>
      </c>
      <c r="DM655" s="139" t="s">
        <v>131</v>
      </c>
      <c r="DN655" s="139" t="s">
        <v>1540</v>
      </c>
      <c r="DO655" s="138">
        <v>0.0</v>
      </c>
      <c r="DP655" s="137" t="s">
        <v>128</v>
      </c>
      <c r="DQ655" s="137" t="s">
        <v>128</v>
      </c>
      <c r="DR655" s="141"/>
      <c r="DS655" s="137" t="s">
        <v>134</v>
      </c>
    </row>
    <row r="656">
      <c r="A656" s="113" t="s">
        <v>118</v>
      </c>
      <c r="B656" s="114">
        <v>56.0</v>
      </c>
      <c r="C656" s="113" t="s">
        <v>1536</v>
      </c>
      <c r="D656" s="114">
        <v>610881.0</v>
      </c>
      <c r="E656" s="113" t="s">
        <v>167</v>
      </c>
      <c r="F656" s="113" t="s">
        <v>1563</v>
      </c>
      <c r="G656" s="113" t="s">
        <v>1564</v>
      </c>
      <c r="H656" s="114">
        <v>81827.0</v>
      </c>
      <c r="I656" s="114">
        <v>4.0</v>
      </c>
      <c r="J656" s="114">
        <v>0.0</v>
      </c>
      <c r="K656" s="114">
        <v>0.0</v>
      </c>
      <c r="L656" s="114">
        <v>0.0</v>
      </c>
      <c r="M656" s="114">
        <v>0.0</v>
      </c>
      <c r="N656" s="114">
        <v>0.0</v>
      </c>
      <c r="O656" s="114">
        <v>0.0</v>
      </c>
      <c r="P656" s="114">
        <v>1.0</v>
      </c>
      <c r="Q656" s="114">
        <v>0.0</v>
      </c>
      <c r="R656" s="114">
        <v>0.0</v>
      </c>
      <c r="S656" s="114">
        <v>0.0</v>
      </c>
      <c r="T656" s="114">
        <v>0.0</v>
      </c>
      <c r="U656" s="114">
        <v>1.0</v>
      </c>
      <c r="V656" s="114">
        <v>1.0</v>
      </c>
      <c r="W656" s="114">
        <v>0.0</v>
      </c>
      <c r="X656" s="114">
        <v>0.0</v>
      </c>
      <c r="Y656" s="114">
        <v>0.0</v>
      </c>
      <c r="Z656" s="114">
        <v>0.0</v>
      </c>
      <c r="AA656" s="114">
        <v>0.0</v>
      </c>
      <c r="AB656" s="114">
        <v>0.0</v>
      </c>
      <c r="AC656" s="114">
        <v>0.0</v>
      </c>
      <c r="AD656" s="114">
        <v>0.0</v>
      </c>
      <c r="AE656" s="114">
        <v>0.0</v>
      </c>
      <c r="AF656" s="114">
        <v>0.0</v>
      </c>
      <c r="AG656" s="114">
        <v>0.0</v>
      </c>
      <c r="AH656" s="114">
        <v>1.0</v>
      </c>
      <c r="AI656" s="114">
        <v>0.0</v>
      </c>
      <c r="AJ656" s="114">
        <v>0.0</v>
      </c>
      <c r="AK656" s="114">
        <v>0.0</v>
      </c>
      <c r="AL656" s="114">
        <v>0.0</v>
      </c>
      <c r="AM656" s="114">
        <v>0.0</v>
      </c>
      <c r="AN656" s="114">
        <v>0.0</v>
      </c>
      <c r="AO656" s="142">
        <v>17.4</v>
      </c>
      <c r="AP656" s="115"/>
      <c r="AQ656" s="115"/>
      <c r="AR656" s="115"/>
      <c r="AS656" s="115"/>
      <c r="AT656" s="115"/>
      <c r="AU656" s="115"/>
      <c r="AV656" s="114">
        <v>14.92</v>
      </c>
      <c r="AW656" s="115"/>
      <c r="AX656" s="115"/>
      <c r="AY656" s="115"/>
      <c r="AZ656" s="115"/>
      <c r="BA656" s="114">
        <v>31.08</v>
      </c>
      <c r="BB656" s="114">
        <v>11.47</v>
      </c>
      <c r="BC656" s="115"/>
      <c r="BD656" s="115"/>
      <c r="BE656" s="115"/>
      <c r="BF656" s="115"/>
      <c r="BG656" s="115"/>
      <c r="BH656" s="115"/>
      <c r="BI656" s="115"/>
      <c r="BJ656" s="115"/>
      <c r="BK656" s="115"/>
      <c r="BL656" s="115"/>
      <c r="BM656" s="115"/>
      <c r="BN656" s="114">
        <v>12.23</v>
      </c>
      <c r="BO656" s="115"/>
      <c r="BP656" s="114">
        <v>5.72</v>
      </c>
      <c r="BQ656" s="114">
        <v>4.18</v>
      </c>
      <c r="BR656" s="114">
        <v>9.71</v>
      </c>
      <c r="BS656" s="156">
        <v>2.53</v>
      </c>
      <c r="BT656" s="160">
        <v>12.2</v>
      </c>
      <c r="BU656" s="156">
        <v>1.8</v>
      </c>
      <c r="BV656" s="156">
        <v>5.43</v>
      </c>
      <c r="BW656" s="115"/>
      <c r="BX656" s="114">
        <v>2400.0</v>
      </c>
      <c r="BY656" s="113" t="s">
        <v>123</v>
      </c>
      <c r="BZ656" s="143">
        <v>2400.0</v>
      </c>
      <c r="CA656" s="118"/>
      <c r="CB656" s="145">
        <v>2700.0</v>
      </c>
      <c r="CC656" s="120"/>
      <c r="CD656" s="121">
        <v>2700.0</v>
      </c>
      <c r="CE656" s="146"/>
      <c r="CF656" s="123"/>
      <c r="CG656" s="124">
        <v>0.0</v>
      </c>
      <c r="CH656" s="147">
        <v>0.0</v>
      </c>
      <c r="CI656" s="126">
        <v>4.0</v>
      </c>
      <c r="CJ656" s="126">
        <v>753.0</v>
      </c>
      <c r="CK656" s="127">
        <v>-13.0</v>
      </c>
      <c r="CL656" s="126">
        <v>740.0</v>
      </c>
      <c r="CM656" s="128">
        <v>70.0</v>
      </c>
      <c r="CN656" s="153"/>
      <c r="CO656" s="129">
        <v>17.4</v>
      </c>
      <c r="CP656" s="130">
        <v>0.0</v>
      </c>
      <c r="CQ656" s="126">
        <v>23.0</v>
      </c>
      <c r="CR656" s="126">
        <v>23.0</v>
      </c>
      <c r="CS656" s="126">
        <v>10.0</v>
      </c>
      <c r="CT656" s="131"/>
      <c r="CU656" s="132"/>
      <c r="CV656" s="133"/>
      <c r="CW656" s="134">
        <v>9.0</v>
      </c>
      <c r="CX656" s="134" t="s">
        <v>143</v>
      </c>
      <c r="CY656" s="134" t="s">
        <v>144</v>
      </c>
      <c r="CZ656" s="159" t="s">
        <v>151</v>
      </c>
      <c r="DA656" s="134">
        <v>2700.0</v>
      </c>
      <c r="DB656" s="134">
        <v>0.0</v>
      </c>
      <c r="DC656" s="151" t="s">
        <v>127</v>
      </c>
      <c r="DD656" s="152">
        <v>46213.0</v>
      </c>
      <c r="DE656" s="133"/>
      <c r="DF656" s="133"/>
      <c r="DG656" s="137" t="s">
        <v>128</v>
      </c>
      <c r="DH656" s="137" t="s">
        <v>128</v>
      </c>
      <c r="DI656" s="137" t="s">
        <v>128</v>
      </c>
      <c r="DJ656" s="138">
        <v>1.0</v>
      </c>
      <c r="DK656" s="137" t="b">
        <v>1</v>
      </c>
      <c r="DL656" s="139" t="s">
        <v>1539</v>
      </c>
      <c r="DM656" s="139" t="s">
        <v>131</v>
      </c>
      <c r="DN656" s="139" t="s">
        <v>1540</v>
      </c>
      <c r="DO656" s="138">
        <v>0.0</v>
      </c>
      <c r="DP656" s="137" t="s">
        <v>128</v>
      </c>
      <c r="DQ656" s="137" t="s">
        <v>128</v>
      </c>
      <c r="DR656" s="141"/>
      <c r="DS656" s="137" t="s">
        <v>134</v>
      </c>
    </row>
    <row r="657">
      <c r="A657" s="113" t="s">
        <v>118</v>
      </c>
      <c r="B657" s="114">
        <v>56.0</v>
      </c>
      <c r="C657" s="113" t="s">
        <v>1536</v>
      </c>
      <c r="D657" s="114">
        <v>680603.0</v>
      </c>
      <c r="E657" s="113" t="s">
        <v>182</v>
      </c>
      <c r="F657" s="113" t="s">
        <v>1565</v>
      </c>
      <c r="G657" s="113" t="s">
        <v>1566</v>
      </c>
      <c r="H657" s="114">
        <v>81827.0</v>
      </c>
      <c r="I657" s="114">
        <v>3.0</v>
      </c>
      <c r="J657" s="114">
        <v>0.0</v>
      </c>
      <c r="K657" s="114">
        <v>0.0</v>
      </c>
      <c r="L657" s="114">
        <v>0.0</v>
      </c>
      <c r="M657" s="114">
        <v>0.0</v>
      </c>
      <c r="N657" s="114">
        <v>0.0</v>
      </c>
      <c r="O657" s="114">
        <v>0.0</v>
      </c>
      <c r="P657" s="114">
        <v>0.0</v>
      </c>
      <c r="Q657" s="114">
        <v>0.0</v>
      </c>
      <c r="R657" s="114">
        <v>0.0</v>
      </c>
      <c r="S657" s="114">
        <v>0.0</v>
      </c>
      <c r="T657" s="114">
        <v>0.0</v>
      </c>
      <c r="U657" s="114">
        <v>0.0</v>
      </c>
      <c r="V657" s="114">
        <v>0.0</v>
      </c>
      <c r="W657" s="114">
        <v>1.0</v>
      </c>
      <c r="X657" s="114">
        <v>0.0</v>
      </c>
      <c r="Y657" s="114">
        <v>0.0</v>
      </c>
      <c r="Z657" s="114">
        <v>0.0</v>
      </c>
      <c r="AA657" s="114">
        <v>0.0</v>
      </c>
      <c r="AB657" s="114">
        <v>1.0</v>
      </c>
      <c r="AC657" s="114">
        <v>1.0</v>
      </c>
      <c r="AD657" s="114">
        <v>0.0</v>
      </c>
      <c r="AE657" s="114">
        <v>0.0</v>
      </c>
      <c r="AF657" s="114">
        <v>0.0</v>
      </c>
      <c r="AG657" s="114">
        <v>0.0</v>
      </c>
      <c r="AH657" s="114">
        <v>0.0</v>
      </c>
      <c r="AI657" s="114">
        <v>0.0</v>
      </c>
      <c r="AJ657" s="114">
        <v>0.0</v>
      </c>
      <c r="AK657" s="114">
        <v>0.0</v>
      </c>
      <c r="AL657" s="114">
        <v>0.0</v>
      </c>
      <c r="AM657" s="114">
        <v>0.0</v>
      </c>
      <c r="AN657" s="114">
        <v>0.0</v>
      </c>
      <c r="AO657" s="142">
        <v>17.1</v>
      </c>
      <c r="AP657" s="115"/>
      <c r="AQ657" s="115"/>
      <c r="AR657" s="115"/>
      <c r="AS657" s="115"/>
      <c r="AT657" s="115"/>
      <c r="AU657" s="115"/>
      <c r="AV657" s="115"/>
      <c r="AW657" s="115"/>
      <c r="AX657" s="115"/>
      <c r="AY657" s="115"/>
      <c r="AZ657" s="115"/>
      <c r="BA657" s="115"/>
      <c r="BB657" s="115"/>
      <c r="BC657" s="114">
        <v>16.8</v>
      </c>
      <c r="BD657" s="115"/>
      <c r="BE657" s="115"/>
      <c r="BF657" s="115"/>
      <c r="BG657" s="115"/>
      <c r="BH657" s="114">
        <v>15.35</v>
      </c>
      <c r="BI657" s="114">
        <v>19.1</v>
      </c>
      <c r="BJ657" s="115"/>
      <c r="BK657" s="115"/>
      <c r="BL657" s="115"/>
      <c r="BM657" s="115"/>
      <c r="BN657" s="115"/>
      <c r="BO657" s="115"/>
      <c r="BP657" s="114">
        <v>1.22</v>
      </c>
      <c r="BQ657" s="114">
        <v>7.56</v>
      </c>
      <c r="BR657" s="114">
        <v>8.59</v>
      </c>
      <c r="BS657" s="156">
        <v>2.16</v>
      </c>
      <c r="BT657" s="155">
        <v>16.8</v>
      </c>
      <c r="BU657" s="156">
        <v>2.9</v>
      </c>
      <c r="BV657" s="154">
        <v>6.32</v>
      </c>
      <c r="BW657" s="115"/>
      <c r="BX657" s="114">
        <v>3000.0</v>
      </c>
      <c r="BY657" s="113" t="s">
        <v>123</v>
      </c>
      <c r="BZ657" s="143">
        <v>3000.0</v>
      </c>
      <c r="CA657" s="118"/>
      <c r="CB657" s="145">
        <v>3000.0</v>
      </c>
      <c r="CC657" s="120"/>
      <c r="CD657" s="121">
        <v>3000.0</v>
      </c>
      <c r="CE657" s="146"/>
      <c r="CF657" s="123"/>
      <c r="CG657" s="124">
        <v>0.0</v>
      </c>
      <c r="CH657" s="147">
        <v>0.0</v>
      </c>
      <c r="CI657" s="126">
        <v>3.0</v>
      </c>
      <c r="CJ657" s="126">
        <v>753.0</v>
      </c>
      <c r="CK657" s="127">
        <v>-13.0</v>
      </c>
      <c r="CL657" s="126">
        <v>740.0</v>
      </c>
      <c r="CM657" s="128">
        <v>51.0</v>
      </c>
      <c r="CN657" s="126">
        <v>0.0</v>
      </c>
      <c r="CO657" s="129">
        <v>17.1</v>
      </c>
      <c r="CP657" s="130">
        <v>0.0</v>
      </c>
      <c r="CQ657" s="126">
        <v>4.0</v>
      </c>
      <c r="CR657" s="126">
        <v>4.0</v>
      </c>
      <c r="CS657" s="126">
        <v>6.0</v>
      </c>
      <c r="CT657" s="131"/>
      <c r="CU657" s="132"/>
      <c r="CV657" s="133"/>
      <c r="CW657" s="134">
        <v>10.0</v>
      </c>
      <c r="CX657" s="134" t="s">
        <v>138</v>
      </c>
      <c r="CY657" s="134" t="s">
        <v>139</v>
      </c>
      <c r="CZ657" s="135"/>
      <c r="DA657" s="134">
        <v>3000.0</v>
      </c>
      <c r="DB657" s="134">
        <v>0.0</v>
      </c>
      <c r="DC657" s="151" t="s">
        <v>127</v>
      </c>
      <c r="DD657" s="152">
        <v>46240.0</v>
      </c>
      <c r="DE657" s="133"/>
      <c r="DF657" s="133"/>
      <c r="DG657" s="137" t="s">
        <v>128</v>
      </c>
      <c r="DH657" s="137" t="s">
        <v>128</v>
      </c>
      <c r="DI657" s="137" t="s">
        <v>128</v>
      </c>
      <c r="DJ657" s="138">
        <v>1.0</v>
      </c>
      <c r="DK657" s="137" t="b">
        <v>0</v>
      </c>
      <c r="DL657" s="139" t="s">
        <v>1539</v>
      </c>
      <c r="DM657" s="139" t="s">
        <v>131</v>
      </c>
      <c r="DN657" s="139" t="s">
        <v>1540</v>
      </c>
      <c r="DO657" s="138">
        <v>0.0</v>
      </c>
      <c r="DP657" s="137" t="s">
        <v>128</v>
      </c>
      <c r="DQ657" s="137" t="s">
        <v>128</v>
      </c>
      <c r="DR657" s="141"/>
      <c r="DS657" s="137" t="s">
        <v>134</v>
      </c>
    </row>
    <row r="658">
      <c r="A658" s="113" t="s">
        <v>118</v>
      </c>
      <c r="B658" s="114">
        <v>56.0</v>
      </c>
      <c r="C658" s="113" t="s">
        <v>1536</v>
      </c>
      <c r="D658" s="114">
        <v>576393.0</v>
      </c>
      <c r="E658" s="113" t="s">
        <v>164</v>
      </c>
      <c r="F658" s="113" t="s">
        <v>1567</v>
      </c>
      <c r="G658" s="113" t="s">
        <v>1568</v>
      </c>
      <c r="H658" s="114">
        <v>81827.0</v>
      </c>
      <c r="I658" s="114">
        <v>4.0</v>
      </c>
      <c r="J658" s="114">
        <v>0.0</v>
      </c>
      <c r="K658" s="114">
        <v>0.0</v>
      </c>
      <c r="L658" s="114">
        <v>0.0</v>
      </c>
      <c r="M658" s="114">
        <v>0.0</v>
      </c>
      <c r="N658" s="114">
        <v>0.0</v>
      </c>
      <c r="O658" s="114">
        <v>0.0</v>
      </c>
      <c r="P658" s="114">
        <v>0.0</v>
      </c>
      <c r="Q658" s="114">
        <v>1.0</v>
      </c>
      <c r="R658" s="114">
        <v>0.0</v>
      </c>
      <c r="S658" s="114">
        <v>0.0</v>
      </c>
      <c r="T658" s="114">
        <v>0.0</v>
      </c>
      <c r="U658" s="114">
        <v>0.0</v>
      </c>
      <c r="V658" s="114">
        <v>0.0</v>
      </c>
      <c r="W658" s="114">
        <v>0.0</v>
      </c>
      <c r="X658" s="114">
        <v>0.0</v>
      </c>
      <c r="Y658" s="114">
        <v>0.0</v>
      </c>
      <c r="Z658" s="114">
        <v>0.0</v>
      </c>
      <c r="AA658" s="114">
        <v>1.0</v>
      </c>
      <c r="AB658" s="114">
        <v>1.0</v>
      </c>
      <c r="AC658" s="114">
        <v>0.0</v>
      </c>
      <c r="AD658" s="114">
        <v>0.0</v>
      </c>
      <c r="AE658" s="114">
        <v>1.0</v>
      </c>
      <c r="AF658" s="114">
        <v>0.0</v>
      </c>
      <c r="AG658" s="114">
        <v>0.0</v>
      </c>
      <c r="AH658" s="114">
        <v>0.0</v>
      </c>
      <c r="AI658" s="114">
        <v>0.0</v>
      </c>
      <c r="AJ658" s="114">
        <v>0.0</v>
      </c>
      <c r="AK658" s="114">
        <v>0.0</v>
      </c>
      <c r="AL658" s="114">
        <v>0.0</v>
      </c>
      <c r="AM658" s="114">
        <v>0.0</v>
      </c>
      <c r="AN658" s="114">
        <v>0.0</v>
      </c>
      <c r="AO658" s="142">
        <v>17.3</v>
      </c>
      <c r="AP658" s="115"/>
      <c r="AQ658" s="115"/>
      <c r="AR658" s="115"/>
      <c r="AS658" s="115"/>
      <c r="AT658" s="115"/>
      <c r="AU658" s="115"/>
      <c r="AV658" s="115"/>
      <c r="AW658" s="114">
        <v>14.45</v>
      </c>
      <c r="AX658" s="115"/>
      <c r="AY658" s="115"/>
      <c r="AZ658" s="115"/>
      <c r="BA658" s="115"/>
      <c r="BB658" s="115"/>
      <c r="BC658" s="115"/>
      <c r="BD658" s="115"/>
      <c r="BE658" s="115"/>
      <c r="BF658" s="115"/>
      <c r="BG658" s="114">
        <v>16.52</v>
      </c>
      <c r="BH658" s="114">
        <v>15.72</v>
      </c>
      <c r="BI658" s="115"/>
      <c r="BJ658" s="115"/>
      <c r="BK658" s="114">
        <v>22.4</v>
      </c>
      <c r="BL658" s="115"/>
      <c r="BM658" s="115"/>
      <c r="BN658" s="115"/>
      <c r="BO658" s="115"/>
      <c r="BP658" s="114">
        <v>2.58</v>
      </c>
      <c r="BQ658" s="114">
        <v>5.6</v>
      </c>
      <c r="BR658" s="114">
        <v>7.96</v>
      </c>
      <c r="BS658" s="156">
        <v>2.06</v>
      </c>
      <c r="BT658" s="148">
        <v>17.8</v>
      </c>
      <c r="BU658" s="156">
        <v>1.2</v>
      </c>
      <c r="BV658" s="154">
        <v>6.67</v>
      </c>
      <c r="BW658" s="115"/>
      <c r="BX658" s="114">
        <v>2700.0</v>
      </c>
      <c r="BY658" s="113" t="s">
        <v>123</v>
      </c>
      <c r="BZ658" s="143">
        <v>2700.0</v>
      </c>
      <c r="CA658" s="118"/>
      <c r="CB658" s="145">
        <v>3000.0</v>
      </c>
      <c r="CC658" s="120"/>
      <c r="CD658" s="121">
        <v>3000.0</v>
      </c>
      <c r="CE658" s="146"/>
      <c r="CF658" s="123"/>
      <c r="CG658" s="124">
        <v>0.0</v>
      </c>
      <c r="CH658" s="147">
        <v>0.0</v>
      </c>
      <c r="CI658" s="126">
        <v>4.0</v>
      </c>
      <c r="CJ658" s="126">
        <v>753.0</v>
      </c>
      <c r="CK658" s="127">
        <v>-13.0</v>
      </c>
      <c r="CL658" s="126">
        <v>740.0</v>
      </c>
      <c r="CM658" s="128">
        <v>69.0</v>
      </c>
      <c r="CN658" s="153"/>
      <c r="CO658" s="129">
        <v>17.3</v>
      </c>
      <c r="CP658" s="130">
        <v>0.0</v>
      </c>
      <c r="CQ658" s="126">
        <v>10.0</v>
      </c>
      <c r="CR658" s="126">
        <v>10.0</v>
      </c>
      <c r="CS658" s="126">
        <v>8.0</v>
      </c>
      <c r="CT658" s="131"/>
      <c r="CU658" s="132"/>
      <c r="CV658" s="133"/>
      <c r="CW658" s="134">
        <v>10.0</v>
      </c>
      <c r="CX658" s="134" t="s">
        <v>138</v>
      </c>
      <c r="CY658" s="134" t="s">
        <v>139</v>
      </c>
      <c r="CZ658" s="159" t="s">
        <v>151</v>
      </c>
      <c r="DA658" s="134">
        <v>3000.0</v>
      </c>
      <c r="DB658" s="134">
        <v>0.0</v>
      </c>
      <c r="DC658" s="151" t="s">
        <v>127</v>
      </c>
      <c r="DD658" s="152">
        <v>46245.0</v>
      </c>
      <c r="DE658" s="133"/>
      <c r="DF658" s="133"/>
      <c r="DG658" s="137" t="s">
        <v>128</v>
      </c>
      <c r="DH658" s="137" t="s">
        <v>128</v>
      </c>
      <c r="DI658" s="137" t="s">
        <v>128</v>
      </c>
      <c r="DJ658" s="138">
        <v>0.8333</v>
      </c>
      <c r="DK658" s="137" t="b">
        <v>0</v>
      </c>
      <c r="DL658" s="139" t="s">
        <v>1539</v>
      </c>
      <c r="DM658" s="139" t="s">
        <v>131</v>
      </c>
      <c r="DN658" s="139" t="s">
        <v>1540</v>
      </c>
      <c r="DO658" s="138">
        <v>0.0</v>
      </c>
      <c r="DP658" s="137" t="s">
        <v>128</v>
      </c>
      <c r="DQ658" s="137" t="s">
        <v>128</v>
      </c>
      <c r="DR658" s="141"/>
      <c r="DS658" s="137" t="s">
        <v>134</v>
      </c>
    </row>
    <row r="659">
      <c r="A659" s="113" t="s">
        <v>118</v>
      </c>
      <c r="B659" s="114">
        <v>56.0</v>
      </c>
      <c r="C659" s="113" t="s">
        <v>1536</v>
      </c>
      <c r="D659" s="114">
        <v>641892.0</v>
      </c>
      <c r="E659" s="113" t="s">
        <v>170</v>
      </c>
      <c r="F659" s="113" t="s">
        <v>1569</v>
      </c>
      <c r="G659" s="113" t="s">
        <v>1570</v>
      </c>
      <c r="H659" s="114">
        <v>81827.0</v>
      </c>
      <c r="I659" s="114">
        <v>4.0</v>
      </c>
      <c r="J659" s="114">
        <v>0.0</v>
      </c>
      <c r="K659" s="114">
        <v>0.0</v>
      </c>
      <c r="L659" s="114">
        <v>0.0</v>
      </c>
      <c r="M659" s="114">
        <v>0.0</v>
      </c>
      <c r="N659" s="114">
        <v>0.0</v>
      </c>
      <c r="O659" s="114">
        <v>0.0</v>
      </c>
      <c r="P659" s="114">
        <v>0.0</v>
      </c>
      <c r="Q659" s="114">
        <v>0.0</v>
      </c>
      <c r="R659" s="114">
        <v>0.0</v>
      </c>
      <c r="S659" s="114">
        <v>0.0</v>
      </c>
      <c r="T659" s="114">
        <v>0.0</v>
      </c>
      <c r="U659" s="114">
        <v>0.0</v>
      </c>
      <c r="V659" s="114">
        <v>0.0</v>
      </c>
      <c r="W659" s="114">
        <v>0.0</v>
      </c>
      <c r="X659" s="114">
        <v>0.0</v>
      </c>
      <c r="Y659" s="114">
        <v>1.0</v>
      </c>
      <c r="Z659" s="114">
        <v>0.0</v>
      </c>
      <c r="AA659" s="114">
        <v>0.0</v>
      </c>
      <c r="AB659" s="114">
        <v>0.0</v>
      </c>
      <c r="AC659" s="114">
        <v>0.0</v>
      </c>
      <c r="AD659" s="114">
        <v>0.0</v>
      </c>
      <c r="AE659" s="114">
        <v>1.0</v>
      </c>
      <c r="AF659" s="114">
        <v>1.0</v>
      </c>
      <c r="AG659" s="114">
        <v>0.0</v>
      </c>
      <c r="AH659" s="114">
        <v>1.0</v>
      </c>
      <c r="AI659" s="114">
        <v>0.0</v>
      </c>
      <c r="AJ659" s="114">
        <v>0.0</v>
      </c>
      <c r="AK659" s="114">
        <v>0.0</v>
      </c>
      <c r="AL659" s="114">
        <v>0.0</v>
      </c>
      <c r="AM659" s="114">
        <v>0.0</v>
      </c>
      <c r="AN659" s="114">
        <v>0.0</v>
      </c>
      <c r="AO659" s="154">
        <v>16.9</v>
      </c>
      <c r="AP659" s="115"/>
      <c r="AQ659" s="115"/>
      <c r="AR659" s="115"/>
      <c r="AS659" s="115"/>
      <c r="AT659" s="115"/>
      <c r="AU659" s="115"/>
      <c r="AV659" s="115"/>
      <c r="AW659" s="115"/>
      <c r="AX659" s="115"/>
      <c r="AY659" s="115"/>
      <c r="AZ659" s="115"/>
      <c r="BA659" s="115"/>
      <c r="BB659" s="115"/>
      <c r="BC659" s="115"/>
      <c r="BD659" s="115"/>
      <c r="BE659" s="114">
        <v>17.9</v>
      </c>
      <c r="BF659" s="115"/>
      <c r="BG659" s="115"/>
      <c r="BH659" s="115"/>
      <c r="BI659" s="115"/>
      <c r="BJ659" s="115"/>
      <c r="BK659" s="114">
        <v>15.8</v>
      </c>
      <c r="BL659" s="114">
        <v>18.88</v>
      </c>
      <c r="BM659" s="115"/>
      <c r="BN659" s="114">
        <v>15.17</v>
      </c>
      <c r="BO659" s="115"/>
      <c r="BP659" s="114">
        <v>1.43</v>
      </c>
      <c r="BQ659" s="114">
        <v>5.83</v>
      </c>
      <c r="BR659" s="114">
        <v>7.05</v>
      </c>
      <c r="BS659" s="156">
        <v>1.24</v>
      </c>
      <c r="BT659" s="148">
        <v>17.0</v>
      </c>
      <c r="BU659" s="156">
        <v>1.4</v>
      </c>
      <c r="BV659" s="142">
        <v>10.68</v>
      </c>
      <c r="BW659" s="115"/>
      <c r="BX659" s="114">
        <v>3000.0</v>
      </c>
      <c r="BY659" s="113" t="s">
        <v>123</v>
      </c>
      <c r="BZ659" s="143">
        <v>2700.0</v>
      </c>
      <c r="CA659" s="144" t="s">
        <v>124</v>
      </c>
      <c r="CB659" s="145">
        <v>3000.0</v>
      </c>
      <c r="CC659" s="120"/>
      <c r="CD659" s="121">
        <v>3000.0</v>
      </c>
      <c r="CE659" s="146"/>
      <c r="CF659" s="123"/>
      <c r="CG659" s="124">
        <v>0.0</v>
      </c>
      <c r="CH659" s="147">
        <v>0.0</v>
      </c>
      <c r="CI659" s="126">
        <v>4.0</v>
      </c>
      <c r="CJ659" s="126">
        <v>753.0</v>
      </c>
      <c r="CK659" s="127">
        <v>-13.0</v>
      </c>
      <c r="CL659" s="126">
        <v>740.0</v>
      </c>
      <c r="CM659" s="128">
        <v>68.0</v>
      </c>
      <c r="CN659" s="126">
        <v>0.0</v>
      </c>
      <c r="CO659" s="129">
        <v>16.9</v>
      </c>
      <c r="CP659" s="130">
        <v>0.0</v>
      </c>
      <c r="CQ659" s="126">
        <v>6.0</v>
      </c>
      <c r="CR659" s="126">
        <v>6.0</v>
      </c>
      <c r="CS659" s="126">
        <v>5.0</v>
      </c>
      <c r="CT659" s="131"/>
      <c r="CU659" s="132"/>
      <c r="CV659" s="133"/>
      <c r="CW659" s="134">
        <v>10.0</v>
      </c>
      <c r="CX659" s="134" t="s">
        <v>138</v>
      </c>
      <c r="CY659" s="134" t="s">
        <v>139</v>
      </c>
      <c r="CZ659" s="135"/>
      <c r="DA659" s="134">
        <v>3000.0</v>
      </c>
      <c r="DB659" s="134">
        <v>0.0</v>
      </c>
      <c r="DC659" s="151" t="s">
        <v>127</v>
      </c>
      <c r="DD659" s="152">
        <v>46233.0</v>
      </c>
      <c r="DE659" s="133"/>
      <c r="DF659" s="133"/>
      <c r="DG659" s="137" t="s">
        <v>128</v>
      </c>
      <c r="DH659" s="137" t="s">
        <v>128</v>
      </c>
      <c r="DI659" s="137" t="s">
        <v>128</v>
      </c>
      <c r="DJ659" s="138">
        <v>1.0</v>
      </c>
      <c r="DK659" s="137" t="b">
        <v>0</v>
      </c>
      <c r="DL659" s="139" t="s">
        <v>1539</v>
      </c>
      <c r="DM659" s="139" t="s">
        <v>131</v>
      </c>
      <c r="DN659" s="139" t="s">
        <v>1540</v>
      </c>
      <c r="DO659" s="138">
        <v>0.0</v>
      </c>
      <c r="DP659" s="137" t="s">
        <v>128</v>
      </c>
      <c r="DQ659" s="137" t="s">
        <v>128</v>
      </c>
      <c r="DR659" s="141"/>
      <c r="DS659" s="137" t="s">
        <v>134</v>
      </c>
    </row>
    <row r="660">
      <c r="A660" s="113" t="s">
        <v>118</v>
      </c>
      <c r="B660" s="114">
        <v>56.0</v>
      </c>
      <c r="C660" s="113" t="s">
        <v>1536</v>
      </c>
      <c r="D660" s="114">
        <v>604008.0</v>
      </c>
      <c r="E660" s="113" t="s">
        <v>176</v>
      </c>
      <c r="F660" s="113" t="s">
        <v>1571</v>
      </c>
      <c r="G660" s="113" t="s">
        <v>1572</v>
      </c>
      <c r="H660" s="114">
        <v>81827.0</v>
      </c>
      <c r="I660" s="114">
        <v>1.0</v>
      </c>
      <c r="J660" s="114">
        <v>0.0</v>
      </c>
      <c r="K660" s="114">
        <v>0.0</v>
      </c>
      <c r="L660" s="114">
        <v>0.0</v>
      </c>
      <c r="M660" s="114">
        <v>0.0</v>
      </c>
      <c r="N660" s="114">
        <v>0.0</v>
      </c>
      <c r="O660" s="114">
        <v>0.0</v>
      </c>
      <c r="P660" s="114">
        <v>0.0</v>
      </c>
      <c r="Q660" s="114">
        <v>0.0</v>
      </c>
      <c r="R660" s="114">
        <v>0.0</v>
      </c>
      <c r="S660" s="114">
        <v>0.0</v>
      </c>
      <c r="T660" s="114">
        <v>0.0</v>
      </c>
      <c r="U660" s="114">
        <v>0.0</v>
      </c>
      <c r="V660" s="114">
        <v>0.0</v>
      </c>
      <c r="W660" s="114">
        <v>0.0</v>
      </c>
      <c r="X660" s="114">
        <v>0.0</v>
      </c>
      <c r="Y660" s="114">
        <v>1.0</v>
      </c>
      <c r="Z660" s="114">
        <v>0.0</v>
      </c>
      <c r="AA660" s="114">
        <v>0.0</v>
      </c>
      <c r="AB660" s="114">
        <v>0.0</v>
      </c>
      <c r="AC660" s="114">
        <v>0.0</v>
      </c>
      <c r="AD660" s="114">
        <v>0.0</v>
      </c>
      <c r="AE660" s="114">
        <v>0.0</v>
      </c>
      <c r="AF660" s="114">
        <v>0.0</v>
      </c>
      <c r="AG660" s="114">
        <v>0.0</v>
      </c>
      <c r="AH660" s="114">
        <v>0.0</v>
      </c>
      <c r="AI660" s="114">
        <v>0.0</v>
      </c>
      <c r="AJ660" s="114">
        <v>0.0</v>
      </c>
      <c r="AK660" s="114">
        <v>0.0</v>
      </c>
      <c r="AL660" s="114">
        <v>0.0</v>
      </c>
      <c r="AM660" s="114">
        <v>0.0</v>
      </c>
      <c r="AN660" s="114">
        <v>0.0</v>
      </c>
      <c r="AO660" s="142">
        <v>65.9</v>
      </c>
      <c r="AP660" s="115"/>
      <c r="AQ660" s="115"/>
      <c r="AR660" s="115"/>
      <c r="AS660" s="115"/>
      <c r="AT660" s="115"/>
      <c r="AU660" s="115"/>
      <c r="AV660" s="115"/>
      <c r="AW660" s="115"/>
      <c r="AX660" s="115"/>
      <c r="AY660" s="115"/>
      <c r="AZ660" s="115"/>
      <c r="BA660" s="115"/>
      <c r="BB660" s="115"/>
      <c r="BC660" s="115"/>
      <c r="BD660" s="115"/>
      <c r="BE660" s="114">
        <v>65.9</v>
      </c>
      <c r="BF660" s="115"/>
      <c r="BG660" s="115"/>
      <c r="BH660" s="115"/>
      <c r="BI660" s="115"/>
      <c r="BJ660" s="115"/>
      <c r="BK660" s="115"/>
      <c r="BL660" s="115"/>
      <c r="BM660" s="115"/>
      <c r="BN660" s="115"/>
      <c r="BO660" s="115"/>
      <c r="BP660" s="114">
        <v>42.58</v>
      </c>
      <c r="BQ660" s="114">
        <v>13.8</v>
      </c>
      <c r="BR660" s="114">
        <v>56.1</v>
      </c>
      <c r="BS660" s="156">
        <v>0.8</v>
      </c>
      <c r="BT660" s="116"/>
      <c r="BU660" s="115"/>
      <c r="BV660" s="115"/>
      <c r="BW660" s="115"/>
      <c r="BX660" s="114">
        <v>2700.0</v>
      </c>
      <c r="BY660" s="113" t="s">
        <v>123</v>
      </c>
      <c r="BZ660" s="143">
        <v>2400.0</v>
      </c>
      <c r="CA660" s="144" t="s">
        <v>124</v>
      </c>
      <c r="CB660" s="145">
        <v>2700.0</v>
      </c>
      <c r="CC660" s="120"/>
      <c r="CD660" s="121">
        <v>2700.0</v>
      </c>
      <c r="CE660" s="146"/>
      <c r="CF660" s="123"/>
      <c r="CG660" s="124">
        <v>0.0</v>
      </c>
      <c r="CH660" s="147">
        <v>0.0</v>
      </c>
      <c r="CI660" s="126">
        <v>1.0</v>
      </c>
      <c r="CJ660" s="126">
        <v>753.0</v>
      </c>
      <c r="CK660" s="127">
        <v>-13.0</v>
      </c>
      <c r="CL660" s="126">
        <v>740.0</v>
      </c>
      <c r="CM660" s="128">
        <v>66.0</v>
      </c>
      <c r="CN660" s="126">
        <v>0.0</v>
      </c>
      <c r="CO660" s="129">
        <v>65.9</v>
      </c>
      <c r="CP660" s="130">
        <v>0.0</v>
      </c>
      <c r="CQ660" s="126">
        <v>43.0</v>
      </c>
      <c r="CR660" s="126">
        <v>43.0</v>
      </c>
      <c r="CS660" s="126">
        <v>1.0</v>
      </c>
      <c r="CT660" s="131"/>
      <c r="CU660" s="132"/>
      <c r="CV660" s="133"/>
      <c r="CW660" s="134">
        <v>9.0</v>
      </c>
      <c r="CX660" s="134" t="s">
        <v>143</v>
      </c>
      <c r="CY660" s="134" t="s">
        <v>144</v>
      </c>
      <c r="CZ660" s="135"/>
      <c r="DA660" s="134">
        <v>2700.0</v>
      </c>
      <c r="DB660" s="134">
        <v>0.0</v>
      </c>
      <c r="DC660" s="133"/>
      <c r="DD660" s="136"/>
      <c r="DE660" s="133"/>
      <c r="DF660" s="133"/>
      <c r="DG660" s="137" t="s">
        <v>128</v>
      </c>
      <c r="DH660" s="137" t="s">
        <v>128</v>
      </c>
      <c r="DI660" s="137" t="s">
        <v>129</v>
      </c>
      <c r="DJ660" s="138">
        <v>0.0</v>
      </c>
      <c r="DK660" s="137" t="b">
        <v>0</v>
      </c>
      <c r="DL660" s="139" t="s">
        <v>1539</v>
      </c>
      <c r="DM660" s="139" t="s">
        <v>131</v>
      </c>
      <c r="DN660" s="139" t="s">
        <v>1540</v>
      </c>
      <c r="DO660" s="138">
        <v>0.0</v>
      </c>
      <c r="DP660" s="137" t="s">
        <v>128</v>
      </c>
      <c r="DQ660" s="137" t="s">
        <v>133</v>
      </c>
      <c r="DR660" s="141"/>
      <c r="DS660" s="137" t="s">
        <v>134</v>
      </c>
    </row>
    <row r="661">
      <c r="A661" s="113" t="s">
        <v>118</v>
      </c>
      <c r="B661" s="114">
        <v>56.0</v>
      </c>
      <c r="C661" s="113" t="s">
        <v>1536</v>
      </c>
      <c r="D661" s="114">
        <v>536832.0</v>
      </c>
      <c r="E661" s="113" t="s">
        <v>158</v>
      </c>
      <c r="F661" s="113" t="s">
        <v>1573</v>
      </c>
      <c r="G661" s="113" t="s">
        <v>1574</v>
      </c>
      <c r="H661" s="114">
        <v>81827.0</v>
      </c>
      <c r="I661" s="114">
        <v>1.0</v>
      </c>
      <c r="J661" s="114">
        <v>0.0</v>
      </c>
      <c r="K661" s="114">
        <v>0.0</v>
      </c>
      <c r="L661" s="114">
        <v>0.0</v>
      </c>
      <c r="M661" s="114">
        <v>1.0</v>
      </c>
      <c r="N661" s="114">
        <v>0.0</v>
      </c>
      <c r="O661" s="114">
        <v>0.0</v>
      </c>
      <c r="P661" s="114">
        <v>0.0</v>
      </c>
      <c r="Q661" s="114">
        <v>0.0</v>
      </c>
      <c r="R661" s="114">
        <v>0.0</v>
      </c>
      <c r="S661" s="114">
        <v>0.0</v>
      </c>
      <c r="T661" s="114">
        <v>0.0</v>
      </c>
      <c r="U661" s="114">
        <v>0.0</v>
      </c>
      <c r="V661" s="114">
        <v>0.0</v>
      </c>
      <c r="W661" s="114">
        <v>0.0</v>
      </c>
      <c r="X661" s="114">
        <v>0.0</v>
      </c>
      <c r="Y661" s="114">
        <v>0.0</v>
      </c>
      <c r="Z661" s="114">
        <v>0.0</v>
      </c>
      <c r="AA661" s="114">
        <v>0.0</v>
      </c>
      <c r="AB661" s="114">
        <v>0.0</v>
      </c>
      <c r="AC661" s="114">
        <v>0.0</v>
      </c>
      <c r="AD661" s="114">
        <v>0.0</v>
      </c>
      <c r="AE661" s="114">
        <v>0.0</v>
      </c>
      <c r="AF661" s="114">
        <v>0.0</v>
      </c>
      <c r="AG661" s="114">
        <v>0.0</v>
      </c>
      <c r="AH661" s="114">
        <v>0.0</v>
      </c>
      <c r="AI661" s="114">
        <v>0.0</v>
      </c>
      <c r="AJ661" s="114">
        <v>0.0</v>
      </c>
      <c r="AK661" s="114">
        <v>0.0</v>
      </c>
      <c r="AL661" s="114">
        <v>0.0</v>
      </c>
      <c r="AM661" s="114">
        <v>0.0</v>
      </c>
      <c r="AN661" s="114">
        <v>0.0</v>
      </c>
      <c r="AO661" s="115"/>
      <c r="AP661" s="115"/>
      <c r="AQ661" s="115"/>
      <c r="AR661" s="115"/>
      <c r="AS661" s="115"/>
      <c r="AT661" s="115"/>
      <c r="AU661" s="115"/>
      <c r="AV661" s="115"/>
      <c r="AW661" s="115"/>
      <c r="AX661" s="115"/>
      <c r="AY661" s="115"/>
      <c r="AZ661" s="115"/>
      <c r="BA661" s="115"/>
      <c r="BB661" s="115"/>
      <c r="BC661" s="115"/>
      <c r="BD661" s="115"/>
      <c r="BE661" s="115"/>
      <c r="BF661" s="115"/>
      <c r="BG661" s="115"/>
      <c r="BH661" s="115"/>
      <c r="BI661" s="115"/>
      <c r="BJ661" s="115"/>
      <c r="BK661" s="115"/>
      <c r="BL661" s="115"/>
      <c r="BM661" s="115"/>
      <c r="BN661" s="115"/>
      <c r="BO661" s="115"/>
      <c r="BP661" s="114">
        <v>0.98</v>
      </c>
      <c r="BQ661" s="114">
        <v>9.62</v>
      </c>
      <c r="BR661" s="115"/>
      <c r="BS661" s="115"/>
      <c r="BT661" s="116"/>
      <c r="BU661" s="115"/>
      <c r="BV661" s="115"/>
      <c r="BW661" s="115"/>
      <c r="BX661" s="114">
        <v>2400.0</v>
      </c>
      <c r="BY661" s="113" t="s">
        <v>123</v>
      </c>
      <c r="BZ661" s="143">
        <v>2400.0</v>
      </c>
      <c r="CA661" s="118"/>
      <c r="CB661" s="145">
        <v>2700.0</v>
      </c>
      <c r="CC661" s="120"/>
      <c r="CD661" s="121">
        <v>2700.0</v>
      </c>
      <c r="CE661" s="146"/>
      <c r="CF661" s="123"/>
      <c r="CG661" s="124">
        <v>0.0</v>
      </c>
      <c r="CH661" s="147">
        <v>0.0</v>
      </c>
      <c r="CI661" s="126">
        <v>1.0</v>
      </c>
      <c r="CJ661" s="126">
        <v>753.0</v>
      </c>
      <c r="CK661" s="127">
        <v>-13.0</v>
      </c>
      <c r="CL661" s="126">
        <v>740.0</v>
      </c>
      <c r="CM661" s="128">
        <v>0.0</v>
      </c>
      <c r="CN661" s="153"/>
      <c r="CO661" s="129">
        <v>0.0</v>
      </c>
      <c r="CP661" s="130">
        <v>0.0</v>
      </c>
      <c r="CQ661" s="126">
        <v>1.0</v>
      </c>
      <c r="CR661" s="126">
        <v>1.0</v>
      </c>
      <c r="CS661" s="126">
        <v>0.0</v>
      </c>
      <c r="CT661" s="131"/>
      <c r="CU661" s="132"/>
      <c r="CV661" s="133"/>
      <c r="CW661" s="134">
        <v>9.0</v>
      </c>
      <c r="CX661" s="134" t="s">
        <v>143</v>
      </c>
      <c r="CY661" s="134" t="s">
        <v>144</v>
      </c>
      <c r="CZ661" s="159" t="s">
        <v>151</v>
      </c>
      <c r="DA661" s="134">
        <v>2700.0</v>
      </c>
      <c r="DB661" s="134">
        <v>0.0</v>
      </c>
      <c r="DC661" s="133"/>
      <c r="DD661" s="136"/>
      <c r="DE661" s="133"/>
      <c r="DF661" s="133"/>
      <c r="DG661" s="137" t="s">
        <v>128</v>
      </c>
      <c r="DH661" s="137" t="s">
        <v>128</v>
      </c>
      <c r="DI661" s="137" t="s">
        <v>359</v>
      </c>
      <c r="DJ661" s="138">
        <v>1.0</v>
      </c>
      <c r="DK661" s="137" t="b">
        <v>0</v>
      </c>
      <c r="DL661" s="139" t="s">
        <v>1539</v>
      </c>
      <c r="DM661" s="139" t="s">
        <v>131</v>
      </c>
      <c r="DN661" s="139" t="s">
        <v>1540</v>
      </c>
      <c r="DO661" s="138">
        <v>0.0</v>
      </c>
      <c r="DP661" s="137" t="s">
        <v>359</v>
      </c>
      <c r="DQ661" s="137" t="s">
        <v>359</v>
      </c>
      <c r="DR661" s="141"/>
      <c r="DS661" s="137" t="s">
        <v>134</v>
      </c>
    </row>
    <row r="662">
      <c r="A662" s="113" t="s">
        <v>118</v>
      </c>
      <c r="B662" s="114">
        <v>56.0</v>
      </c>
      <c r="C662" s="113" t="s">
        <v>1536</v>
      </c>
      <c r="D662" s="114">
        <v>680909.0</v>
      </c>
      <c r="E662" s="113" t="s">
        <v>288</v>
      </c>
      <c r="F662" s="113" t="s">
        <v>1575</v>
      </c>
      <c r="G662" s="113" t="s">
        <v>1576</v>
      </c>
      <c r="H662" s="114">
        <v>81827.0</v>
      </c>
      <c r="I662" s="115"/>
      <c r="J662" s="115"/>
      <c r="K662" s="115"/>
      <c r="L662" s="115"/>
      <c r="M662" s="115"/>
      <c r="N662" s="115"/>
      <c r="O662" s="115"/>
      <c r="P662" s="115"/>
      <c r="Q662" s="115"/>
      <c r="R662" s="115"/>
      <c r="S662" s="115"/>
      <c r="T662" s="115"/>
      <c r="U662" s="115"/>
      <c r="V662" s="115"/>
      <c r="W662" s="115"/>
      <c r="X662" s="115"/>
      <c r="Y662" s="115"/>
      <c r="Z662" s="115"/>
      <c r="AA662" s="115"/>
      <c r="AB662" s="115"/>
      <c r="AC662" s="115"/>
      <c r="AD662" s="115"/>
      <c r="AE662" s="115"/>
      <c r="AF662" s="115"/>
      <c r="AG662" s="115"/>
      <c r="AH662" s="115"/>
      <c r="AI662" s="115"/>
      <c r="AJ662" s="115"/>
      <c r="AK662" s="115"/>
      <c r="AL662" s="115"/>
      <c r="AM662" s="115"/>
      <c r="AN662" s="115"/>
      <c r="AO662" s="115"/>
      <c r="AP662" s="115"/>
      <c r="AQ662" s="115"/>
      <c r="AR662" s="115"/>
      <c r="AS662" s="115"/>
      <c r="AT662" s="115"/>
      <c r="AU662" s="115"/>
      <c r="AV662" s="115"/>
      <c r="AW662" s="115"/>
      <c r="AX662" s="115"/>
      <c r="AY662" s="115"/>
      <c r="AZ662" s="115"/>
      <c r="BA662" s="115"/>
      <c r="BB662" s="115"/>
      <c r="BC662" s="115"/>
      <c r="BD662" s="115"/>
      <c r="BE662" s="115"/>
      <c r="BF662" s="115"/>
      <c r="BG662" s="115"/>
      <c r="BH662" s="115"/>
      <c r="BI662" s="115"/>
      <c r="BJ662" s="115"/>
      <c r="BK662" s="115"/>
      <c r="BL662" s="115"/>
      <c r="BM662" s="115"/>
      <c r="BN662" s="115"/>
      <c r="BO662" s="115"/>
      <c r="BP662" s="115"/>
      <c r="BQ662" s="115"/>
      <c r="BR662" s="115"/>
      <c r="BS662" s="115"/>
      <c r="BT662" s="116"/>
      <c r="BU662" s="115"/>
      <c r="BV662" s="115"/>
      <c r="BW662" s="115"/>
      <c r="BX662" s="114">
        <v>2100.0</v>
      </c>
      <c r="BY662" s="113" t="s">
        <v>123</v>
      </c>
      <c r="BZ662" s="143">
        <v>2100.0</v>
      </c>
      <c r="CA662" s="118"/>
      <c r="CB662" s="119"/>
      <c r="CC662" s="120"/>
      <c r="CD662" s="121">
        <v>2100.0</v>
      </c>
      <c r="CE662" s="146"/>
      <c r="CF662" s="123"/>
      <c r="CG662" s="124">
        <v>0.0</v>
      </c>
      <c r="CH662" s="125"/>
      <c r="CI662" s="126">
        <v>0.0</v>
      </c>
      <c r="CJ662" s="126">
        <v>753.0</v>
      </c>
      <c r="CK662" s="127">
        <v>-13.0</v>
      </c>
      <c r="CL662" s="126">
        <v>740.0</v>
      </c>
      <c r="CM662" s="128">
        <v>0.0</v>
      </c>
      <c r="CN662" s="126">
        <v>0.0</v>
      </c>
      <c r="CO662" s="129">
        <v>0.0</v>
      </c>
      <c r="CP662" s="130">
        <v>0.0</v>
      </c>
      <c r="CQ662" s="126">
        <v>0.0</v>
      </c>
      <c r="CR662" s="126">
        <v>0.0</v>
      </c>
      <c r="CS662" s="126">
        <v>0.0</v>
      </c>
      <c r="CT662" s="131"/>
      <c r="CU662" s="132"/>
      <c r="CV662" s="133"/>
      <c r="CW662" s="134">
        <v>7.0</v>
      </c>
      <c r="CX662" s="134" t="s">
        <v>201</v>
      </c>
      <c r="CY662" s="134" t="s">
        <v>202</v>
      </c>
      <c r="CZ662" s="135"/>
      <c r="DA662" s="133"/>
      <c r="DB662" s="134">
        <v>0.0</v>
      </c>
      <c r="DC662" s="133"/>
      <c r="DD662" s="136"/>
      <c r="DE662" s="133"/>
      <c r="DF662" s="133"/>
      <c r="DG662" s="137" t="s">
        <v>128</v>
      </c>
      <c r="DH662" s="137" t="s">
        <v>128</v>
      </c>
      <c r="DI662" s="157" t="str">
        <f>+ OFF 30 DIAS SIN VENTA</f>
        <v>#ERROR!</v>
      </c>
      <c r="DJ662" s="138">
        <v>0.5</v>
      </c>
      <c r="DK662" s="137" t="b">
        <v>0</v>
      </c>
      <c r="DL662" s="139" t="s">
        <v>1539</v>
      </c>
      <c r="DM662" s="139" t="s">
        <v>131</v>
      </c>
      <c r="DN662" s="139" t="s">
        <v>1540</v>
      </c>
      <c r="DO662" s="138">
        <v>0.0</v>
      </c>
      <c r="DP662" s="137" t="s">
        <v>128</v>
      </c>
      <c r="DQ662" s="158" t="str">
        <f>+ OFF 30 DIAS SIN VENTA</f>
        <v>#ERROR!</v>
      </c>
      <c r="DR662" s="141"/>
      <c r="DS662" s="137" t="s">
        <v>134</v>
      </c>
    </row>
    <row r="663">
      <c r="A663" s="113" t="s">
        <v>118</v>
      </c>
      <c r="B663" s="114">
        <v>56.0</v>
      </c>
      <c r="C663" s="113" t="s">
        <v>1536</v>
      </c>
      <c r="D663" s="114">
        <v>643373.0</v>
      </c>
      <c r="E663" s="113" t="s">
        <v>120</v>
      </c>
      <c r="F663" s="113" t="s">
        <v>1577</v>
      </c>
      <c r="G663" s="113" t="s">
        <v>1578</v>
      </c>
      <c r="H663" s="114">
        <v>81827.0</v>
      </c>
      <c r="I663" s="115"/>
      <c r="J663" s="115"/>
      <c r="K663" s="115"/>
      <c r="L663" s="115"/>
      <c r="M663" s="115"/>
      <c r="N663" s="115"/>
      <c r="O663" s="115"/>
      <c r="P663" s="115"/>
      <c r="Q663" s="115"/>
      <c r="R663" s="115"/>
      <c r="S663" s="115"/>
      <c r="T663" s="115"/>
      <c r="U663" s="115"/>
      <c r="V663" s="115"/>
      <c r="W663" s="115"/>
      <c r="X663" s="115"/>
      <c r="Y663" s="115"/>
      <c r="Z663" s="115"/>
      <c r="AA663" s="115"/>
      <c r="AB663" s="115"/>
      <c r="AC663" s="115"/>
      <c r="AD663" s="115"/>
      <c r="AE663" s="115"/>
      <c r="AF663" s="115"/>
      <c r="AG663" s="115"/>
      <c r="AH663" s="115"/>
      <c r="AI663" s="115"/>
      <c r="AJ663" s="115"/>
      <c r="AK663" s="115"/>
      <c r="AL663" s="115"/>
      <c r="AM663" s="115"/>
      <c r="AN663" s="115"/>
      <c r="AO663" s="115"/>
      <c r="AP663" s="115"/>
      <c r="AQ663" s="115"/>
      <c r="AR663" s="115"/>
      <c r="AS663" s="115"/>
      <c r="AT663" s="115"/>
      <c r="AU663" s="115"/>
      <c r="AV663" s="115"/>
      <c r="AW663" s="115"/>
      <c r="AX663" s="115"/>
      <c r="AY663" s="115"/>
      <c r="AZ663" s="115"/>
      <c r="BA663" s="115"/>
      <c r="BB663" s="115"/>
      <c r="BC663" s="115"/>
      <c r="BD663" s="115"/>
      <c r="BE663" s="115"/>
      <c r="BF663" s="115"/>
      <c r="BG663" s="115"/>
      <c r="BH663" s="115"/>
      <c r="BI663" s="115"/>
      <c r="BJ663" s="115"/>
      <c r="BK663" s="115"/>
      <c r="BL663" s="115"/>
      <c r="BM663" s="115"/>
      <c r="BN663" s="115"/>
      <c r="BO663" s="115"/>
      <c r="BP663" s="115"/>
      <c r="BQ663" s="115"/>
      <c r="BR663" s="115"/>
      <c r="BS663" s="115"/>
      <c r="BT663" s="116"/>
      <c r="BU663" s="115"/>
      <c r="BV663" s="115"/>
      <c r="BW663" s="115"/>
      <c r="BX663" s="114">
        <v>2100.0</v>
      </c>
      <c r="BY663" s="113" t="s">
        <v>123</v>
      </c>
      <c r="BZ663" s="143">
        <v>2100.0</v>
      </c>
      <c r="CA663" s="118"/>
      <c r="CB663" s="119"/>
      <c r="CC663" s="120"/>
      <c r="CD663" s="121">
        <v>2100.0</v>
      </c>
      <c r="CE663" s="146"/>
      <c r="CF663" s="123"/>
      <c r="CG663" s="124">
        <v>0.0</v>
      </c>
      <c r="CH663" s="125"/>
      <c r="CI663" s="126">
        <v>0.0</v>
      </c>
      <c r="CJ663" s="126">
        <v>753.0</v>
      </c>
      <c r="CK663" s="127">
        <v>-13.0</v>
      </c>
      <c r="CL663" s="126">
        <v>740.0</v>
      </c>
      <c r="CM663" s="128">
        <v>0.0</v>
      </c>
      <c r="CN663" s="126">
        <v>0.0</v>
      </c>
      <c r="CO663" s="129">
        <v>0.0</v>
      </c>
      <c r="CP663" s="130">
        <v>0.0</v>
      </c>
      <c r="CQ663" s="126">
        <v>0.0</v>
      </c>
      <c r="CR663" s="126">
        <v>0.0</v>
      </c>
      <c r="CS663" s="126">
        <v>0.0</v>
      </c>
      <c r="CT663" s="131"/>
      <c r="CU663" s="132"/>
      <c r="CV663" s="133"/>
      <c r="CW663" s="134">
        <v>7.0</v>
      </c>
      <c r="CX663" s="134" t="s">
        <v>201</v>
      </c>
      <c r="CY663" s="134" t="s">
        <v>202</v>
      </c>
      <c r="CZ663" s="135"/>
      <c r="DA663" s="133"/>
      <c r="DB663" s="134">
        <v>0.0</v>
      </c>
      <c r="DC663" s="133"/>
      <c r="DD663" s="136"/>
      <c r="DE663" s="133"/>
      <c r="DF663" s="133"/>
      <c r="DG663" s="137" t="s">
        <v>128</v>
      </c>
      <c r="DH663" s="137" t="s">
        <v>128</v>
      </c>
      <c r="DI663" s="157" t="str">
        <f>+ OFF 30 DIAS SIN VENTA</f>
        <v>#ERROR!</v>
      </c>
      <c r="DJ663" s="138">
        <v>0.0</v>
      </c>
      <c r="DK663" s="137" t="b">
        <v>0</v>
      </c>
      <c r="DL663" s="139" t="s">
        <v>1539</v>
      </c>
      <c r="DM663" s="139" t="s">
        <v>131</v>
      </c>
      <c r="DN663" s="139" t="s">
        <v>1540</v>
      </c>
      <c r="DO663" s="138">
        <v>0.0</v>
      </c>
      <c r="DP663" s="137" t="s">
        <v>128</v>
      </c>
      <c r="DQ663" s="158" t="str">
        <f>+ OFF 30 DIAS SIN VENTA</f>
        <v>#ERROR!</v>
      </c>
      <c r="DR663" s="141"/>
      <c r="DS663" s="137" t="s">
        <v>134</v>
      </c>
    </row>
    <row r="664">
      <c r="A664" s="113" t="s">
        <v>118</v>
      </c>
      <c r="B664" s="114">
        <v>56.0</v>
      </c>
      <c r="C664" s="113" t="s">
        <v>1536</v>
      </c>
      <c r="D664" s="114">
        <v>648806.0</v>
      </c>
      <c r="E664" s="113" t="s">
        <v>179</v>
      </c>
      <c r="F664" s="113" t="s">
        <v>1579</v>
      </c>
      <c r="G664" s="113" t="s">
        <v>1580</v>
      </c>
      <c r="H664" s="114">
        <v>81827.0</v>
      </c>
      <c r="I664" s="115"/>
      <c r="J664" s="115"/>
      <c r="K664" s="115"/>
      <c r="L664" s="115"/>
      <c r="M664" s="115"/>
      <c r="N664" s="115"/>
      <c r="O664" s="115"/>
      <c r="P664" s="115"/>
      <c r="Q664" s="115"/>
      <c r="R664" s="115"/>
      <c r="S664" s="115"/>
      <c r="T664" s="115"/>
      <c r="U664" s="115"/>
      <c r="V664" s="115"/>
      <c r="W664" s="115"/>
      <c r="X664" s="115"/>
      <c r="Y664" s="115"/>
      <c r="Z664" s="115"/>
      <c r="AA664" s="115"/>
      <c r="AB664" s="115"/>
      <c r="AC664" s="115"/>
      <c r="AD664" s="115"/>
      <c r="AE664" s="115"/>
      <c r="AF664" s="115"/>
      <c r="AG664" s="115"/>
      <c r="AH664" s="115"/>
      <c r="AI664" s="115"/>
      <c r="AJ664" s="115"/>
      <c r="AK664" s="115"/>
      <c r="AL664" s="115"/>
      <c r="AM664" s="115"/>
      <c r="AN664" s="115"/>
      <c r="AO664" s="115"/>
      <c r="AP664" s="115"/>
      <c r="AQ664" s="115"/>
      <c r="AR664" s="115"/>
      <c r="AS664" s="115"/>
      <c r="AT664" s="115"/>
      <c r="AU664" s="115"/>
      <c r="AV664" s="115"/>
      <c r="AW664" s="115"/>
      <c r="AX664" s="115"/>
      <c r="AY664" s="115"/>
      <c r="AZ664" s="115"/>
      <c r="BA664" s="115"/>
      <c r="BB664" s="115"/>
      <c r="BC664" s="115"/>
      <c r="BD664" s="115"/>
      <c r="BE664" s="115"/>
      <c r="BF664" s="115"/>
      <c r="BG664" s="115"/>
      <c r="BH664" s="115"/>
      <c r="BI664" s="115"/>
      <c r="BJ664" s="115"/>
      <c r="BK664" s="115"/>
      <c r="BL664" s="115"/>
      <c r="BM664" s="115"/>
      <c r="BN664" s="115"/>
      <c r="BO664" s="115"/>
      <c r="BP664" s="115"/>
      <c r="BQ664" s="115"/>
      <c r="BR664" s="115"/>
      <c r="BS664" s="115"/>
      <c r="BT664" s="116"/>
      <c r="BU664" s="115"/>
      <c r="BV664" s="115"/>
      <c r="BW664" s="115"/>
      <c r="BX664" s="114">
        <v>2700.0</v>
      </c>
      <c r="BY664" s="113" t="s">
        <v>123</v>
      </c>
      <c r="BZ664" s="143">
        <v>2700.0</v>
      </c>
      <c r="CA664" s="118"/>
      <c r="CB664" s="119"/>
      <c r="CC664" s="120"/>
      <c r="CD664" s="121">
        <v>2700.0</v>
      </c>
      <c r="CE664" s="146"/>
      <c r="CF664" s="123"/>
      <c r="CG664" s="124">
        <v>0.0</v>
      </c>
      <c r="CH664" s="125"/>
      <c r="CI664" s="126">
        <v>0.0</v>
      </c>
      <c r="CJ664" s="126">
        <v>753.0</v>
      </c>
      <c r="CK664" s="127">
        <v>-13.0</v>
      </c>
      <c r="CL664" s="126">
        <v>740.0</v>
      </c>
      <c r="CM664" s="128">
        <v>0.0</v>
      </c>
      <c r="CN664" s="126">
        <v>0.0</v>
      </c>
      <c r="CO664" s="129">
        <v>0.0</v>
      </c>
      <c r="CP664" s="130">
        <v>0.0</v>
      </c>
      <c r="CQ664" s="126">
        <v>0.0</v>
      </c>
      <c r="CR664" s="126">
        <v>0.0</v>
      </c>
      <c r="CS664" s="126">
        <v>0.0</v>
      </c>
      <c r="CT664" s="131"/>
      <c r="CU664" s="132"/>
      <c r="CV664" s="133"/>
      <c r="CW664" s="134">
        <v>9.0</v>
      </c>
      <c r="CX664" s="134" t="s">
        <v>143</v>
      </c>
      <c r="CY664" s="134" t="s">
        <v>144</v>
      </c>
      <c r="CZ664" s="135"/>
      <c r="DA664" s="133"/>
      <c r="DB664" s="134">
        <v>0.0</v>
      </c>
      <c r="DC664" s="133"/>
      <c r="DD664" s="136"/>
      <c r="DE664" s="133"/>
      <c r="DF664" s="133"/>
      <c r="DG664" s="137" t="s">
        <v>128</v>
      </c>
      <c r="DH664" s="137" t="s">
        <v>128</v>
      </c>
      <c r="DI664" s="157" t="str">
        <f>+ OFF 30 DIAS SIN VENTA</f>
        <v>#ERROR!</v>
      </c>
      <c r="DJ664" s="138">
        <v>1.0</v>
      </c>
      <c r="DK664" s="137" t="b">
        <v>0</v>
      </c>
      <c r="DL664" s="139" t="s">
        <v>1539</v>
      </c>
      <c r="DM664" s="139" t="s">
        <v>131</v>
      </c>
      <c r="DN664" s="139" t="s">
        <v>1540</v>
      </c>
      <c r="DO664" s="138">
        <v>0.0</v>
      </c>
      <c r="DP664" s="137" t="s">
        <v>128</v>
      </c>
      <c r="DQ664" s="158" t="str">
        <f>+ OFF 30 DIAS SIN VENTA</f>
        <v>#ERROR!</v>
      </c>
      <c r="DR664" s="141"/>
      <c r="DS664" s="137" t="s">
        <v>134</v>
      </c>
    </row>
    <row r="665">
      <c r="A665" s="113" t="s">
        <v>118</v>
      </c>
      <c r="B665" s="114">
        <v>56.0</v>
      </c>
      <c r="C665" s="113" t="s">
        <v>1536</v>
      </c>
      <c r="D665" s="114">
        <v>610881.0</v>
      </c>
      <c r="E665" s="113" t="s">
        <v>167</v>
      </c>
      <c r="F665" s="113" t="s">
        <v>1581</v>
      </c>
      <c r="G665" s="113" t="s">
        <v>1582</v>
      </c>
      <c r="H665" s="114">
        <v>81827.0</v>
      </c>
      <c r="I665" s="115"/>
      <c r="J665" s="115"/>
      <c r="K665" s="115"/>
      <c r="L665" s="115"/>
      <c r="M665" s="115"/>
      <c r="N665" s="115"/>
      <c r="O665" s="115"/>
      <c r="P665" s="115"/>
      <c r="Q665" s="115"/>
      <c r="R665" s="115"/>
      <c r="S665" s="115"/>
      <c r="T665" s="115"/>
      <c r="U665" s="115"/>
      <c r="V665" s="115"/>
      <c r="W665" s="115"/>
      <c r="X665" s="115"/>
      <c r="Y665" s="115"/>
      <c r="Z665" s="115"/>
      <c r="AA665" s="115"/>
      <c r="AB665" s="115"/>
      <c r="AC665" s="115"/>
      <c r="AD665" s="115"/>
      <c r="AE665" s="115"/>
      <c r="AF665" s="115"/>
      <c r="AG665" s="115"/>
      <c r="AH665" s="115"/>
      <c r="AI665" s="115"/>
      <c r="AJ665" s="115"/>
      <c r="AK665" s="115"/>
      <c r="AL665" s="115"/>
      <c r="AM665" s="115"/>
      <c r="AN665" s="115"/>
      <c r="AO665" s="115"/>
      <c r="AP665" s="115"/>
      <c r="AQ665" s="115"/>
      <c r="AR665" s="115"/>
      <c r="AS665" s="115"/>
      <c r="AT665" s="115"/>
      <c r="AU665" s="115"/>
      <c r="AV665" s="115"/>
      <c r="AW665" s="115"/>
      <c r="AX665" s="115"/>
      <c r="AY665" s="115"/>
      <c r="AZ665" s="115"/>
      <c r="BA665" s="115"/>
      <c r="BB665" s="115"/>
      <c r="BC665" s="115"/>
      <c r="BD665" s="115"/>
      <c r="BE665" s="115"/>
      <c r="BF665" s="115"/>
      <c r="BG665" s="115"/>
      <c r="BH665" s="115"/>
      <c r="BI665" s="115"/>
      <c r="BJ665" s="115"/>
      <c r="BK665" s="115"/>
      <c r="BL665" s="115"/>
      <c r="BM665" s="115"/>
      <c r="BN665" s="115"/>
      <c r="BO665" s="115"/>
      <c r="BP665" s="115"/>
      <c r="BQ665" s="115"/>
      <c r="BR665" s="115"/>
      <c r="BS665" s="115"/>
      <c r="BT665" s="116"/>
      <c r="BU665" s="115"/>
      <c r="BV665" s="115"/>
      <c r="BW665" s="115"/>
      <c r="BX665" s="114">
        <v>2400.0</v>
      </c>
      <c r="BY665" s="113" t="s">
        <v>123</v>
      </c>
      <c r="BZ665" s="117">
        <v>2400.0</v>
      </c>
      <c r="CA665" s="118"/>
      <c r="CB665" s="145">
        <v>1.0</v>
      </c>
      <c r="CC665" s="120"/>
      <c r="CD665" s="121">
        <v>1.0</v>
      </c>
      <c r="CE665" s="146"/>
      <c r="CF665" s="123"/>
      <c r="CG665" s="124">
        <v>0.0</v>
      </c>
      <c r="CH665" s="125"/>
      <c r="CI665" s="126">
        <v>0.0</v>
      </c>
      <c r="CJ665" s="126">
        <v>753.0</v>
      </c>
      <c r="CK665" s="127">
        <v>-13.0</v>
      </c>
      <c r="CL665" s="126">
        <v>740.0</v>
      </c>
      <c r="CM665" s="128">
        <v>0.0</v>
      </c>
      <c r="CN665" s="153"/>
      <c r="CO665" s="129">
        <v>0.0</v>
      </c>
      <c r="CP665" s="130">
        <v>0.0</v>
      </c>
      <c r="CQ665" s="126">
        <v>0.0</v>
      </c>
      <c r="CR665" s="126">
        <v>0.0</v>
      </c>
      <c r="CS665" s="126">
        <v>0.0</v>
      </c>
      <c r="CT665" s="131"/>
      <c r="CU665" s="132"/>
      <c r="CV665" s="133"/>
      <c r="CW665" s="134">
        <v>1.0</v>
      </c>
      <c r="CX665" s="134">
        <v>1.0</v>
      </c>
      <c r="CY665" s="134">
        <v>0.1</v>
      </c>
      <c r="CZ665" s="150" t="s">
        <v>124</v>
      </c>
      <c r="DA665" s="133"/>
      <c r="DB665" s="134">
        <v>0.0</v>
      </c>
      <c r="DC665" s="133"/>
      <c r="DD665" s="136"/>
      <c r="DE665" s="133"/>
      <c r="DF665" s="133"/>
      <c r="DG665" s="137" t="s">
        <v>128</v>
      </c>
      <c r="DH665" s="137" t="s">
        <v>131</v>
      </c>
      <c r="DI665" s="137" t="s">
        <v>188</v>
      </c>
      <c r="DJ665" s="138">
        <v>1.0</v>
      </c>
      <c r="DK665" s="137" t="b">
        <v>0</v>
      </c>
      <c r="DL665" s="139" t="s">
        <v>1539</v>
      </c>
      <c r="DM665" s="139" t="s">
        <v>131</v>
      </c>
      <c r="DN665" s="139" t="s">
        <v>1540</v>
      </c>
      <c r="DO665" s="138">
        <v>0.0</v>
      </c>
      <c r="DP665" s="141"/>
      <c r="DQ665" s="137" t="s">
        <v>188</v>
      </c>
      <c r="DR665" s="141"/>
      <c r="DS665" s="137" t="s">
        <v>134</v>
      </c>
    </row>
    <row r="666">
      <c r="A666" s="113" t="s">
        <v>118</v>
      </c>
      <c r="B666" s="114">
        <v>56.0</v>
      </c>
      <c r="C666" s="113" t="s">
        <v>1536</v>
      </c>
      <c r="D666" s="114">
        <v>627274.0</v>
      </c>
      <c r="E666" s="113" t="s">
        <v>173</v>
      </c>
      <c r="F666" s="113" t="s">
        <v>1583</v>
      </c>
      <c r="G666" s="113" t="s">
        <v>1584</v>
      </c>
      <c r="H666" s="114">
        <v>81827.0</v>
      </c>
      <c r="I666" s="115"/>
      <c r="J666" s="115"/>
      <c r="K666" s="115"/>
      <c r="L666" s="115"/>
      <c r="M666" s="115"/>
      <c r="N666" s="115"/>
      <c r="O666" s="115"/>
      <c r="P666" s="115"/>
      <c r="Q666" s="115"/>
      <c r="R666" s="115"/>
      <c r="S666" s="115"/>
      <c r="T666" s="115"/>
      <c r="U666" s="115"/>
      <c r="V666" s="115"/>
      <c r="W666" s="115"/>
      <c r="X666" s="115"/>
      <c r="Y666" s="115"/>
      <c r="Z666" s="115"/>
      <c r="AA666" s="115"/>
      <c r="AB666" s="115"/>
      <c r="AC666" s="115"/>
      <c r="AD666" s="115"/>
      <c r="AE666" s="115"/>
      <c r="AF666" s="115"/>
      <c r="AG666" s="115"/>
      <c r="AH666" s="115"/>
      <c r="AI666" s="115"/>
      <c r="AJ666" s="115"/>
      <c r="AK666" s="115"/>
      <c r="AL666" s="115"/>
      <c r="AM666" s="115"/>
      <c r="AN666" s="115"/>
      <c r="AO666" s="115"/>
      <c r="AP666" s="115"/>
      <c r="AQ666" s="115"/>
      <c r="AR666" s="115"/>
      <c r="AS666" s="115"/>
      <c r="AT666" s="115"/>
      <c r="AU666" s="115"/>
      <c r="AV666" s="115"/>
      <c r="AW666" s="115"/>
      <c r="AX666" s="115"/>
      <c r="AY666" s="115"/>
      <c r="AZ666" s="115"/>
      <c r="BA666" s="115"/>
      <c r="BB666" s="115"/>
      <c r="BC666" s="115"/>
      <c r="BD666" s="115"/>
      <c r="BE666" s="115"/>
      <c r="BF666" s="115"/>
      <c r="BG666" s="115"/>
      <c r="BH666" s="115"/>
      <c r="BI666" s="115"/>
      <c r="BJ666" s="115"/>
      <c r="BK666" s="115"/>
      <c r="BL666" s="115"/>
      <c r="BM666" s="115"/>
      <c r="BN666" s="115"/>
      <c r="BO666" s="115"/>
      <c r="BP666" s="115"/>
      <c r="BQ666" s="115"/>
      <c r="BR666" s="115"/>
      <c r="BS666" s="115"/>
      <c r="BT666" s="116"/>
      <c r="BU666" s="115"/>
      <c r="BV666" s="115"/>
      <c r="BW666" s="115"/>
      <c r="BX666" s="114">
        <v>2400.0</v>
      </c>
      <c r="BY666" s="113" t="s">
        <v>123</v>
      </c>
      <c r="BZ666" s="143">
        <v>2400.0</v>
      </c>
      <c r="CA666" s="118"/>
      <c r="CB666" s="119"/>
      <c r="CC666" s="120"/>
      <c r="CD666" s="121">
        <v>2400.0</v>
      </c>
      <c r="CE666" s="146"/>
      <c r="CF666" s="123"/>
      <c r="CG666" s="124">
        <v>0.0</v>
      </c>
      <c r="CH666" s="125"/>
      <c r="CI666" s="126">
        <v>0.0</v>
      </c>
      <c r="CJ666" s="126">
        <v>753.0</v>
      </c>
      <c r="CK666" s="127">
        <v>-13.0</v>
      </c>
      <c r="CL666" s="126">
        <v>740.0</v>
      </c>
      <c r="CM666" s="128">
        <v>0.0</v>
      </c>
      <c r="CN666" s="126">
        <v>0.0</v>
      </c>
      <c r="CO666" s="129">
        <v>0.0</v>
      </c>
      <c r="CP666" s="130">
        <v>0.0</v>
      </c>
      <c r="CQ666" s="126">
        <v>0.0</v>
      </c>
      <c r="CR666" s="126">
        <v>0.0</v>
      </c>
      <c r="CS666" s="126">
        <v>0.0</v>
      </c>
      <c r="CT666" s="131"/>
      <c r="CU666" s="132"/>
      <c r="CV666" s="133"/>
      <c r="CW666" s="134">
        <v>8.0</v>
      </c>
      <c r="CX666" s="134" t="s">
        <v>125</v>
      </c>
      <c r="CY666" s="134" t="s">
        <v>126</v>
      </c>
      <c r="CZ666" s="135"/>
      <c r="DA666" s="133"/>
      <c r="DB666" s="134">
        <v>0.0</v>
      </c>
      <c r="DC666" s="133"/>
      <c r="DD666" s="136"/>
      <c r="DE666" s="133"/>
      <c r="DF666" s="133"/>
      <c r="DG666" s="137" t="s">
        <v>128</v>
      </c>
      <c r="DH666" s="137" t="s">
        <v>128</v>
      </c>
      <c r="DI666" s="137" t="s">
        <v>359</v>
      </c>
      <c r="DJ666" s="138">
        <v>1.0</v>
      </c>
      <c r="DK666" s="137" t="b">
        <v>0</v>
      </c>
      <c r="DL666" s="139" t="s">
        <v>1539</v>
      </c>
      <c r="DM666" s="139" t="s">
        <v>131</v>
      </c>
      <c r="DN666" s="139" t="s">
        <v>1540</v>
      </c>
      <c r="DO666" s="138">
        <v>0.0</v>
      </c>
      <c r="DP666" s="137" t="s">
        <v>359</v>
      </c>
      <c r="DQ666" s="137" t="s">
        <v>359</v>
      </c>
      <c r="DR666" s="141"/>
      <c r="DS666" s="137" t="s">
        <v>134</v>
      </c>
    </row>
    <row r="667">
      <c r="A667" s="113" t="s">
        <v>118</v>
      </c>
      <c r="B667" s="114">
        <v>56.0</v>
      </c>
      <c r="C667" s="113" t="s">
        <v>1536</v>
      </c>
      <c r="D667" s="114">
        <v>680588.0</v>
      </c>
      <c r="E667" s="113" t="s">
        <v>251</v>
      </c>
      <c r="F667" s="113" t="s">
        <v>1585</v>
      </c>
      <c r="G667" s="113" t="s">
        <v>1586</v>
      </c>
      <c r="H667" s="114">
        <v>81827.0</v>
      </c>
      <c r="I667" s="115"/>
      <c r="J667" s="115"/>
      <c r="K667" s="115"/>
      <c r="L667" s="115"/>
      <c r="M667" s="115"/>
      <c r="N667" s="115"/>
      <c r="O667" s="115"/>
      <c r="P667" s="115"/>
      <c r="Q667" s="115"/>
      <c r="R667" s="115"/>
      <c r="S667" s="115"/>
      <c r="T667" s="115"/>
      <c r="U667" s="115"/>
      <c r="V667" s="115"/>
      <c r="W667" s="115"/>
      <c r="X667" s="115"/>
      <c r="Y667" s="115"/>
      <c r="Z667" s="115"/>
      <c r="AA667" s="115"/>
      <c r="AB667" s="115"/>
      <c r="AC667" s="115"/>
      <c r="AD667" s="115"/>
      <c r="AE667" s="115"/>
      <c r="AF667" s="115"/>
      <c r="AG667" s="115"/>
      <c r="AH667" s="115"/>
      <c r="AI667" s="115"/>
      <c r="AJ667" s="115"/>
      <c r="AK667" s="115"/>
      <c r="AL667" s="115"/>
      <c r="AM667" s="115"/>
      <c r="AN667" s="115"/>
      <c r="AO667" s="115"/>
      <c r="AP667" s="115"/>
      <c r="AQ667" s="115"/>
      <c r="AR667" s="115"/>
      <c r="AS667" s="115"/>
      <c r="AT667" s="115"/>
      <c r="AU667" s="115"/>
      <c r="AV667" s="115"/>
      <c r="AW667" s="115"/>
      <c r="AX667" s="115"/>
      <c r="AY667" s="115"/>
      <c r="AZ667" s="115"/>
      <c r="BA667" s="115"/>
      <c r="BB667" s="115"/>
      <c r="BC667" s="115"/>
      <c r="BD667" s="115"/>
      <c r="BE667" s="115"/>
      <c r="BF667" s="115"/>
      <c r="BG667" s="115"/>
      <c r="BH667" s="115"/>
      <c r="BI667" s="115"/>
      <c r="BJ667" s="115"/>
      <c r="BK667" s="115"/>
      <c r="BL667" s="115"/>
      <c r="BM667" s="115"/>
      <c r="BN667" s="115"/>
      <c r="BO667" s="115"/>
      <c r="BP667" s="115"/>
      <c r="BQ667" s="115"/>
      <c r="BR667" s="115"/>
      <c r="BS667" s="115"/>
      <c r="BT667" s="116"/>
      <c r="BU667" s="115"/>
      <c r="BV667" s="115"/>
      <c r="BW667" s="115"/>
      <c r="BX667" s="114">
        <v>2400.0</v>
      </c>
      <c r="BY667" s="113" t="s">
        <v>123</v>
      </c>
      <c r="BZ667" s="143">
        <v>2400.0</v>
      </c>
      <c r="CA667" s="118"/>
      <c r="CB667" s="119"/>
      <c r="CC667" s="120"/>
      <c r="CD667" s="121">
        <v>2400.0</v>
      </c>
      <c r="CE667" s="146"/>
      <c r="CF667" s="123"/>
      <c r="CG667" s="124">
        <v>0.0</v>
      </c>
      <c r="CH667" s="125"/>
      <c r="CI667" s="126">
        <v>0.0</v>
      </c>
      <c r="CJ667" s="126">
        <v>753.0</v>
      </c>
      <c r="CK667" s="127">
        <v>-13.0</v>
      </c>
      <c r="CL667" s="126">
        <v>740.0</v>
      </c>
      <c r="CM667" s="128">
        <v>0.0</v>
      </c>
      <c r="CN667" s="126">
        <v>0.0</v>
      </c>
      <c r="CO667" s="129">
        <v>0.0</v>
      </c>
      <c r="CP667" s="130">
        <v>0.0</v>
      </c>
      <c r="CQ667" s="126">
        <v>0.0</v>
      </c>
      <c r="CR667" s="126">
        <v>0.0</v>
      </c>
      <c r="CS667" s="126">
        <v>0.0</v>
      </c>
      <c r="CT667" s="131"/>
      <c r="CU667" s="132"/>
      <c r="CV667" s="133"/>
      <c r="CW667" s="134">
        <v>8.0</v>
      </c>
      <c r="CX667" s="134" t="s">
        <v>125</v>
      </c>
      <c r="CY667" s="134" t="s">
        <v>126</v>
      </c>
      <c r="CZ667" s="135"/>
      <c r="DA667" s="133"/>
      <c r="DB667" s="134">
        <v>0.0</v>
      </c>
      <c r="DC667" s="133"/>
      <c r="DD667" s="136"/>
      <c r="DE667" s="133"/>
      <c r="DF667" s="133"/>
      <c r="DG667" s="137" t="s">
        <v>128</v>
      </c>
      <c r="DH667" s="137" t="s">
        <v>128</v>
      </c>
      <c r="DI667" s="157" t="str">
        <f>+ OFF 30 DIAS SIN VENTA</f>
        <v>#ERROR!</v>
      </c>
      <c r="DJ667" s="138">
        <v>1.0</v>
      </c>
      <c r="DK667" s="137" t="b">
        <v>0</v>
      </c>
      <c r="DL667" s="139" t="s">
        <v>1539</v>
      </c>
      <c r="DM667" s="139" t="s">
        <v>131</v>
      </c>
      <c r="DN667" s="139" t="s">
        <v>1540</v>
      </c>
      <c r="DO667" s="138">
        <v>0.0</v>
      </c>
      <c r="DP667" s="137" t="s">
        <v>128</v>
      </c>
      <c r="DQ667" s="158" t="str">
        <f>+ OFF 30 DIAS SIN VENTA</f>
        <v>#ERROR!</v>
      </c>
      <c r="DR667" s="141"/>
      <c r="DS667" s="137" t="s">
        <v>134</v>
      </c>
    </row>
    <row r="668">
      <c r="A668" s="113" t="s">
        <v>118</v>
      </c>
      <c r="B668" s="114">
        <v>56.0</v>
      </c>
      <c r="C668" s="113" t="s">
        <v>1536</v>
      </c>
      <c r="D668" s="114">
        <v>631195.0</v>
      </c>
      <c r="E668" s="113" t="s">
        <v>140</v>
      </c>
      <c r="F668" s="113" t="s">
        <v>1587</v>
      </c>
      <c r="G668" s="113" t="s">
        <v>1588</v>
      </c>
      <c r="H668" s="114">
        <v>81827.0</v>
      </c>
      <c r="I668" s="115"/>
      <c r="J668" s="115"/>
      <c r="K668" s="115"/>
      <c r="L668" s="115"/>
      <c r="M668" s="115"/>
      <c r="N668" s="115"/>
      <c r="O668" s="115"/>
      <c r="P668" s="115"/>
      <c r="Q668" s="115"/>
      <c r="R668" s="115"/>
      <c r="S668" s="115"/>
      <c r="T668" s="115"/>
      <c r="U668" s="115"/>
      <c r="V668" s="115"/>
      <c r="W668" s="115"/>
      <c r="X668" s="115"/>
      <c r="Y668" s="115"/>
      <c r="Z668" s="115"/>
      <c r="AA668" s="115"/>
      <c r="AB668" s="115"/>
      <c r="AC668" s="115"/>
      <c r="AD668" s="115"/>
      <c r="AE668" s="115"/>
      <c r="AF668" s="115"/>
      <c r="AG668" s="115"/>
      <c r="AH668" s="115"/>
      <c r="AI668" s="115"/>
      <c r="AJ668" s="115"/>
      <c r="AK668" s="115"/>
      <c r="AL668" s="115"/>
      <c r="AM668" s="115"/>
      <c r="AN668" s="115"/>
      <c r="AO668" s="115"/>
      <c r="AP668" s="115"/>
      <c r="AQ668" s="115"/>
      <c r="AR668" s="115"/>
      <c r="AS668" s="115"/>
      <c r="AT668" s="115"/>
      <c r="AU668" s="115"/>
      <c r="AV668" s="115"/>
      <c r="AW668" s="115"/>
      <c r="AX668" s="115"/>
      <c r="AY668" s="115"/>
      <c r="AZ668" s="115"/>
      <c r="BA668" s="115"/>
      <c r="BB668" s="115"/>
      <c r="BC668" s="115"/>
      <c r="BD668" s="115"/>
      <c r="BE668" s="115"/>
      <c r="BF668" s="115"/>
      <c r="BG668" s="115"/>
      <c r="BH668" s="115"/>
      <c r="BI668" s="115"/>
      <c r="BJ668" s="115"/>
      <c r="BK668" s="115"/>
      <c r="BL668" s="115"/>
      <c r="BM668" s="115"/>
      <c r="BN668" s="115"/>
      <c r="BO668" s="115"/>
      <c r="BP668" s="115"/>
      <c r="BQ668" s="115"/>
      <c r="BR668" s="115"/>
      <c r="BS668" s="115"/>
      <c r="BT668" s="116"/>
      <c r="BU668" s="115"/>
      <c r="BV668" s="115"/>
      <c r="BW668" s="115"/>
      <c r="BX668" s="114">
        <v>2400.0</v>
      </c>
      <c r="BY668" s="113" t="s">
        <v>123</v>
      </c>
      <c r="BZ668" s="143">
        <v>2400.0</v>
      </c>
      <c r="CA668" s="118"/>
      <c r="CB668" s="119"/>
      <c r="CC668" s="120"/>
      <c r="CD668" s="121">
        <v>2400.0</v>
      </c>
      <c r="CE668" s="146"/>
      <c r="CF668" s="123"/>
      <c r="CG668" s="124">
        <v>0.0</v>
      </c>
      <c r="CH668" s="125"/>
      <c r="CI668" s="126">
        <v>0.0</v>
      </c>
      <c r="CJ668" s="126">
        <v>753.0</v>
      </c>
      <c r="CK668" s="127">
        <v>-13.0</v>
      </c>
      <c r="CL668" s="126">
        <v>740.0</v>
      </c>
      <c r="CM668" s="128">
        <v>0.0</v>
      </c>
      <c r="CN668" s="126">
        <v>0.0</v>
      </c>
      <c r="CO668" s="129">
        <v>0.0</v>
      </c>
      <c r="CP668" s="130">
        <v>0.0</v>
      </c>
      <c r="CQ668" s="126">
        <v>0.0</v>
      </c>
      <c r="CR668" s="126">
        <v>0.0</v>
      </c>
      <c r="CS668" s="126">
        <v>0.0</v>
      </c>
      <c r="CT668" s="131"/>
      <c r="CU668" s="132"/>
      <c r="CV668" s="133"/>
      <c r="CW668" s="134">
        <v>8.0</v>
      </c>
      <c r="CX668" s="134" t="s">
        <v>125</v>
      </c>
      <c r="CY668" s="134" t="s">
        <v>126</v>
      </c>
      <c r="CZ668" s="135"/>
      <c r="DA668" s="133"/>
      <c r="DB668" s="134">
        <v>0.0</v>
      </c>
      <c r="DC668" s="133"/>
      <c r="DD668" s="136"/>
      <c r="DE668" s="133"/>
      <c r="DF668" s="133"/>
      <c r="DG668" s="137" t="s">
        <v>128</v>
      </c>
      <c r="DH668" s="137" t="s">
        <v>128</v>
      </c>
      <c r="DI668" s="157" t="str">
        <f>+ OFF 30 DIAS SIN VENTA</f>
        <v>#ERROR!</v>
      </c>
      <c r="DJ668" s="138">
        <v>1.0</v>
      </c>
      <c r="DK668" s="137" t="b">
        <v>0</v>
      </c>
      <c r="DL668" s="139" t="s">
        <v>1539</v>
      </c>
      <c r="DM668" s="139" t="s">
        <v>131</v>
      </c>
      <c r="DN668" s="139" t="s">
        <v>1540</v>
      </c>
      <c r="DO668" s="138">
        <v>0.0</v>
      </c>
      <c r="DP668" s="137" t="s">
        <v>128</v>
      </c>
      <c r="DQ668" s="158" t="str">
        <f>+ OFF 30 DIAS SIN VENTA</f>
        <v>#ERROR!</v>
      </c>
      <c r="DR668" s="141"/>
      <c r="DS668" s="137" t="s">
        <v>134</v>
      </c>
    </row>
    <row r="669">
      <c r="A669" s="113" t="s">
        <v>118</v>
      </c>
      <c r="B669" s="114">
        <v>56.0</v>
      </c>
      <c r="C669" s="113" t="s">
        <v>1536</v>
      </c>
      <c r="D669" s="114">
        <v>681287.0</v>
      </c>
      <c r="E669" s="113" t="s">
        <v>354</v>
      </c>
      <c r="F669" s="113" t="s">
        <v>1589</v>
      </c>
      <c r="G669" s="113" t="s">
        <v>1590</v>
      </c>
      <c r="H669" s="114">
        <v>81827.0</v>
      </c>
      <c r="I669" s="115"/>
      <c r="J669" s="115"/>
      <c r="K669" s="115"/>
      <c r="L669" s="115"/>
      <c r="M669" s="115"/>
      <c r="N669" s="115"/>
      <c r="O669" s="115"/>
      <c r="P669" s="115"/>
      <c r="Q669" s="115"/>
      <c r="R669" s="115"/>
      <c r="S669" s="115"/>
      <c r="T669" s="115"/>
      <c r="U669" s="115"/>
      <c r="V669" s="115"/>
      <c r="W669" s="115"/>
      <c r="X669" s="115"/>
      <c r="Y669" s="115"/>
      <c r="Z669" s="115"/>
      <c r="AA669" s="115"/>
      <c r="AB669" s="115"/>
      <c r="AC669" s="115"/>
      <c r="AD669" s="115"/>
      <c r="AE669" s="115"/>
      <c r="AF669" s="115"/>
      <c r="AG669" s="115"/>
      <c r="AH669" s="115"/>
      <c r="AI669" s="115"/>
      <c r="AJ669" s="115"/>
      <c r="AK669" s="115"/>
      <c r="AL669" s="115"/>
      <c r="AM669" s="115"/>
      <c r="AN669" s="115"/>
      <c r="AO669" s="115"/>
      <c r="AP669" s="115"/>
      <c r="AQ669" s="115"/>
      <c r="AR669" s="115"/>
      <c r="AS669" s="115"/>
      <c r="AT669" s="115"/>
      <c r="AU669" s="115"/>
      <c r="AV669" s="115"/>
      <c r="AW669" s="115"/>
      <c r="AX669" s="115"/>
      <c r="AY669" s="115"/>
      <c r="AZ669" s="115"/>
      <c r="BA669" s="115"/>
      <c r="BB669" s="115"/>
      <c r="BC669" s="115"/>
      <c r="BD669" s="115"/>
      <c r="BE669" s="115"/>
      <c r="BF669" s="115"/>
      <c r="BG669" s="115"/>
      <c r="BH669" s="115"/>
      <c r="BI669" s="115"/>
      <c r="BJ669" s="115"/>
      <c r="BK669" s="115"/>
      <c r="BL669" s="115"/>
      <c r="BM669" s="115"/>
      <c r="BN669" s="115"/>
      <c r="BO669" s="115"/>
      <c r="BP669" s="115"/>
      <c r="BQ669" s="115"/>
      <c r="BR669" s="115"/>
      <c r="BS669" s="115"/>
      <c r="BT669" s="116"/>
      <c r="BU669" s="115"/>
      <c r="BV669" s="115"/>
      <c r="BW669" s="115"/>
      <c r="BX669" s="114">
        <v>3000.0</v>
      </c>
      <c r="BY669" s="113" t="s">
        <v>123</v>
      </c>
      <c r="BZ669" s="143">
        <v>3000.0</v>
      </c>
      <c r="CA669" s="118"/>
      <c r="CB669" s="119"/>
      <c r="CC669" s="120"/>
      <c r="CD669" s="121">
        <v>3000.0</v>
      </c>
      <c r="CE669" s="146"/>
      <c r="CF669" s="123"/>
      <c r="CG669" s="124">
        <v>0.0</v>
      </c>
      <c r="CH669" s="125"/>
      <c r="CI669" s="126">
        <v>0.0</v>
      </c>
      <c r="CJ669" s="126">
        <v>753.0</v>
      </c>
      <c r="CK669" s="127">
        <v>-13.0</v>
      </c>
      <c r="CL669" s="126">
        <v>740.0</v>
      </c>
      <c r="CM669" s="128">
        <v>0.0</v>
      </c>
      <c r="CN669" s="126">
        <v>0.0</v>
      </c>
      <c r="CO669" s="129">
        <v>0.0</v>
      </c>
      <c r="CP669" s="130">
        <v>0.0</v>
      </c>
      <c r="CQ669" s="126">
        <v>0.0</v>
      </c>
      <c r="CR669" s="126">
        <v>0.0</v>
      </c>
      <c r="CS669" s="126">
        <v>0.0</v>
      </c>
      <c r="CT669" s="131"/>
      <c r="CU669" s="132"/>
      <c r="CV669" s="133"/>
      <c r="CW669" s="134">
        <v>10.0</v>
      </c>
      <c r="CX669" s="134" t="s">
        <v>138</v>
      </c>
      <c r="CY669" s="134" t="s">
        <v>139</v>
      </c>
      <c r="CZ669" s="135"/>
      <c r="DA669" s="133"/>
      <c r="DB669" s="134">
        <v>0.0</v>
      </c>
      <c r="DC669" s="133"/>
      <c r="DD669" s="136"/>
      <c r="DE669" s="133"/>
      <c r="DF669" s="133"/>
      <c r="DG669" s="137" t="s">
        <v>128</v>
      </c>
      <c r="DH669" s="137" t="s">
        <v>128</v>
      </c>
      <c r="DI669" s="157" t="str">
        <f>+ OFF 30 DIAS SIN VENTA</f>
        <v>#ERROR!</v>
      </c>
      <c r="DJ669" s="138">
        <v>1.0</v>
      </c>
      <c r="DK669" s="137" t="b">
        <v>0</v>
      </c>
      <c r="DL669" s="139" t="s">
        <v>1539</v>
      </c>
      <c r="DM669" s="139" t="s">
        <v>131</v>
      </c>
      <c r="DN669" s="139" t="s">
        <v>1540</v>
      </c>
      <c r="DO669" s="138">
        <v>0.0</v>
      </c>
      <c r="DP669" s="137" t="s">
        <v>128</v>
      </c>
      <c r="DQ669" s="158" t="str">
        <f>+ OFF 30 DIAS SIN VENTA</f>
        <v>#ERROR!</v>
      </c>
      <c r="DR669" s="141"/>
      <c r="DS669" s="137" t="s">
        <v>134</v>
      </c>
    </row>
    <row r="670">
      <c r="A670" s="113" t="s">
        <v>118</v>
      </c>
      <c r="B670" s="114">
        <v>56.0</v>
      </c>
      <c r="C670" s="113" t="s">
        <v>1536</v>
      </c>
      <c r="D670" s="114">
        <v>536832.0</v>
      </c>
      <c r="E670" s="113" t="s">
        <v>158</v>
      </c>
      <c r="F670" s="113" t="s">
        <v>1591</v>
      </c>
      <c r="G670" s="113" t="s">
        <v>1592</v>
      </c>
      <c r="H670" s="114">
        <v>81827.0</v>
      </c>
      <c r="I670" s="115"/>
      <c r="J670" s="115"/>
      <c r="K670" s="115"/>
      <c r="L670" s="115"/>
      <c r="M670" s="115"/>
      <c r="N670" s="115"/>
      <c r="O670" s="115"/>
      <c r="P670" s="115"/>
      <c r="Q670" s="115"/>
      <c r="R670" s="115"/>
      <c r="S670" s="115"/>
      <c r="T670" s="115"/>
      <c r="U670" s="115"/>
      <c r="V670" s="115"/>
      <c r="W670" s="115"/>
      <c r="X670" s="115"/>
      <c r="Y670" s="115"/>
      <c r="Z670" s="115"/>
      <c r="AA670" s="115"/>
      <c r="AB670" s="115"/>
      <c r="AC670" s="115"/>
      <c r="AD670" s="115"/>
      <c r="AE670" s="115"/>
      <c r="AF670" s="115"/>
      <c r="AG670" s="115"/>
      <c r="AH670" s="115"/>
      <c r="AI670" s="115"/>
      <c r="AJ670" s="115"/>
      <c r="AK670" s="115"/>
      <c r="AL670" s="115"/>
      <c r="AM670" s="115"/>
      <c r="AN670" s="115"/>
      <c r="AO670" s="115"/>
      <c r="AP670" s="115"/>
      <c r="AQ670" s="115"/>
      <c r="AR670" s="115"/>
      <c r="AS670" s="115"/>
      <c r="AT670" s="115"/>
      <c r="AU670" s="115"/>
      <c r="AV670" s="115"/>
      <c r="AW670" s="115"/>
      <c r="AX670" s="115"/>
      <c r="AY670" s="115"/>
      <c r="AZ670" s="115"/>
      <c r="BA670" s="115"/>
      <c r="BB670" s="115"/>
      <c r="BC670" s="115"/>
      <c r="BD670" s="115"/>
      <c r="BE670" s="115"/>
      <c r="BF670" s="115"/>
      <c r="BG670" s="115"/>
      <c r="BH670" s="115"/>
      <c r="BI670" s="115"/>
      <c r="BJ670" s="115"/>
      <c r="BK670" s="115"/>
      <c r="BL670" s="115"/>
      <c r="BM670" s="115"/>
      <c r="BN670" s="115"/>
      <c r="BO670" s="115"/>
      <c r="BP670" s="115"/>
      <c r="BQ670" s="115"/>
      <c r="BR670" s="115"/>
      <c r="BS670" s="115"/>
      <c r="BT670" s="116"/>
      <c r="BU670" s="115"/>
      <c r="BV670" s="115"/>
      <c r="BW670" s="115"/>
      <c r="BX670" s="114">
        <v>1.0</v>
      </c>
      <c r="BY670" s="113" t="s">
        <v>123</v>
      </c>
      <c r="BZ670" s="117">
        <v>1.0</v>
      </c>
      <c r="CA670" s="118"/>
      <c r="CB670" s="119"/>
      <c r="CC670" s="120"/>
      <c r="CD670" s="121">
        <v>1.0</v>
      </c>
      <c r="CE670" s="146"/>
      <c r="CF670" s="123"/>
      <c r="CG670" s="124">
        <v>0.0</v>
      </c>
      <c r="CH670" s="125"/>
      <c r="CI670" s="126">
        <v>0.0</v>
      </c>
      <c r="CJ670" s="126">
        <v>753.0</v>
      </c>
      <c r="CK670" s="127">
        <v>-13.0</v>
      </c>
      <c r="CL670" s="126">
        <v>740.0</v>
      </c>
      <c r="CM670" s="128">
        <v>0.0</v>
      </c>
      <c r="CN670" s="126">
        <v>0.0</v>
      </c>
      <c r="CO670" s="129">
        <v>0.0</v>
      </c>
      <c r="CP670" s="130">
        <v>0.0</v>
      </c>
      <c r="CQ670" s="126">
        <v>0.0</v>
      </c>
      <c r="CR670" s="126">
        <v>0.0</v>
      </c>
      <c r="CS670" s="126">
        <v>0.0</v>
      </c>
      <c r="CT670" s="131"/>
      <c r="CU670" s="132"/>
      <c r="CV670" s="133"/>
      <c r="CW670" s="134">
        <v>1.0</v>
      </c>
      <c r="CX670" s="134">
        <v>1.0</v>
      </c>
      <c r="CY670" s="134">
        <v>0.1</v>
      </c>
      <c r="CZ670" s="135"/>
      <c r="DA670" s="133"/>
      <c r="DB670" s="134">
        <v>0.0</v>
      </c>
      <c r="DC670" s="133"/>
      <c r="DD670" s="136"/>
      <c r="DE670" s="133"/>
      <c r="DF670" s="133"/>
      <c r="DG670" s="137" t="s">
        <v>128</v>
      </c>
      <c r="DH670" s="137" t="s">
        <v>131</v>
      </c>
      <c r="DI670" s="137" t="s">
        <v>188</v>
      </c>
      <c r="DJ670" s="138">
        <v>1.0</v>
      </c>
      <c r="DK670" s="137" t="b">
        <v>0</v>
      </c>
      <c r="DL670" s="139" t="s">
        <v>1539</v>
      </c>
      <c r="DM670" s="139" t="s">
        <v>131</v>
      </c>
      <c r="DN670" s="139" t="s">
        <v>1540</v>
      </c>
      <c r="DO670" s="138">
        <v>0.0</v>
      </c>
      <c r="DP670" s="141"/>
      <c r="DQ670" s="137" t="s">
        <v>188</v>
      </c>
      <c r="DR670" s="141"/>
      <c r="DS670" s="137" t="s">
        <v>134</v>
      </c>
    </row>
    <row r="671">
      <c r="A671" s="113" t="s">
        <v>118</v>
      </c>
      <c r="B671" s="114">
        <v>56.0</v>
      </c>
      <c r="C671" s="113" t="s">
        <v>1536</v>
      </c>
      <c r="D671" s="114">
        <v>576393.0</v>
      </c>
      <c r="E671" s="113" t="s">
        <v>164</v>
      </c>
      <c r="F671" s="113" t="s">
        <v>1593</v>
      </c>
      <c r="G671" s="113" t="s">
        <v>1594</v>
      </c>
      <c r="H671" s="114">
        <v>81827.0</v>
      </c>
      <c r="I671" s="115"/>
      <c r="J671" s="115"/>
      <c r="K671" s="115"/>
      <c r="L671" s="115"/>
      <c r="M671" s="115"/>
      <c r="N671" s="115"/>
      <c r="O671" s="115"/>
      <c r="P671" s="115"/>
      <c r="Q671" s="115"/>
      <c r="R671" s="115"/>
      <c r="S671" s="115"/>
      <c r="T671" s="115"/>
      <c r="U671" s="115"/>
      <c r="V671" s="115"/>
      <c r="W671" s="115"/>
      <c r="X671" s="115"/>
      <c r="Y671" s="115"/>
      <c r="Z671" s="115"/>
      <c r="AA671" s="115"/>
      <c r="AB671" s="115"/>
      <c r="AC671" s="115"/>
      <c r="AD671" s="115"/>
      <c r="AE671" s="115"/>
      <c r="AF671" s="115"/>
      <c r="AG671" s="115"/>
      <c r="AH671" s="115"/>
      <c r="AI671" s="115"/>
      <c r="AJ671" s="115"/>
      <c r="AK671" s="115"/>
      <c r="AL671" s="115"/>
      <c r="AM671" s="115"/>
      <c r="AN671" s="115"/>
      <c r="AO671" s="115"/>
      <c r="AP671" s="115"/>
      <c r="AQ671" s="115"/>
      <c r="AR671" s="115"/>
      <c r="AS671" s="115"/>
      <c r="AT671" s="115"/>
      <c r="AU671" s="115"/>
      <c r="AV671" s="115"/>
      <c r="AW671" s="115"/>
      <c r="AX671" s="115"/>
      <c r="AY671" s="115"/>
      <c r="AZ671" s="115"/>
      <c r="BA671" s="115"/>
      <c r="BB671" s="115"/>
      <c r="BC671" s="115"/>
      <c r="BD671" s="115"/>
      <c r="BE671" s="115"/>
      <c r="BF671" s="115"/>
      <c r="BG671" s="115"/>
      <c r="BH671" s="115"/>
      <c r="BI671" s="115"/>
      <c r="BJ671" s="115"/>
      <c r="BK671" s="115"/>
      <c r="BL671" s="115"/>
      <c r="BM671" s="115"/>
      <c r="BN671" s="115"/>
      <c r="BO671" s="115"/>
      <c r="BP671" s="115"/>
      <c r="BQ671" s="115"/>
      <c r="BR671" s="115"/>
      <c r="BS671" s="115"/>
      <c r="BT671" s="116"/>
      <c r="BU671" s="115"/>
      <c r="BV671" s="115"/>
      <c r="BW671" s="115"/>
      <c r="BX671" s="114">
        <v>2400.0</v>
      </c>
      <c r="BY671" s="113" t="s">
        <v>123</v>
      </c>
      <c r="BZ671" s="117">
        <v>2400.0</v>
      </c>
      <c r="CA671" s="118"/>
      <c r="CB671" s="145">
        <v>1.0</v>
      </c>
      <c r="CC671" s="120"/>
      <c r="CD671" s="121">
        <v>1.0</v>
      </c>
      <c r="CE671" s="146"/>
      <c r="CF671" s="123"/>
      <c r="CG671" s="124">
        <v>0.0</v>
      </c>
      <c r="CH671" s="125"/>
      <c r="CI671" s="126">
        <v>0.0</v>
      </c>
      <c r="CJ671" s="126">
        <v>753.0</v>
      </c>
      <c r="CK671" s="127">
        <v>-13.0</v>
      </c>
      <c r="CL671" s="126">
        <v>740.0</v>
      </c>
      <c r="CM671" s="128">
        <v>0.0</v>
      </c>
      <c r="CN671" s="153"/>
      <c r="CO671" s="129">
        <v>0.0</v>
      </c>
      <c r="CP671" s="130">
        <v>0.0</v>
      </c>
      <c r="CQ671" s="126">
        <v>0.0</v>
      </c>
      <c r="CR671" s="126">
        <v>0.0</v>
      </c>
      <c r="CS671" s="126">
        <v>0.0</v>
      </c>
      <c r="CT671" s="131"/>
      <c r="CU671" s="132"/>
      <c r="CV671" s="133"/>
      <c r="CW671" s="134">
        <v>1.0</v>
      </c>
      <c r="CX671" s="134">
        <v>1.0</v>
      </c>
      <c r="CY671" s="134">
        <v>0.1</v>
      </c>
      <c r="CZ671" s="150" t="s">
        <v>124</v>
      </c>
      <c r="DA671" s="133"/>
      <c r="DB671" s="134">
        <v>0.0</v>
      </c>
      <c r="DC671" s="133"/>
      <c r="DD671" s="136"/>
      <c r="DE671" s="133"/>
      <c r="DF671" s="133"/>
      <c r="DG671" s="137" t="s">
        <v>128</v>
      </c>
      <c r="DH671" s="137" t="s">
        <v>131</v>
      </c>
      <c r="DI671" s="137" t="s">
        <v>188</v>
      </c>
      <c r="DJ671" s="138">
        <v>1.0</v>
      </c>
      <c r="DK671" s="137" t="b">
        <v>0</v>
      </c>
      <c r="DL671" s="139" t="s">
        <v>1539</v>
      </c>
      <c r="DM671" s="139" t="s">
        <v>131</v>
      </c>
      <c r="DN671" s="139" t="s">
        <v>1540</v>
      </c>
      <c r="DO671" s="138">
        <v>0.0</v>
      </c>
      <c r="DP671" s="141"/>
      <c r="DQ671" s="137" t="s">
        <v>188</v>
      </c>
      <c r="DR671" s="141"/>
      <c r="DS671" s="137" t="s">
        <v>134</v>
      </c>
    </row>
    <row r="672">
      <c r="A672" s="113" t="s">
        <v>118</v>
      </c>
      <c r="B672" s="114">
        <v>56.0</v>
      </c>
      <c r="C672" s="113" t="s">
        <v>1536</v>
      </c>
      <c r="D672" s="114">
        <v>626041.0</v>
      </c>
      <c r="E672" s="113" t="s">
        <v>135</v>
      </c>
      <c r="F672" s="113" t="s">
        <v>1595</v>
      </c>
      <c r="G672" s="113" t="s">
        <v>1596</v>
      </c>
      <c r="H672" s="115"/>
      <c r="I672" s="115"/>
      <c r="J672" s="115"/>
      <c r="K672" s="115"/>
      <c r="L672" s="115"/>
      <c r="M672" s="115"/>
      <c r="N672" s="115"/>
      <c r="O672" s="115"/>
      <c r="P672" s="115"/>
      <c r="Q672" s="115"/>
      <c r="R672" s="115"/>
      <c r="S672" s="115"/>
      <c r="T672" s="115"/>
      <c r="U672" s="115"/>
      <c r="V672" s="115"/>
      <c r="W672" s="115"/>
      <c r="X672" s="115"/>
      <c r="Y672" s="115"/>
      <c r="Z672" s="115"/>
      <c r="AA672" s="115"/>
      <c r="AB672" s="115"/>
      <c r="AC672" s="115"/>
      <c r="AD672" s="115"/>
      <c r="AE672" s="115"/>
      <c r="AF672" s="115"/>
      <c r="AG672" s="115"/>
      <c r="AH672" s="115"/>
      <c r="AI672" s="115"/>
      <c r="AJ672" s="115"/>
      <c r="AK672" s="115"/>
      <c r="AL672" s="115"/>
      <c r="AM672" s="115"/>
      <c r="AN672" s="115"/>
      <c r="AO672" s="115"/>
      <c r="AP672" s="115"/>
      <c r="AQ672" s="115"/>
      <c r="AR672" s="115"/>
      <c r="AS672" s="115"/>
      <c r="AT672" s="115"/>
      <c r="AU672" s="115"/>
      <c r="AV672" s="115"/>
      <c r="AW672" s="115"/>
      <c r="AX672" s="115"/>
      <c r="AY672" s="115"/>
      <c r="AZ672" s="115"/>
      <c r="BA672" s="115"/>
      <c r="BB672" s="115"/>
      <c r="BC672" s="115"/>
      <c r="BD672" s="115"/>
      <c r="BE672" s="115"/>
      <c r="BF672" s="115"/>
      <c r="BG672" s="115"/>
      <c r="BH672" s="115"/>
      <c r="BI672" s="115"/>
      <c r="BJ672" s="115"/>
      <c r="BK672" s="115"/>
      <c r="BL672" s="115"/>
      <c r="BM672" s="115"/>
      <c r="BN672" s="115"/>
      <c r="BO672" s="115"/>
      <c r="BP672" s="115"/>
      <c r="BQ672" s="115"/>
      <c r="BR672" s="115"/>
      <c r="BS672" s="115"/>
      <c r="BT672" s="116"/>
      <c r="BU672" s="115"/>
      <c r="BV672" s="115"/>
      <c r="BW672" s="115"/>
      <c r="BX672" s="114">
        <v>1.0</v>
      </c>
      <c r="BY672" s="113" t="s">
        <v>123</v>
      </c>
      <c r="BZ672" s="117">
        <v>1.0</v>
      </c>
      <c r="CA672" s="118"/>
      <c r="CB672" s="119"/>
      <c r="CC672" s="120"/>
      <c r="CD672" s="121">
        <v>1.0</v>
      </c>
      <c r="CE672" s="146"/>
      <c r="CF672" s="123"/>
      <c r="CG672" s="124">
        <v>0.0</v>
      </c>
      <c r="CH672" s="125"/>
      <c r="CI672" s="126">
        <v>0.0</v>
      </c>
      <c r="CJ672" s="126">
        <v>0.0</v>
      </c>
      <c r="CK672" s="127">
        <v>0.0</v>
      </c>
      <c r="CL672" s="126">
        <v>0.0</v>
      </c>
      <c r="CM672" s="128">
        <v>0.0</v>
      </c>
      <c r="CN672" s="126">
        <v>0.0</v>
      </c>
      <c r="CO672" s="129">
        <v>0.0</v>
      </c>
      <c r="CP672" s="130">
        <v>0.0</v>
      </c>
      <c r="CQ672" s="126">
        <v>0.0</v>
      </c>
      <c r="CR672" s="126">
        <v>0.0</v>
      </c>
      <c r="CS672" s="126">
        <v>0.0</v>
      </c>
      <c r="CT672" s="131"/>
      <c r="CU672" s="132"/>
      <c r="CV672" s="133"/>
      <c r="CW672" s="134">
        <v>1.0</v>
      </c>
      <c r="CX672" s="134">
        <v>1.0</v>
      </c>
      <c r="CY672" s="134">
        <v>0.1</v>
      </c>
      <c r="CZ672" s="135"/>
      <c r="DA672" s="133"/>
      <c r="DB672" s="134">
        <v>0.0</v>
      </c>
      <c r="DC672" s="133"/>
      <c r="DD672" s="136"/>
      <c r="DE672" s="133"/>
      <c r="DF672" s="133"/>
      <c r="DG672" s="137" t="s">
        <v>128</v>
      </c>
      <c r="DH672" s="137" t="s">
        <v>131</v>
      </c>
      <c r="DI672" s="137" t="s">
        <v>574</v>
      </c>
      <c r="DJ672" s="138">
        <v>1.0</v>
      </c>
      <c r="DK672" s="137" t="b">
        <v>0</v>
      </c>
      <c r="DL672" s="139" t="s">
        <v>1597</v>
      </c>
      <c r="DM672" s="140"/>
      <c r="DN672" s="140"/>
      <c r="DO672" s="141"/>
      <c r="DP672" s="141"/>
      <c r="DQ672" s="137" t="s">
        <v>576</v>
      </c>
      <c r="DR672" s="141"/>
      <c r="DS672" s="137" t="s">
        <v>134</v>
      </c>
    </row>
    <row r="673">
      <c r="A673" s="113" t="s">
        <v>118</v>
      </c>
      <c r="B673" s="114">
        <v>58.0</v>
      </c>
      <c r="C673" s="113" t="s">
        <v>1598</v>
      </c>
      <c r="D673" s="114">
        <v>639495.0</v>
      </c>
      <c r="E673" s="113" t="s">
        <v>155</v>
      </c>
      <c r="F673" s="113" t="s">
        <v>1599</v>
      </c>
      <c r="G673" s="113" t="s">
        <v>1600</v>
      </c>
      <c r="H673" s="115"/>
      <c r="I673" s="115"/>
      <c r="J673" s="115"/>
      <c r="K673" s="115"/>
      <c r="L673" s="115"/>
      <c r="M673" s="115"/>
      <c r="N673" s="115"/>
      <c r="O673" s="115"/>
      <c r="P673" s="115"/>
      <c r="Q673" s="115"/>
      <c r="R673" s="115"/>
      <c r="S673" s="115"/>
      <c r="T673" s="115"/>
      <c r="U673" s="115"/>
      <c r="V673" s="115"/>
      <c r="W673" s="115"/>
      <c r="X673" s="115"/>
      <c r="Y673" s="115"/>
      <c r="Z673" s="115"/>
      <c r="AA673" s="115"/>
      <c r="AB673" s="115"/>
      <c r="AC673" s="115"/>
      <c r="AD673" s="115"/>
      <c r="AE673" s="115"/>
      <c r="AF673" s="115"/>
      <c r="AG673" s="115"/>
      <c r="AH673" s="115"/>
      <c r="AI673" s="115"/>
      <c r="AJ673" s="115"/>
      <c r="AK673" s="115"/>
      <c r="AL673" s="115"/>
      <c r="AM673" s="115"/>
      <c r="AN673" s="115"/>
      <c r="AO673" s="115"/>
      <c r="AP673" s="115"/>
      <c r="AQ673" s="115"/>
      <c r="AR673" s="115"/>
      <c r="AS673" s="115"/>
      <c r="AT673" s="115"/>
      <c r="AU673" s="115"/>
      <c r="AV673" s="115"/>
      <c r="AW673" s="115"/>
      <c r="AX673" s="115"/>
      <c r="AY673" s="115"/>
      <c r="AZ673" s="115"/>
      <c r="BA673" s="115"/>
      <c r="BB673" s="115"/>
      <c r="BC673" s="115"/>
      <c r="BD673" s="115"/>
      <c r="BE673" s="115"/>
      <c r="BF673" s="115"/>
      <c r="BG673" s="115"/>
      <c r="BH673" s="115"/>
      <c r="BI673" s="115"/>
      <c r="BJ673" s="115"/>
      <c r="BK673" s="115"/>
      <c r="BL673" s="115"/>
      <c r="BM673" s="115"/>
      <c r="BN673" s="115"/>
      <c r="BO673" s="115"/>
      <c r="BP673" s="115"/>
      <c r="BQ673" s="115"/>
      <c r="BR673" s="115"/>
      <c r="BS673" s="115"/>
      <c r="BT673" s="116"/>
      <c r="BU673" s="115"/>
      <c r="BV673" s="115"/>
      <c r="BW673" s="115"/>
      <c r="BX673" s="114">
        <v>1.0</v>
      </c>
      <c r="BY673" s="113" t="s">
        <v>123</v>
      </c>
      <c r="BZ673" s="117">
        <v>1.0</v>
      </c>
      <c r="CA673" s="118"/>
      <c r="CB673" s="119"/>
      <c r="CC673" s="120"/>
      <c r="CD673" s="121">
        <v>1.0</v>
      </c>
      <c r="CE673" s="146"/>
      <c r="CF673" s="123"/>
      <c r="CG673" s="124">
        <v>0.0</v>
      </c>
      <c r="CH673" s="125"/>
      <c r="CI673" s="126">
        <v>0.0</v>
      </c>
      <c r="CJ673" s="126">
        <v>0.0</v>
      </c>
      <c r="CK673" s="127">
        <v>0.0</v>
      </c>
      <c r="CL673" s="126">
        <v>0.0</v>
      </c>
      <c r="CM673" s="128">
        <v>0.0</v>
      </c>
      <c r="CN673" s="126">
        <v>0.0</v>
      </c>
      <c r="CO673" s="129">
        <v>0.0</v>
      </c>
      <c r="CP673" s="130">
        <v>0.0</v>
      </c>
      <c r="CQ673" s="126">
        <v>0.0</v>
      </c>
      <c r="CR673" s="126">
        <v>0.0</v>
      </c>
      <c r="CS673" s="126">
        <v>0.0</v>
      </c>
      <c r="CT673" s="131"/>
      <c r="CU673" s="132"/>
      <c r="CV673" s="133"/>
      <c r="CW673" s="134">
        <v>1.0</v>
      </c>
      <c r="CX673" s="134">
        <v>1.0</v>
      </c>
      <c r="CY673" s="134">
        <v>0.1</v>
      </c>
      <c r="CZ673" s="135"/>
      <c r="DA673" s="133"/>
      <c r="DB673" s="134">
        <v>0.0</v>
      </c>
      <c r="DC673" s="133"/>
      <c r="DD673" s="136"/>
      <c r="DE673" s="133"/>
      <c r="DF673" s="133"/>
      <c r="DG673" s="137" t="s">
        <v>131</v>
      </c>
      <c r="DH673" s="137" t="s">
        <v>131</v>
      </c>
      <c r="DI673" s="137" t="s">
        <v>574</v>
      </c>
      <c r="DJ673" s="138">
        <v>1.0</v>
      </c>
      <c r="DK673" s="137" t="b">
        <v>0</v>
      </c>
      <c r="DL673" s="140"/>
      <c r="DM673" s="140"/>
      <c r="DN673" s="140"/>
      <c r="DO673" s="141"/>
      <c r="DP673" s="141"/>
      <c r="DQ673" s="137" t="s">
        <v>576</v>
      </c>
      <c r="DR673" s="141"/>
      <c r="DS673" s="137" t="s">
        <v>134</v>
      </c>
    </row>
    <row r="674">
      <c r="A674" s="113" t="s">
        <v>118</v>
      </c>
      <c r="B674" s="114">
        <v>58.0</v>
      </c>
      <c r="C674" s="113" t="s">
        <v>1598</v>
      </c>
      <c r="D674" s="114">
        <v>626041.0</v>
      </c>
      <c r="E674" s="113" t="s">
        <v>135</v>
      </c>
      <c r="F674" s="113" t="s">
        <v>1601</v>
      </c>
      <c r="G674" s="113" t="s">
        <v>1602</v>
      </c>
      <c r="H674" s="115"/>
      <c r="I674" s="115"/>
      <c r="J674" s="115"/>
      <c r="K674" s="115"/>
      <c r="L674" s="115"/>
      <c r="M674" s="115"/>
      <c r="N674" s="115"/>
      <c r="O674" s="115"/>
      <c r="P674" s="115"/>
      <c r="Q674" s="115"/>
      <c r="R674" s="115"/>
      <c r="S674" s="115"/>
      <c r="T674" s="115"/>
      <c r="U674" s="115"/>
      <c r="V674" s="115"/>
      <c r="W674" s="115"/>
      <c r="X674" s="115"/>
      <c r="Y674" s="115"/>
      <c r="Z674" s="115"/>
      <c r="AA674" s="115"/>
      <c r="AB674" s="115"/>
      <c r="AC674" s="115"/>
      <c r="AD674" s="115"/>
      <c r="AE674" s="115"/>
      <c r="AF674" s="115"/>
      <c r="AG674" s="115"/>
      <c r="AH674" s="115"/>
      <c r="AI674" s="115"/>
      <c r="AJ674" s="115"/>
      <c r="AK674" s="115"/>
      <c r="AL674" s="115"/>
      <c r="AM674" s="115"/>
      <c r="AN674" s="115"/>
      <c r="AO674" s="115"/>
      <c r="AP674" s="115"/>
      <c r="AQ674" s="115"/>
      <c r="AR674" s="115"/>
      <c r="AS674" s="115"/>
      <c r="AT674" s="115"/>
      <c r="AU674" s="115"/>
      <c r="AV674" s="115"/>
      <c r="AW674" s="115"/>
      <c r="AX674" s="115"/>
      <c r="AY674" s="115"/>
      <c r="AZ674" s="115"/>
      <c r="BA674" s="115"/>
      <c r="BB674" s="115"/>
      <c r="BC674" s="115"/>
      <c r="BD674" s="115"/>
      <c r="BE674" s="115"/>
      <c r="BF674" s="115"/>
      <c r="BG674" s="115"/>
      <c r="BH674" s="115"/>
      <c r="BI674" s="115"/>
      <c r="BJ674" s="115"/>
      <c r="BK674" s="115"/>
      <c r="BL674" s="115"/>
      <c r="BM674" s="115"/>
      <c r="BN674" s="115"/>
      <c r="BO674" s="115"/>
      <c r="BP674" s="115"/>
      <c r="BQ674" s="115"/>
      <c r="BR674" s="115"/>
      <c r="BS674" s="115"/>
      <c r="BT674" s="116"/>
      <c r="BU674" s="115"/>
      <c r="BV674" s="115"/>
      <c r="BW674" s="115"/>
      <c r="BX674" s="114">
        <v>1.0</v>
      </c>
      <c r="BY674" s="113" t="s">
        <v>123</v>
      </c>
      <c r="BZ674" s="117">
        <v>1.0</v>
      </c>
      <c r="CA674" s="118"/>
      <c r="CB674" s="119"/>
      <c r="CC674" s="120"/>
      <c r="CD674" s="121">
        <v>1.0</v>
      </c>
      <c r="CE674" s="146"/>
      <c r="CF674" s="123"/>
      <c r="CG674" s="124">
        <v>0.0</v>
      </c>
      <c r="CH674" s="125"/>
      <c r="CI674" s="126">
        <v>0.0</v>
      </c>
      <c r="CJ674" s="126">
        <v>0.0</v>
      </c>
      <c r="CK674" s="127">
        <v>0.0</v>
      </c>
      <c r="CL674" s="126">
        <v>0.0</v>
      </c>
      <c r="CM674" s="128">
        <v>0.0</v>
      </c>
      <c r="CN674" s="126">
        <v>0.0</v>
      </c>
      <c r="CO674" s="129">
        <v>0.0</v>
      </c>
      <c r="CP674" s="130">
        <v>0.0</v>
      </c>
      <c r="CQ674" s="126">
        <v>0.0</v>
      </c>
      <c r="CR674" s="126">
        <v>0.0</v>
      </c>
      <c r="CS674" s="126">
        <v>0.0</v>
      </c>
      <c r="CT674" s="131"/>
      <c r="CU674" s="132"/>
      <c r="CV674" s="133"/>
      <c r="CW674" s="134">
        <v>1.0</v>
      </c>
      <c r="CX674" s="134">
        <v>1.0</v>
      </c>
      <c r="CY674" s="134">
        <v>0.1</v>
      </c>
      <c r="CZ674" s="135"/>
      <c r="DA674" s="133"/>
      <c r="DB674" s="134">
        <v>0.0</v>
      </c>
      <c r="DC674" s="133"/>
      <c r="DD674" s="136"/>
      <c r="DE674" s="133"/>
      <c r="DF674" s="133"/>
      <c r="DG674" s="137" t="s">
        <v>131</v>
      </c>
      <c r="DH674" s="137" t="s">
        <v>131</v>
      </c>
      <c r="DI674" s="137" t="s">
        <v>574</v>
      </c>
      <c r="DJ674" s="138">
        <v>1.0</v>
      </c>
      <c r="DK674" s="137" t="b">
        <v>0</v>
      </c>
      <c r="DL674" s="140"/>
      <c r="DM674" s="140"/>
      <c r="DN674" s="140"/>
      <c r="DO674" s="141"/>
      <c r="DP674" s="141"/>
      <c r="DQ674" s="137" t="s">
        <v>576</v>
      </c>
      <c r="DR674" s="141"/>
      <c r="DS674" s="137" t="s">
        <v>134</v>
      </c>
    </row>
    <row r="675">
      <c r="A675" s="113" t="s">
        <v>118</v>
      </c>
      <c r="B675" s="114">
        <v>58.0</v>
      </c>
      <c r="C675" s="113" t="s">
        <v>1598</v>
      </c>
      <c r="D675" s="114">
        <v>627274.0</v>
      </c>
      <c r="E675" s="113" t="s">
        <v>173</v>
      </c>
      <c r="F675" s="113" t="s">
        <v>1603</v>
      </c>
      <c r="G675" s="113" t="s">
        <v>1604</v>
      </c>
      <c r="H675" s="115"/>
      <c r="I675" s="115"/>
      <c r="J675" s="115"/>
      <c r="K675" s="115"/>
      <c r="L675" s="115"/>
      <c r="M675" s="115"/>
      <c r="N675" s="115"/>
      <c r="O675" s="115"/>
      <c r="P675" s="115"/>
      <c r="Q675" s="115"/>
      <c r="R675" s="115"/>
      <c r="S675" s="115"/>
      <c r="T675" s="115"/>
      <c r="U675" s="115"/>
      <c r="V675" s="115"/>
      <c r="W675" s="115"/>
      <c r="X675" s="115"/>
      <c r="Y675" s="115"/>
      <c r="Z675" s="115"/>
      <c r="AA675" s="115"/>
      <c r="AB675" s="115"/>
      <c r="AC675" s="115"/>
      <c r="AD675" s="115"/>
      <c r="AE675" s="115"/>
      <c r="AF675" s="115"/>
      <c r="AG675" s="115"/>
      <c r="AH675" s="115"/>
      <c r="AI675" s="115"/>
      <c r="AJ675" s="115"/>
      <c r="AK675" s="115"/>
      <c r="AL675" s="115"/>
      <c r="AM675" s="115"/>
      <c r="AN675" s="115"/>
      <c r="AO675" s="115"/>
      <c r="AP675" s="115"/>
      <c r="AQ675" s="115"/>
      <c r="AR675" s="115"/>
      <c r="AS675" s="115"/>
      <c r="AT675" s="115"/>
      <c r="AU675" s="115"/>
      <c r="AV675" s="115"/>
      <c r="AW675" s="115"/>
      <c r="AX675" s="115"/>
      <c r="AY675" s="115"/>
      <c r="AZ675" s="115"/>
      <c r="BA675" s="115"/>
      <c r="BB675" s="115"/>
      <c r="BC675" s="115"/>
      <c r="BD675" s="115"/>
      <c r="BE675" s="115"/>
      <c r="BF675" s="115"/>
      <c r="BG675" s="115"/>
      <c r="BH675" s="115"/>
      <c r="BI675" s="115"/>
      <c r="BJ675" s="115"/>
      <c r="BK675" s="115"/>
      <c r="BL675" s="115"/>
      <c r="BM675" s="115"/>
      <c r="BN675" s="115"/>
      <c r="BO675" s="115"/>
      <c r="BP675" s="115"/>
      <c r="BQ675" s="115"/>
      <c r="BR675" s="115"/>
      <c r="BS675" s="115"/>
      <c r="BT675" s="116"/>
      <c r="BU675" s="115"/>
      <c r="BV675" s="115"/>
      <c r="BW675" s="115"/>
      <c r="BX675" s="114">
        <v>1.0</v>
      </c>
      <c r="BY675" s="113" t="s">
        <v>123</v>
      </c>
      <c r="BZ675" s="117">
        <v>1.0</v>
      </c>
      <c r="CA675" s="118"/>
      <c r="CB675" s="119"/>
      <c r="CC675" s="120"/>
      <c r="CD675" s="121">
        <v>1.0</v>
      </c>
      <c r="CE675" s="146"/>
      <c r="CF675" s="123"/>
      <c r="CG675" s="124">
        <v>0.0</v>
      </c>
      <c r="CH675" s="125"/>
      <c r="CI675" s="126">
        <v>0.0</v>
      </c>
      <c r="CJ675" s="126">
        <v>0.0</v>
      </c>
      <c r="CK675" s="127">
        <v>0.0</v>
      </c>
      <c r="CL675" s="126">
        <v>0.0</v>
      </c>
      <c r="CM675" s="128">
        <v>0.0</v>
      </c>
      <c r="CN675" s="126">
        <v>0.0</v>
      </c>
      <c r="CO675" s="129">
        <v>0.0</v>
      </c>
      <c r="CP675" s="130">
        <v>0.0</v>
      </c>
      <c r="CQ675" s="126">
        <v>0.0</v>
      </c>
      <c r="CR675" s="126">
        <v>0.0</v>
      </c>
      <c r="CS675" s="126">
        <v>0.0</v>
      </c>
      <c r="CT675" s="131"/>
      <c r="CU675" s="132"/>
      <c r="CV675" s="133"/>
      <c r="CW675" s="134">
        <v>1.0</v>
      </c>
      <c r="CX675" s="134">
        <v>1.0</v>
      </c>
      <c r="CY675" s="134">
        <v>0.1</v>
      </c>
      <c r="CZ675" s="135"/>
      <c r="DA675" s="133"/>
      <c r="DB675" s="134">
        <v>0.0</v>
      </c>
      <c r="DC675" s="133"/>
      <c r="DD675" s="136"/>
      <c r="DE675" s="133"/>
      <c r="DF675" s="133"/>
      <c r="DG675" s="137" t="s">
        <v>131</v>
      </c>
      <c r="DH675" s="137" t="s">
        <v>131</v>
      </c>
      <c r="DI675" s="137" t="s">
        <v>574</v>
      </c>
      <c r="DJ675" s="138">
        <v>1.0</v>
      </c>
      <c r="DK675" s="137" t="b">
        <v>0</v>
      </c>
      <c r="DL675" s="140"/>
      <c r="DM675" s="140"/>
      <c r="DN675" s="140"/>
      <c r="DO675" s="141"/>
      <c r="DP675" s="141"/>
      <c r="DQ675" s="137" t="s">
        <v>576</v>
      </c>
      <c r="DR675" s="141"/>
      <c r="DS675" s="137" t="s">
        <v>134</v>
      </c>
    </row>
    <row r="676">
      <c r="A676" s="113" t="s">
        <v>118</v>
      </c>
      <c r="B676" s="114">
        <v>58.0</v>
      </c>
      <c r="C676" s="113" t="s">
        <v>1598</v>
      </c>
      <c r="D676" s="114">
        <v>536832.0</v>
      </c>
      <c r="E676" s="113" t="s">
        <v>158</v>
      </c>
      <c r="F676" s="113" t="s">
        <v>1605</v>
      </c>
      <c r="G676" s="113" t="s">
        <v>1606</v>
      </c>
      <c r="H676" s="115"/>
      <c r="I676" s="115"/>
      <c r="J676" s="115"/>
      <c r="K676" s="115"/>
      <c r="L676" s="115"/>
      <c r="M676" s="115"/>
      <c r="N676" s="115"/>
      <c r="O676" s="115"/>
      <c r="P676" s="115"/>
      <c r="Q676" s="115"/>
      <c r="R676" s="115"/>
      <c r="S676" s="115"/>
      <c r="T676" s="115"/>
      <c r="U676" s="115"/>
      <c r="V676" s="115"/>
      <c r="W676" s="115"/>
      <c r="X676" s="115"/>
      <c r="Y676" s="115"/>
      <c r="Z676" s="115"/>
      <c r="AA676" s="115"/>
      <c r="AB676" s="115"/>
      <c r="AC676" s="115"/>
      <c r="AD676" s="115"/>
      <c r="AE676" s="115"/>
      <c r="AF676" s="115"/>
      <c r="AG676" s="115"/>
      <c r="AH676" s="115"/>
      <c r="AI676" s="115"/>
      <c r="AJ676" s="115"/>
      <c r="AK676" s="115"/>
      <c r="AL676" s="115"/>
      <c r="AM676" s="115"/>
      <c r="AN676" s="115"/>
      <c r="AO676" s="115"/>
      <c r="AP676" s="115"/>
      <c r="AQ676" s="115"/>
      <c r="AR676" s="115"/>
      <c r="AS676" s="115"/>
      <c r="AT676" s="115"/>
      <c r="AU676" s="115"/>
      <c r="AV676" s="115"/>
      <c r="AW676" s="115"/>
      <c r="AX676" s="115"/>
      <c r="AY676" s="115"/>
      <c r="AZ676" s="115"/>
      <c r="BA676" s="115"/>
      <c r="BB676" s="115"/>
      <c r="BC676" s="115"/>
      <c r="BD676" s="115"/>
      <c r="BE676" s="115"/>
      <c r="BF676" s="115"/>
      <c r="BG676" s="115"/>
      <c r="BH676" s="115"/>
      <c r="BI676" s="115"/>
      <c r="BJ676" s="115"/>
      <c r="BK676" s="115"/>
      <c r="BL676" s="115"/>
      <c r="BM676" s="115"/>
      <c r="BN676" s="115"/>
      <c r="BO676" s="115"/>
      <c r="BP676" s="115"/>
      <c r="BQ676" s="115"/>
      <c r="BR676" s="115"/>
      <c r="BS676" s="115"/>
      <c r="BT676" s="116"/>
      <c r="BU676" s="115"/>
      <c r="BV676" s="115"/>
      <c r="BW676" s="115"/>
      <c r="BX676" s="114">
        <v>1.0</v>
      </c>
      <c r="BY676" s="113" t="s">
        <v>123</v>
      </c>
      <c r="BZ676" s="117">
        <v>1.0</v>
      </c>
      <c r="CA676" s="118"/>
      <c r="CB676" s="119"/>
      <c r="CC676" s="120"/>
      <c r="CD676" s="121">
        <v>1.0</v>
      </c>
      <c r="CE676" s="146"/>
      <c r="CF676" s="123"/>
      <c r="CG676" s="124">
        <v>0.0</v>
      </c>
      <c r="CH676" s="125"/>
      <c r="CI676" s="126">
        <v>0.0</v>
      </c>
      <c r="CJ676" s="126">
        <v>0.0</v>
      </c>
      <c r="CK676" s="127">
        <v>0.0</v>
      </c>
      <c r="CL676" s="126">
        <v>0.0</v>
      </c>
      <c r="CM676" s="128">
        <v>0.0</v>
      </c>
      <c r="CN676" s="126">
        <v>0.0</v>
      </c>
      <c r="CO676" s="129">
        <v>0.0</v>
      </c>
      <c r="CP676" s="130">
        <v>0.0</v>
      </c>
      <c r="CQ676" s="126">
        <v>0.0</v>
      </c>
      <c r="CR676" s="126">
        <v>0.0</v>
      </c>
      <c r="CS676" s="126">
        <v>0.0</v>
      </c>
      <c r="CT676" s="131"/>
      <c r="CU676" s="132"/>
      <c r="CV676" s="133"/>
      <c r="CW676" s="134">
        <v>1.0</v>
      </c>
      <c r="CX676" s="134">
        <v>1.0</v>
      </c>
      <c r="CY676" s="134">
        <v>0.1</v>
      </c>
      <c r="CZ676" s="135"/>
      <c r="DA676" s="133"/>
      <c r="DB676" s="134">
        <v>0.0</v>
      </c>
      <c r="DC676" s="133"/>
      <c r="DD676" s="136"/>
      <c r="DE676" s="133"/>
      <c r="DF676" s="133"/>
      <c r="DG676" s="137" t="s">
        <v>131</v>
      </c>
      <c r="DH676" s="137" t="s">
        <v>131</v>
      </c>
      <c r="DI676" s="137" t="s">
        <v>574</v>
      </c>
      <c r="DJ676" s="138">
        <v>1.0</v>
      </c>
      <c r="DK676" s="137" t="b">
        <v>0</v>
      </c>
      <c r="DL676" s="140"/>
      <c r="DM676" s="140"/>
      <c r="DN676" s="140"/>
      <c r="DO676" s="141"/>
      <c r="DP676" s="141"/>
      <c r="DQ676" s="137" t="s">
        <v>576</v>
      </c>
      <c r="DR676" s="141"/>
      <c r="DS676" s="137" t="s">
        <v>134</v>
      </c>
    </row>
    <row r="677">
      <c r="A677" s="113" t="s">
        <v>118</v>
      </c>
      <c r="B677" s="114">
        <v>58.0</v>
      </c>
      <c r="C677" s="113" t="s">
        <v>1598</v>
      </c>
      <c r="D677" s="114">
        <v>604008.0</v>
      </c>
      <c r="E677" s="113" t="s">
        <v>176</v>
      </c>
      <c r="F677" s="113" t="s">
        <v>1607</v>
      </c>
      <c r="G677" s="113" t="s">
        <v>1608</v>
      </c>
      <c r="H677" s="115"/>
      <c r="I677" s="115"/>
      <c r="J677" s="115"/>
      <c r="K677" s="115"/>
      <c r="L677" s="115"/>
      <c r="M677" s="115"/>
      <c r="N677" s="115"/>
      <c r="O677" s="115"/>
      <c r="P677" s="115"/>
      <c r="Q677" s="115"/>
      <c r="R677" s="115"/>
      <c r="S677" s="115"/>
      <c r="T677" s="115"/>
      <c r="U677" s="115"/>
      <c r="V677" s="115"/>
      <c r="W677" s="115"/>
      <c r="X677" s="115"/>
      <c r="Y677" s="115"/>
      <c r="Z677" s="115"/>
      <c r="AA677" s="115"/>
      <c r="AB677" s="115"/>
      <c r="AC677" s="115"/>
      <c r="AD677" s="115"/>
      <c r="AE677" s="115"/>
      <c r="AF677" s="115"/>
      <c r="AG677" s="115"/>
      <c r="AH677" s="115"/>
      <c r="AI677" s="115"/>
      <c r="AJ677" s="115"/>
      <c r="AK677" s="115"/>
      <c r="AL677" s="115"/>
      <c r="AM677" s="115"/>
      <c r="AN677" s="115"/>
      <c r="AO677" s="115"/>
      <c r="AP677" s="115"/>
      <c r="AQ677" s="115"/>
      <c r="AR677" s="115"/>
      <c r="AS677" s="115"/>
      <c r="AT677" s="115"/>
      <c r="AU677" s="115"/>
      <c r="AV677" s="115"/>
      <c r="AW677" s="115"/>
      <c r="AX677" s="115"/>
      <c r="AY677" s="115"/>
      <c r="AZ677" s="115"/>
      <c r="BA677" s="115"/>
      <c r="BB677" s="115"/>
      <c r="BC677" s="115"/>
      <c r="BD677" s="115"/>
      <c r="BE677" s="115"/>
      <c r="BF677" s="115"/>
      <c r="BG677" s="115"/>
      <c r="BH677" s="115"/>
      <c r="BI677" s="115"/>
      <c r="BJ677" s="115"/>
      <c r="BK677" s="115"/>
      <c r="BL677" s="115"/>
      <c r="BM677" s="115"/>
      <c r="BN677" s="115"/>
      <c r="BO677" s="115"/>
      <c r="BP677" s="115"/>
      <c r="BQ677" s="115"/>
      <c r="BR677" s="115"/>
      <c r="BS677" s="115"/>
      <c r="BT677" s="116"/>
      <c r="BU677" s="115"/>
      <c r="BV677" s="115"/>
      <c r="BW677" s="115"/>
      <c r="BX677" s="114">
        <v>1.0</v>
      </c>
      <c r="BY677" s="113" t="s">
        <v>123</v>
      </c>
      <c r="BZ677" s="117">
        <v>1.0</v>
      </c>
      <c r="CA677" s="118"/>
      <c r="CB677" s="119"/>
      <c r="CC677" s="120"/>
      <c r="CD677" s="121">
        <v>1.0</v>
      </c>
      <c r="CE677" s="146"/>
      <c r="CF677" s="123"/>
      <c r="CG677" s="124">
        <v>0.0</v>
      </c>
      <c r="CH677" s="125"/>
      <c r="CI677" s="126">
        <v>0.0</v>
      </c>
      <c r="CJ677" s="126">
        <v>0.0</v>
      </c>
      <c r="CK677" s="127">
        <v>0.0</v>
      </c>
      <c r="CL677" s="126">
        <v>0.0</v>
      </c>
      <c r="CM677" s="128">
        <v>0.0</v>
      </c>
      <c r="CN677" s="126">
        <v>0.0</v>
      </c>
      <c r="CO677" s="129">
        <v>0.0</v>
      </c>
      <c r="CP677" s="130">
        <v>0.0</v>
      </c>
      <c r="CQ677" s="126">
        <v>0.0</v>
      </c>
      <c r="CR677" s="126">
        <v>0.0</v>
      </c>
      <c r="CS677" s="126">
        <v>0.0</v>
      </c>
      <c r="CT677" s="131"/>
      <c r="CU677" s="132"/>
      <c r="CV677" s="133"/>
      <c r="CW677" s="134">
        <v>1.0</v>
      </c>
      <c r="CX677" s="134">
        <v>1.0</v>
      </c>
      <c r="CY677" s="134">
        <v>0.1</v>
      </c>
      <c r="CZ677" s="135"/>
      <c r="DA677" s="133"/>
      <c r="DB677" s="134">
        <v>0.0</v>
      </c>
      <c r="DC677" s="133"/>
      <c r="DD677" s="136"/>
      <c r="DE677" s="133"/>
      <c r="DF677" s="133"/>
      <c r="DG677" s="137" t="s">
        <v>131</v>
      </c>
      <c r="DH677" s="137" t="s">
        <v>131</v>
      </c>
      <c r="DI677" s="137" t="s">
        <v>574</v>
      </c>
      <c r="DJ677" s="138">
        <v>1.0</v>
      </c>
      <c r="DK677" s="137" t="b">
        <v>0</v>
      </c>
      <c r="DL677" s="140"/>
      <c r="DM677" s="140"/>
      <c r="DN677" s="140"/>
      <c r="DO677" s="141"/>
      <c r="DP677" s="141"/>
      <c r="DQ677" s="137" t="s">
        <v>576</v>
      </c>
      <c r="DR677" s="141"/>
      <c r="DS677" s="137" t="s">
        <v>134</v>
      </c>
    </row>
    <row r="678">
      <c r="A678" s="113" t="s">
        <v>118</v>
      </c>
      <c r="B678" s="114">
        <v>58.0</v>
      </c>
      <c r="C678" s="113" t="s">
        <v>1598</v>
      </c>
      <c r="D678" s="114">
        <v>610881.0</v>
      </c>
      <c r="E678" s="113" t="s">
        <v>167</v>
      </c>
      <c r="F678" s="113" t="s">
        <v>1609</v>
      </c>
      <c r="G678" s="113" t="s">
        <v>1610</v>
      </c>
      <c r="H678" s="115"/>
      <c r="I678" s="115"/>
      <c r="J678" s="115"/>
      <c r="K678" s="115"/>
      <c r="L678" s="115"/>
      <c r="M678" s="115"/>
      <c r="N678" s="115"/>
      <c r="O678" s="115"/>
      <c r="P678" s="115"/>
      <c r="Q678" s="115"/>
      <c r="R678" s="115"/>
      <c r="S678" s="115"/>
      <c r="T678" s="115"/>
      <c r="U678" s="115"/>
      <c r="V678" s="115"/>
      <c r="W678" s="115"/>
      <c r="X678" s="115"/>
      <c r="Y678" s="115"/>
      <c r="Z678" s="115"/>
      <c r="AA678" s="115"/>
      <c r="AB678" s="115"/>
      <c r="AC678" s="115"/>
      <c r="AD678" s="115"/>
      <c r="AE678" s="115"/>
      <c r="AF678" s="115"/>
      <c r="AG678" s="115"/>
      <c r="AH678" s="115"/>
      <c r="AI678" s="115"/>
      <c r="AJ678" s="115"/>
      <c r="AK678" s="115"/>
      <c r="AL678" s="115"/>
      <c r="AM678" s="115"/>
      <c r="AN678" s="115"/>
      <c r="AO678" s="115"/>
      <c r="AP678" s="115"/>
      <c r="AQ678" s="115"/>
      <c r="AR678" s="115"/>
      <c r="AS678" s="115"/>
      <c r="AT678" s="115"/>
      <c r="AU678" s="115"/>
      <c r="AV678" s="115"/>
      <c r="AW678" s="115"/>
      <c r="AX678" s="115"/>
      <c r="AY678" s="115"/>
      <c r="AZ678" s="115"/>
      <c r="BA678" s="115"/>
      <c r="BB678" s="115"/>
      <c r="BC678" s="115"/>
      <c r="BD678" s="115"/>
      <c r="BE678" s="115"/>
      <c r="BF678" s="115"/>
      <c r="BG678" s="115"/>
      <c r="BH678" s="115"/>
      <c r="BI678" s="115"/>
      <c r="BJ678" s="115"/>
      <c r="BK678" s="115"/>
      <c r="BL678" s="115"/>
      <c r="BM678" s="115"/>
      <c r="BN678" s="115"/>
      <c r="BO678" s="115"/>
      <c r="BP678" s="115"/>
      <c r="BQ678" s="115"/>
      <c r="BR678" s="115"/>
      <c r="BS678" s="115"/>
      <c r="BT678" s="116"/>
      <c r="BU678" s="115"/>
      <c r="BV678" s="115"/>
      <c r="BW678" s="115"/>
      <c r="BX678" s="114">
        <v>1.0</v>
      </c>
      <c r="BY678" s="113" t="s">
        <v>123</v>
      </c>
      <c r="BZ678" s="117">
        <v>1.0</v>
      </c>
      <c r="CA678" s="118"/>
      <c r="CB678" s="119"/>
      <c r="CC678" s="120"/>
      <c r="CD678" s="121">
        <v>1.0</v>
      </c>
      <c r="CE678" s="146"/>
      <c r="CF678" s="123"/>
      <c r="CG678" s="124">
        <v>0.0</v>
      </c>
      <c r="CH678" s="125"/>
      <c r="CI678" s="126">
        <v>0.0</v>
      </c>
      <c r="CJ678" s="126">
        <v>0.0</v>
      </c>
      <c r="CK678" s="127">
        <v>0.0</v>
      </c>
      <c r="CL678" s="126">
        <v>0.0</v>
      </c>
      <c r="CM678" s="128">
        <v>0.0</v>
      </c>
      <c r="CN678" s="126">
        <v>0.0</v>
      </c>
      <c r="CO678" s="129">
        <v>0.0</v>
      </c>
      <c r="CP678" s="130">
        <v>0.0</v>
      </c>
      <c r="CQ678" s="126">
        <v>0.0</v>
      </c>
      <c r="CR678" s="126">
        <v>0.0</v>
      </c>
      <c r="CS678" s="126">
        <v>0.0</v>
      </c>
      <c r="CT678" s="131"/>
      <c r="CU678" s="132"/>
      <c r="CV678" s="133"/>
      <c r="CW678" s="134">
        <v>1.0</v>
      </c>
      <c r="CX678" s="134">
        <v>1.0</v>
      </c>
      <c r="CY678" s="134">
        <v>0.1</v>
      </c>
      <c r="CZ678" s="135"/>
      <c r="DA678" s="133"/>
      <c r="DB678" s="134">
        <v>0.0</v>
      </c>
      <c r="DC678" s="133"/>
      <c r="DD678" s="136"/>
      <c r="DE678" s="133"/>
      <c r="DF678" s="133"/>
      <c r="DG678" s="137" t="s">
        <v>131</v>
      </c>
      <c r="DH678" s="137" t="s">
        <v>131</v>
      </c>
      <c r="DI678" s="137" t="s">
        <v>574</v>
      </c>
      <c r="DJ678" s="138">
        <v>1.0</v>
      </c>
      <c r="DK678" s="137" t="b">
        <v>0</v>
      </c>
      <c r="DL678" s="140"/>
      <c r="DM678" s="140"/>
      <c r="DN678" s="140"/>
      <c r="DO678" s="141"/>
      <c r="DP678" s="141"/>
      <c r="DQ678" s="137" t="s">
        <v>576</v>
      </c>
      <c r="DR678" s="141"/>
      <c r="DS678" s="137" t="s">
        <v>134</v>
      </c>
    </row>
  </sheetData>
  <dataValidations>
    <dataValidation type="list" allowBlank="1" showErrorMessage="1" sqref="CC2:CC678">
      <formula1>"Ops,Comercial"</formula1>
    </dataValidation>
  </dataValidations>
  <drawing r:id="rId2"/>
  <legacyDrawing r:id="rId3"/>
  <tableParts count="1">
    <tablePart r:id="rId5"/>
  </tableParts>
</worksheet>
</file>